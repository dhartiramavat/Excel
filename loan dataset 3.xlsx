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8_{AD26DB99-9A0B-4A31-A561-9893097E6EE8}" xr6:coauthVersionLast="47" xr6:coauthVersionMax="47" xr10:uidLastSave="{00000000-0000-0000-0000-000000000000}"/>
  <bookViews>
    <workbookView xWindow="-108" yWindow="-108" windowWidth="23256" windowHeight="12576" activeTab="2" xr2:uid="{BCBFD794-38D7-4D2D-8BFC-E6B901D83949}"/>
  </bookViews>
  <sheets>
    <sheet name="loan_applicants_detail" sheetId="1" r:id="rId1"/>
    <sheet name="Pivot_Tables" sheetId="2" r:id="rId2"/>
    <sheet name="Pivot_Charts" sheetId="3" r:id="rId3"/>
    <sheet name="Insights" sheetId="4" r:id="rId4"/>
  </sheets>
  <definedNames>
    <definedName name="_xlcn.WorksheetConnection_loandataset3.xlsxtable11" hidden="1">Table1[]</definedName>
    <definedName name="Slicer_Marrital_Status">#N/A</definedName>
    <definedName name="Slicer_Utilization_Rate">#N/A</definedName>
  </definedNames>
  <calcPr calcId="191029"/>
  <pivotCaches>
    <pivotCache cacheId="65" r:id="rId5"/>
    <pivotCache cacheId="53" r:id="rId6"/>
    <pivotCache cacheId="61" r:id="rId7"/>
  </pivotCaches>
  <extLst>
    <ext xmlns:x14="http://schemas.microsoft.com/office/spreadsheetml/2009/9/main" uri="{876F7934-8845-4945-9796-88D515C7AA90}">
      <x14:pivotCaches>
        <pivotCache cacheId="68"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loan dataset 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2" i="1" l="1"/>
  <c r="X9" i="1"/>
  <c r="X6" i="1"/>
  <c r="X3" i="1"/>
  <c r="V18" i="1"/>
  <c r="V15" i="1"/>
  <c r="V12" i="1"/>
  <c r="V9" i="1"/>
  <c r="V6" i="1"/>
  <c r="V3" i="1" a="1"/>
  <c r="V3" i="1" s="1"/>
  <c r="T18" i="1"/>
  <c r="T15" i="1"/>
  <c r="T12" i="1"/>
  <c r="T9" i="1"/>
  <c r="T3" i="1"/>
  <c r="R18" i="1"/>
  <c r="R15" i="1"/>
  <c r="R12" i="1"/>
  <c r="R9" i="1"/>
  <c r="R6" i="1"/>
  <c r="R3" i="1"/>
  <c r="T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CE0C9D-29CD-4878-9F52-AF03347C22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EC0E9B-F259-473B-8256-FAFF88FF590F}" name="WorksheetConnection_loan dataset 3.xlsx!table1" type="102" refreshedVersion="8" minRefreshableVersion="5">
    <extLst>
      <ext xmlns:x15="http://schemas.microsoft.com/office/spreadsheetml/2010/11/main" uri="{DE250136-89BD-433C-8126-D09CA5730AF9}">
        <x15:connection id="table1" autoDelete="1">
          <x15:rangePr sourceName="_xlcn.WorksheetConnection_loandataset3.xlsxtable1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<sst xmlns="http://schemas.openxmlformats.org/spreadsheetml/2006/main" count="4114" uniqueCount="2049">
  <si>
    <t>Allison Hill</t>
  </si>
  <si>
    <t>Software Engineer</t>
  </si>
  <si>
    <t>Noah Rhodes</t>
  </si>
  <si>
    <t>Angie Henderson</t>
  </si>
  <si>
    <t>Nurse</t>
  </si>
  <si>
    <t>Daniel Wagner</t>
  </si>
  <si>
    <t>Sales Representative</t>
  </si>
  <si>
    <t>Cristian Santos</t>
  </si>
  <si>
    <t>Connie Lawrence</t>
  </si>
  <si>
    <t>Teacher</t>
  </si>
  <si>
    <t>Abigail Shaffer</t>
  </si>
  <si>
    <t>Gina Moore</t>
  </si>
  <si>
    <t>Gabrielle Davis</t>
  </si>
  <si>
    <t>Ryan Munoz</t>
  </si>
  <si>
    <t>Monica Herrera</t>
  </si>
  <si>
    <t>Graphic Designer</t>
  </si>
  <si>
    <t>Jamie Arnold</t>
  </si>
  <si>
    <t>Lisa Hensley</t>
  </si>
  <si>
    <t>Data Analyst</t>
  </si>
  <si>
    <t>Michele Williams</t>
  </si>
  <si>
    <t>Dylan Miller</t>
  </si>
  <si>
    <t>Brian Ramirez</t>
  </si>
  <si>
    <t>Holly Wood</t>
  </si>
  <si>
    <t>Derek Zuniga</t>
  </si>
  <si>
    <t>Lisa Jackson</t>
  </si>
  <si>
    <t>Carla Gray</t>
  </si>
  <si>
    <t>Margaret Hawkins DDS</t>
  </si>
  <si>
    <t>Patty Perez</t>
  </si>
  <si>
    <t>Ethan Adams</t>
  </si>
  <si>
    <t>Tommy Walter</t>
  </si>
  <si>
    <t>Matthew Foster</t>
  </si>
  <si>
    <t>Judy Baker</t>
  </si>
  <si>
    <t>Justin Baker</t>
  </si>
  <si>
    <t>Stephanie Ross</t>
  </si>
  <si>
    <t>Zachary Hicks</t>
  </si>
  <si>
    <t>Anthony Rodriguez</t>
  </si>
  <si>
    <t>Rebecca Henderson</t>
  </si>
  <si>
    <t>James Ferrell</t>
  </si>
  <si>
    <t>Tricia Valencia</t>
  </si>
  <si>
    <t>Nathan Maldonado</t>
  </si>
  <si>
    <t>Debra Davidson</t>
  </si>
  <si>
    <t>Jeffrey Chavez</t>
  </si>
  <si>
    <t>Sherri Baker</t>
  </si>
  <si>
    <t>Cassandra Gaines</t>
  </si>
  <si>
    <t>Elizabeth Fowler</t>
  </si>
  <si>
    <t>Brittany Farmer</t>
  </si>
  <si>
    <t>Paula Moreno</t>
  </si>
  <si>
    <t>Fred Smith</t>
  </si>
  <si>
    <t>Sherry Decker</t>
  </si>
  <si>
    <t>Anthony Humphrey</t>
  </si>
  <si>
    <t>Angelica Tucker</t>
  </si>
  <si>
    <t>Philip Cannon</t>
  </si>
  <si>
    <t>John Pierce</t>
  </si>
  <si>
    <t>Shane Henderson</t>
  </si>
  <si>
    <t>Joshua Blair</t>
  </si>
  <si>
    <t>Eric Carney</t>
  </si>
  <si>
    <t>Jessica Holmes</t>
  </si>
  <si>
    <t>Danny Morgan</t>
  </si>
  <si>
    <t>Crystal Robinson</t>
  </si>
  <si>
    <t>Mark Perez</t>
  </si>
  <si>
    <t>Shannon Jones</t>
  </si>
  <si>
    <t>Michael Lewis</t>
  </si>
  <si>
    <t>Timothy Duncan</t>
  </si>
  <si>
    <t>Richard Aguirre</t>
  </si>
  <si>
    <t>Brent Jordan</t>
  </si>
  <si>
    <t>John Daniel</t>
  </si>
  <si>
    <t>Victoria Garcia</t>
  </si>
  <si>
    <t>Gerald Hensley</t>
  </si>
  <si>
    <t>Connor West</t>
  </si>
  <si>
    <t>Donald Wright</t>
  </si>
  <si>
    <t>Jessica Callahan</t>
  </si>
  <si>
    <t>Amber Kidd</t>
  </si>
  <si>
    <t>Tracy House</t>
  </si>
  <si>
    <t>Carol Tucker</t>
  </si>
  <si>
    <t>James Brown</t>
  </si>
  <si>
    <t>William Baker</t>
  </si>
  <si>
    <t>Jordan Henderson</t>
  </si>
  <si>
    <t>Whitney Peters</t>
  </si>
  <si>
    <t>Brittney Phillips</t>
  </si>
  <si>
    <t>Lauren Daniels</t>
  </si>
  <si>
    <t>Amy Silva</t>
  </si>
  <si>
    <t>Sarah Moore</t>
  </si>
  <si>
    <t>Angela Lopez</t>
  </si>
  <si>
    <t>Megan Young</t>
  </si>
  <si>
    <t>Steve Sanchez</t>
  </si>
  <si>
    <t>Lisa Barnes</t>
  </si>
  <si>
    <t>Kelly Donovan</t>
  </si>
  <si>
    <t>Mike Allen</t>
  </si>
  <si>
    <t>Michael Evans</t>
  </si>
  <si>
    <t>Paul Jones</t>
  </si>
  <si>
    <t>Zachary Ferrell</t>
  </si>
  <si>
    <t>Daniel Baker</t>
  </si>
  <si>
    <t>Shirley Suarez</t>
  </si>
  <si>
    <t>Christopher Bass</t>
  </si>
  <si>
    <t>Lisa Archer</t>
  </si>
  <si>
    <t>Aimee Montoya</t>
  </si>
  <si>
    <t>Matthew Mcmillan</t>
  </si>
  <si>
    <t>Brian Rodriguez</t>
  </si>
  <si>
    <t>Denise Jacobs</t>
  </si>
  <si>
    <t>Christina Walters</t>
  </si>
  <si>
    <t>John Whitehead</t>
  </si>
  <si>
    <t>Anna Henderson</t>
  </si>
  <si>
    <t>Aaron Wise</t>
  </si>
  <si>
    <t>Deborah Figueroa</t>
  </si>
  <si>
    <t>Jessica Smith</t>
  </si>
  <si>
    <t>Stephen Mckee</t>
  </si>
  <si>
    <t>Sandra Aguilar</t>
  </si>
  <si>
    <t>Cameron Parker</t>
  </si>
  <si>
    <t>Rebecca Valencia</t>
  </si>
  <si>
    <t>Christine Wright</t>
  </si>
  <si>
    <t>Richard Henson</t>
  </si>
  <si>
    <t>Marc Moore</t>
  </si>
  <si>
    <t>Sharon Cherry</t>
  </si>
  <si>
    <t>Sierra Johnson</t>
  </si>
  <si>
    <t>Evelyn Galvan</t>
  </si>
  <si>
    <t>Sharon Cochran</t>
  </si>
  <si>
    <t>Richard Rodriguez</t>
  </si>
  <si>
    <t>Shannon Walker</t>
  </si>
  <si>
    <t>Julia Torres</t>
  </si>
  <si>
    <t>Crystal Johnson</t>
  </si>
  <si>
    <t>Garrett Lin</t>
  </si>
  <si>
    <t>Diana May</t>
  </si>
  <si>
    <t>William Herrera</t>
  </si>
  <si>
    <t>Ashley Waller</t>
  </si>
  <si>
    <t>Victor Baker</t>
  </si>
  <si>
    <t>Jeffrey Chandler</t>
  </si>
  <si>
    <t>Larry Dixon</t>
  </si>
  <si>
    <t>Kenneth Scott</t>
  </si>
  <si>
    <t>April Frost</t>
  </si>
  <si>
    <t>Michelle Harmon</t>
  </si>
  <si>
    <t>Helen Jones</t>
  </si>
  <si>
    <t>Erin Edwards</t>
  </si>
  <si>
    <t>Michelle Evans</t>
  </si>
  <si>
    <t>Jason Powell</t>
  </si>
  <si>
    <t>Cameron Fisher</t>
  </si>
  <si>
    <t>Megan Orr</t>
  </si>
  <si>
    <t>Elizabeth Kelley</t>
  </si>
  <si>
    <t>Dustin Jordan</t>
  </si>
  <si>
    <t>Mary Marshall</t>
  </si>
  <si>
    <t>Daniel Kennedy</t>
  </si>
  <si>
    <t>Rebecca Jackson</t>
  </si>
  <si>
    <t>Jose Schultz</t>
  </si>
  <si>
    <t>Robert Potter</t>
  </si>
  <si>
    <t>Courtney Gonzalez</t>
  </si>
  <si>
    <t>David Alvarez</t>
  </si>
  <si>
    <t>Angel Perry</t>
  </si>
  <si>
    <t>Cheyenne Horton</t>
  </si>
  <si>
    <t>David Douglas Jr.</t>
  </si>
  <si>
    <t>Patricia Rodriguez</t>
  </si>
  <si>
    <t>Christopher Rubio</t>
  </si>
  <si>
    <t>Amber Wright</t>
  </si>
  <si>
    <t>Joyce Solis</t>
  </si>
  <si>
    <t>Victoria Larson</t>
  </si>
  <si>
    <t>Stephanie Salazar</t>
  </si>
  <si>
    <t>Kathy Rivas</t>
  </si>
  <si>
    <t>Stephanie Manning</t>
  </si>
  <si>
    <t>David Wright</t>
  </si>
  <si>
    <t>Pamela Boyd</t>
  </si>
  <si>
    <t>Denise Jones</t>
  </si>
  <si>
    <t>Devon Flores</t>
  </si>
  <si>
    <t>Brenda Hall</t>
  </si>
  <si>
    <t>Michelle Brown</t>
  </si>
  <si>
    <t>Joshua Perry</t>
  </si>
  <si>
    <t>Jason Stein</t>
  </si>
  <si>
    <t>Melissa Gates</t>
  </si>
  <si>
    <t>Jamie Smith</t>
  </si>
  <si>
    <t>Paul Castaneda</t>
  </si>
  <si>
    <t>Jennifer Adkins</t>
  </si>
  <si>
    <t>Lindsey Walker</t>
  </si>
  <si>
    <t>Jeffrey Johnson</t>
  </si>
  <si>
    <t>Michael Powell</t>
  </si>
  <si>
    <t>John Anderson</t>
  </si>
  <si>
    <t>Alyssa Long</t>
  </si>
  <si>
    <t>Alyssa Day</t>
  </si>
  <si>
    <t>Joel Williams</t>
  </si>
  <si>
    <t>Daniel Murphy</t>
  </si>
  <si>
    <t>Jamie Walton</t>
  </si>
  <si>
    <t>Darlene Miller</t>
  </si>
  <si>
    <t>Joshua Cooke</t>
  </si>
  <si>
    <t>Matthew Harrington</t>
  </si>
  <si>
    <t>Nicole Herring</t>
  </si>
  <si>
    <t>Alex Hernandez</t>
  </si>
  <si>
    <t>Michael Elliott</t>
  </si>
  <si>
    <t>Michael Wang</t>
  </si>
  <si>
    <t>Lawrence Adkins</t>
  </si>
  <si>
    <t>Robert Oconnell</t>
  </si>
  <si>
    <t>Alexander Collins</t>
  </si>
  <si>
    <t>Tina Sanders</t>
  </si>
  <si>
    <t>Angela Vaughn</t>
  </si>
  <si>
    <t>Ashley Barton</t>
  </si>
  <si>
    <t>Lindsay Martinez</t>
  </si>
  <si>
    <t>Dr. Hannah Patterson</t>
  </si>
  <si>
    <t>Jonathan Peterson</t>
  </si>
  <si>
    <t>Samantha Garcia</t>
  </si>
  <si>
    <t>Madison Poole</t>
  </si>
  <si>
    <t>Jessica Gross</t>
  </si>
  <si>
    <t>Debra Morton</t>
  </si>
  <si>
    <t>Karen Graham</t>
  </si>
  <si>
    <t>Debra Christian</t>
  </si>
  <si>
    <t>Angelica Keith</t>
  </si>
  <si>
    <t>John Bishop</t>
  </si>
  <si>
    <t>Allen Rosales</t>
  </si>
  <si>
    <t>Daniel Salinas</t>
  </si>
  <si>
    <t>Spencer Haynes</t>
  </si>
  <si>
    <t>Adam Vaughan</t>
  </si>
  <si>
    <t>Nathan Freeman</t>
  </si>
  <si>
    <t>Melissa Brewer</t>
  </si>
  <si>
    <t>Ricky Davis II</t>
  </si>
  <si>
    <t>Elizabeth Perkins</t>
  </si>
  <si>
    <t>Joseph Coleman</t>
  </si>
  <si>
    <t>Erin Warner</t>
  </si>
  <si>
    <t>David Martinez</t>
  </si>
  <si>
    <t>Bryan Herrera</t>
  </si>
  <si>
    <t>Cathy Robinson</t>
  </si>
  <si>
    <t>Dr. William Warren</t>
  </si>
  <si>
    <t>Brian Lee</t>
  </si>
  <si>
    <t>Christopher Smith</t>
  </si>
  <si>
    <t>Denise Mccann</t>
  </si>
  <si>
    <t>Melissa Martinez</t>
  </si>
  <si>
    <t>Katherine Salas</t>
  </si>
  <si>
    <t>Julie Alexander</t>
  </si>
  <si>
    <t>Anthony Everett</t>
  </si>
  <si>
    <t>Rodney Morales</t>
  </si>
  <si>
    <t>Mark Brown</t>
  </si>
  <si>
    <t>Justin Torres</t>
  </si>
  <si>
    <t>Bailey Duran DDS</t>
  </si>
  <si>
    <t>Courtney Mills</t>
  </si>
  <si>
    <t>Jeremy Dalton</t>
  </si>
  <si>
    <t>Elizabeth Oliver DDS</t>
  </si>
  <si>
    <t>Theresa Clark</t>
  </si>
  <si>
    <t>Matthew Moore</t>
  </si>
  <si>
    <t>Benjamin Smith</t>
  </si>
  <si>
    <t>Kirk Carter</t>
  </si>
  <si>
    <t>Michael Warner</t>
  </si>
  <si>
    <t>Michael Bradshaw</t>
  </si>
  <si>
    <t>Lori Guerrero</t>
  </si>
  <si>
    <t>Jessica Stephens</t>
  </si>
  <si>
    <t>Susan Serrano</t>
  </si>
  <si>
    <t>Christopher Parker</t>
  </si>
  <si>
    <t>Laura Roberts</t>
  </si>
  <si>
    <t>Michael Lyons</t>
  </si>
  <si>
    <t>Kathryn Snyder</t>
  </si>
  <si>
    <t>Andrew Reynolds</t>
  </si>
  <si>
    <t>David Davis</t>
  </si>
  <si>
    <t>Sara Johnston</t>
  </si>
  <si>
    <t>Yvonne Chambers</t>
  </si>
  <si>
    <t>Andrew Avila</t>
  </si>
  <si>
    <t>Matthew Moon</t>
  </si>
  <si>
    <t>Kevin Walters</t>
  </si>
  <si>
    <t>Brandon Bailey MD</t>
  </si>
  <si>
    <t>Shannon Rivera</t>
  </si>
  <si>
    <t>Donna Landry</t>
  </si>
  <si>
    <t>Krista Gibson</t>
  </si>
  <si>
    <t>Frank Cordova</t>
  </si>
  <si>
    <t>Jose Travis</t>
  </si>
  <si>
    <t>Kimberly Gutierrez</t>
  </si>
  <si>
    <t>Isaiah Avila</t>
  </si>
  <si>
    <t>Olivia Harris</t>
  </si>
  <si>
    <t>Tanya Kim</t>
  </si>
  <si>
    <t>Barbara Dudley</t>
  </si>
  <si>
    <t>Cynthia Moore</t>
  </si>
  <si>
    <t>Kristen Davis</t>
  </si>
  <si>
    <t>Susan Murray MD</t>
  </si>
  <si>
    <t>Kathleen Moran</t>
  </si>
  <si>
    <t>Denise Davenport</t>
  </si>
  <si>
    <t>Mrs. Kristen Reyes</t>
  </si>
  <si>
    <t>Katie Suarez</t>
  </si>
  <si>
    <t>Desiree Tyler</t>
  </si>
  <si>
    <t>Timothy Romero</t>
  </si>
  <si>
    <t>Diane Evans</t>
  </si>
  <si>
    <t>Yvonne Burns</t>
  </si>
  <si>
    <t>Joshua Reed</t>
  </si>
  <si>
    <t>Kimberly Gibson</t>
  </si>
  <si>
    <t>Colin Terry</t>
  </si>
  <si>
    <t>Cynthia Rowe</t>
  </si>
  <si>
    <t>Patrick Thornton</t>
  </si>
  <si>
    <t>Jasmin Alvarado</t>
  </si>
  <si>
    <t>Veronica Simpson</t>
  </si>
  <si>
    <t>Jonathan Lawrence</t>
  </si>
  <si>
    <t>Shelly Alexander</t>
  </si>
  <si>
    <t>Joyce Bowen</t>
  </si>
  <si>
    <t>Wayne Morgan</t>
  </si>
  <si>
    <t>Marie Christian</t>
  </si>
  <si>
    <t>Shannon James</t>
  </si>
  <si>
    <t>Nathan Malone</t>
  </si>
  <si>
    <t>Amanda Jones</t>
  </si>
  <si>
    <t>Tammie Bright</t>
  </si>
  <si>
    <t>Jessica Garcia</t>
  </si>
  <si>
    <t>Shelia Wallace</t>
  </si>
  <si>
    <t>Stephanie Williams</t>
  </si>
  <si>
    <t>Elaine Brooks</t>
  </si>
  <si>
    <t>Joseph Knight</t>
  </si>
  <si>
    <t>Carolyn Miller</t>
  </si>
  <si>
    <t>Lisa Allen</t>
  </si>
  <si>
    <t>Briana Murray</t>
  </si>
  <si>
    <t>David Smith</t>
  </si>
  <si>
    <t>Stephanie Byrd</t>
  </si>
  <si>
    <t>Jeremy Reed</t>
  </si>
  <si>
    <t>Margaret Coleman</t>
  </si>
  <si>
    <t>Ryan Gonzalez</t>
  </si>
  <si>
    <t>John Young</t>
  </si>
  <si>
    <t>Laura Haney</t>
  </si>
  <si>
    <t>William Barrett</t>
  </si>
  <si>
    <t>Keith Jennings</t>
  </si>
  <si>
    <t>Amber Obrien</t>
  </si>
  <si>
    <t>Tanner Mitchell DDS</t>
  </si>
  <si>
    <t>Heather Fields</t>
  </si>
  <si>
    <t>Megan Le</t>
  </si>
  <si>
    <t>Sara Fuller</t>
  </si>
  <si>
    <t>Maria Parker</t>
  </si>
  <si>
    <t>Kevin Oconnor</t>
  </si>
  <si>
    <t>Edward Burgess</t>
  </si>
  <si>
    <t>Carlos Ryan</t>
  </si>
  <si>
    <t>Kiara Mcintyre</t>
  </si>
  <si>
    <t>Dawn Summers</t>
  </si>
  <si>
    <t>Dr. Paul Morgan</t>
  </si>
  <si>
    <t>Victor Taylor</t>
  </si>
  <si>
    <t>Shannon Ramsey</t>
  </si>
  <si>
    <t>Tracy Ballard</t>
  </si>
  <si>
    <t>Richard Smith</t>
  </si>
  <si>
    <t>Jordan Chambers</t>
  </si>
  <si>
    <t>Lauren Carson</t>
  </si>
  <si>
    <t>Ashley Hall</t>
  </si>
  <si>
    <t>Stephen Hoffman</t>
  </si>
  <si>
    <t>Connie Brown</t>
  </si>
  <si>
    <t>Susan Turner</t>
  </si>
  <si>
    <t>Charles Shah</t>
  </si>
  <si>
    <t>Johnathan Davis</t>
  </si>
  <si>
    <t>Brandy Chavez</t>
  </si>
  <si>
    <t>Natalie Bautista</t>
  </si>
  <si>
    <t>Patrick Moore</t>
  </si>
  <si>
    <t>Brett Burns</t>
  </si>
  <si>
    <t>Trevor Johnson</t>
  </si>
  <si>
    <t>Jeremy Sampson</t>
  </si>
  <si>
    <t>Ariana Jennings</t>
  </si>
  <si>
    <t>Vanessa Howard</t>
  </si>
  <si>
    <t>Colton Martinez</t>
  </si>
  <si>
    <t>Jordan Bates</t>
  </si>
  <si>
    <t>Linda Smith</t>
  </si>
  <si>
    <t>Dana Martinez</t>
  </si>
  <si>
    <t>Andrea Hubbard</t>
  </si>
  <si>
    <t>Daniel Kane</t>
  </si>
  <si>
    <t>Charles Lester</t>
  </si>
  <si>
    <t>Scott Thomas</t>
  </si>
  <si>
    <t>David Thompson</t>
  </si>
  <si>
    <t>Allison Smith</t>
  </si>
  <si>
    <t>Cynthia Morris</t>
  </si>
  <si>
    <t>Anthony Harmon</t>
  </si>
  <si>
    <t>Nichole Alvarez</t>
  </si>
  <si>
    <t>Kayla Rodriguez</t>
  </si>
  <si>
    <t>Theresa Williams</t>
  </si>
  <si>
    <t>Sharon Boyd</t>
  </si>
  <si>
    <t>Victor Brown</t>
  </si>
  <si>
    <t>James Parks</t>
  </si>
  <si>
    <t>Theodore Jones Jr.</t>
  </si>
  <si>
    <t>Ana Hill</t>
  </si>
  <si>
    <t>Kimberly Nguyen</t>
  </si>
  <si>
    <t>Kerry Chavez DDS</t>
  </si>
  <si>
    <t>Michael Farrell</t>
  </si>
  <si>
    <t>Patricia Le</t>
  </si>
  <si>
    <t>Jesse Perez</t>
  </si>
  <si>
    <t>Jesse Perry</t>
  </si>
  <si>
    <t>Jeffery Ortega</t>
  </si>
  <si>
    <t>Christian Leblanc</t>
  </si>
  <si>
    <t>Ronald Davis</t>
  </si>
  <si>
    <t>Parker Cain</t>
  </si>
  <si>
    <t>Laurie Hoffman</t>
  </si>
  <si>
    <t>Bryan Gomez</t>
  </si>
  <si>
    <t>Nicole Parrish</t>
  </si>
  <si>
    <t>Tracy Burke</t>
  </si>
  <si>
    <t>Kenneth Lewis</t>
  </si>
  <si>
    <t>Courtney Rodriguez</t>
  </si>
  <si>
    <t>Holly Farmer</t>
  </si>
  <si>
    <t>Renee Bruce</t>
  </si>
  <si>
    <t>Sabrina Austin</t>
  </si>
  <si>
    <t>Allison Hickman</t>
  </si>
  <si>
    <t>Debra White</t>
  </si>
  <si>
    <t>Ellen Morgan</t>
  </si>
  <si>
    <t>Sergio Knight</t>
  </si>
  <si>
    <t>Charles Schultz</t>
  </si>
  <si>
    <t>Paul Lewis</t>
  </si>
  <si>
    <t>Glen Wood</t>
  </si>
  <si>
    <t>Paula Bradley</t>
  </si>
  <si>
    <t>Anthony Moore</t>
  </si>
  <si>
    <t>Megan Nelson</t>
  </si>
  <si>
    <t>Karla Ramos</t>
  </si>
  <si>
    <t>Paul Wilson</t>
  </si>
  <si>
    <t>Douglas Gregory</t>
  </si>
  <si>
    <t>Mr. Andrew Foster</t>
  </si>
  <si>
    <t>Aimee Turner</t>
  </si>
  <si>
    <t>Chad Scott</t>
  </si>
  <si>
    <t>Adam Burgess</t>
  </si>
  <si>
    <t>James Padilla</t>
  </si>
  <si>
    <t>Sandra Drake</t>
  </si>
  <si>
    <t>Scott Williams</t>
  </si>
  <si>
    <t>Thomas Atkins</t>
  </si>
  <si>
    <t>Laura Mckinney</t>
  </si>
  <si>
    <t>Brian Smith</t>
  </si>
  <si>
    <t>Robert Montgomery</t>
  </si>
  <si>
    <t>Tamara Davis</t>
  </si>
  <si>
    <t>Dana Chapman</t>
  </si>
  <si>
    <t>Jennifer Collins</t>
  </si>
  <si>
    <t>Gary Jackson</t>
  </si>
  <si>
    <t>Ashley Hicks</t>
  </si>
  <si>
    <t>Hannah Luna</t>
  </si>
  <si>
    <t>Robin Young</t>
  </si>
  <si>
    <t>Craig Morrison</t>
  </si>
  <si>
    <t>Mary Thompson</t>
  </si>
  <si>
    <t>Kathleen Webster</t>
  </si>
  <si>
    <t>Joann Glass</t>
  </si>
  <si>
    <t>Madison Weber</t>
  </si>
  <si>
    <t>Lori Hernandez</t>
  </si>
  <si>
    <t>Jeremy Turner</t>
  </si>
  <si>
    <t>Anthony Romero</t>
  </si>
  <si>
    <t>Jesse Brown</t>
  </si>
  <si>
    <t>Angela Lin</t>
  </si>
  <si>
    <t>Lisa Hunter</t>
  </si>
  <si>
    <t>Julian Conner</t>
  </si>
  <si>
    <t>Joanna Pacheco</t>
  </si>
  <si>
    <t>Erica Alvarez</t>
  </si>
  <si>
    <t>Antonio Garcia</t>
  </si>
  <si>
    <t>Gwendolyn Klein</t>
  </si>
  <si>
    <t>Carrie Wright</t>
  </si>
  <si>
    <t>Jeffrey Mills</t>
  </si>
  <si>
    <t>Jake Campbell</t>
  </si>
  <si>
    <t>George Harper</t>
  </si>
  <si>
    <t>Maria Jones</t>
  </si>
  <si>
    <t>Michael Mitchell</t>
  </si>
  <si>
    <t>Mary Escobar</t>
  </si>
  <si>
    <t>Felicia Aguilar</t>
  </si>
  <si>
    <t>Gregory Ponce</t>
  </si>
  <si>
    <t>Jenna Larson</t>
  </si>
  <si>
    <t>Emily Bennett</t>
  </si>
  <si>
    <t>Robin Santiago</t>
  </si>
  <si>
    <t>Nancy Jennings</t>
  </si>
  <si>
    <t>Maria Henderson</t>
  </si>
  <si>
    <t>Jack White</t>
  </si>
  <si>
    <t>Travis Tucker</t>
  </si>
  <si>
    <t>Chad Jones</t>
  </si>
  <si>
    <t>Ashley Wise</t>
  </si>
  <si>
    <t>Sophia Johnson</t>
  </si>
  <si>
    <t>Ralph Anderson</t>
  </si>
  <si>
    <t>Christopher Guerra</t>
  </si>
  <si>
    <t>Rhonda Martin</t>
  </si>
  <si>
    <t>Jason Rhodes</t>
  </si>
  <si>
    <t>Jeremy Mitchell</t>
  </si>
  <si>
    <t>Joann Ferguson</t>
  </si>
  <si>
    <t>Robert Harrison</t>
  </si>
  <si>
    <t>Holly Valentine</t>
  </si>
  <si>
    <t>Mrs. Diane Reyes</t>
  </si>
  <si>
    <t>Tracy Montoya</t>
  </si>
  <si>
    <t>Brenda Wright</t>
  </si>
  <si>
    <t>Shelly Spencer</t>
  </si>
  <si>
    <t>Ryan Rosales</t>
  </si>
  <si>
    <t>Phillip Nelson</t>
  </si>
  <si>
    <t>Brittany Kim</t>
  </si>
  <si>
    <t>Courtney Hayes</t>
  </si>
  <si>
    <t>Alexander Brown</t>
  </si>
  <si>
    <t>Cynthia Vang</t>
  </si>
  <si>
    <t>Alfred Galvan</t>
  </si>
  <si>
    <t>Marie Moody</t>
  </si>
  <si>
    <t>Dustin Gallegos</t>
  </si>
  <si>
    <t>Brenda Thornton</t>
  </si>
  <si>
    <t>Aaron Miller</t>
  </si>
  <si>
    <t>Ruben Dunn</t>
  </si>
  <si>
    <t>Kelsey Rodriguez</t>
  </si>
  <si>
    <t>Eric Williams</t>
  </si>
  <si>
    <t>Riley Bryant</t>
  </si>
  <si>
    <t>Taylor Carlson</t>
  </si>
  <si>
    <t>Jose Allen</t>
  </si>
  <si>
    <t>Jeffrey Mendez</t>
  </si>
  <si>
    <t>Jason Beck</t>
  </si>
  <si>
    <t>William Jones</t>
  </si>
  <si>
    <t>Katie Mcneil</t>
  </si>
  <si>
    <t>Jeanette Harrison</t>
  </si>
  <si>
    <t>Veronica King</t>
  </si>
  <si>
    <t>Richard Cooper</t>
  </si>
  <si>
    <t>Lori Ingram</t>
  </si>
  <si>
    <t>Evelyn Williams</t>
  </si>
  <si>
    <t>Robin Thompson</t>
  </si>
  <si>
    <t>Julie Dominguez</t>
  </si>
  <si>
    <t>Robin Brown</t>
  </si>
  <si>
    <t>Judith Carter</t>
  </si>
  <si>
    <t>Curtis Williams</t>
  </si>
  <si>
    <t>Kaylee Hays</t>
  </si>
  <si>
    <t>Dawn Mullins</t>
  </si>
  <si>
    <t>Howard Norman</t>
  </si>
  <si>
    <t>Evelyn Martinez</t>
  </si>
  <si>
    <t>Steve Paul</t>
  </si>
  <si>
    <t>Jasmine Beltran</t>
  </si>
  <si>
    <t>Jonathan Glass MD</t>
  </si>
  <si>
    <t>Monica Miller</t>
  </si>
  <si>
    <t>Samantha Gardner</t>
  </si>
  <si>
    <t>Bobby Guerrero</t>
  </si>
  <si>
    <t>Lance Simmons</t>
  </si>
  <si>
    <t>Heather Williams</t>
  </si>
  <si>
    <t>Heather Bolton</t>
  </si>
  <si>
    <t>William Gould</t>
  </si>
  <si>
    <t>Mark Cox</t>
  </si>
  <si>
    <t>Meghan Cisneros</t>
  </si>
  <si>
    <t>Lawrence Harrington</t>
  </si>
  <si>
    <t>Austin Osborne</t>
  </si>
  <si>
    <t>James Bradley</t>
  </si>
  <si>
    <t>Meghan Rush</t>
  </si>
  <si>
    <t>Phillip Berry</t>
  </si>
  <si>
    <t>Jennifer Banks</t>
  </si>
  <si>
    <t>Brian Fitzgerald</t>
  </si>
  <si>
    <t>Mr. Justin Green III</t>
  </si>
  <si>
    <t>Zachary Mitchell</t>
  </si>
  <si>
    <t>Katherine Martinez</t>
  </si>
  <si>
    <t>Jodi Roach</t>
  </si>
  <si>
    <t>Brandon Fleming</t>
  </si>
  <si>
    <t>Emma Reed</t>
  </si>
  <si>
    <t>Joshua Vance</t>
  </si>
  <si>
    <t>Michelle Ho</t>
  </si>
  <si>
    <t>Rebecca Hicks</t>
  </si>
  <si>
    <t>Curtis Taylor</t>
  </si>
  <si>
    <t>Allison Spencer</t>
  </si>
  <si>
    <t>Robert Arnold</t>
  </si>
  <si>
    <t>Angelica Parker</t>
  </si>
  <si>
    <t>Dr. Kelly Hammond DVM</t>
  </si>
  <si>
    <t>William Day</t>
  </si>
  <si>
    <t>Michael Cooper</t>
  </si>
  <si>
    <t>Penny Bowman</t>
  </si>
  <si>
    <t>Vincent Reynolds</t>
  </si>
  <si>
    <t>Amy Martinez</t>
  </si>
  <si>
    <t>Christopher Morris</t>
  </si>
  <si>
    <t>Hannah Everett</t>
  </si>
  <si>
    <t>Sarah King</t>
  </si>
  <si>
    <t>Krista Martinez</t>
  </si>
  <si>
    <t>Joseph Shaw</t>
  </si>
  <si>
    <t>Todd Moore</t>
  </si>
  <si>
    <t>Michelle Jacobs</t>
  </si>
  <si>
    <t>Kristy Bryan</t>
  </si>
  <si>
    <t>Angel May</t>
  </si>
  <si>
    <t>Marilyn Wang</t>
  </si>
  <si>
    <t>Mark Jimenez</t>
  </si>
  <si>
    <t>Donna Frye</t>
  </si>
  <si>
    <t>Dr. Michael Evans</t>
  </si>
  <si>
    <t>Anthony Gonzales</t>
  </si>
  <si>
    <t>Mr. Lawrence Edwards</t>
  </si>
  <si>
    <t>Morgan Valencia</t>
  </si>
  <si>
    <t>Bianca Wood</t>
  </si>
  <si>
    <t>Emma Owens</t>
  </si>
  <si>
    <t>James Gilbert</t>
  </si>
  <si>
    <t>Sean Moore</t>
  </si>
  <si>
    <t>Kenneth Edwards</t>
  </si>
  <si>
    <t>Kathleen Robertson</t>
  </si>
  <si>
    <t>Mr. Alexander Landry MD</t>
  </si>
  <si>
    <t>Cindy Gomez</t>
  </si>
  <si>
    <t>Johnny Khan</t>
  </si>
  <si>
    <t>Julie Herrera</t>
  </si>
  <si>
    <t>Jessica Khan</t>
  </si>
  <si>
    <t>Pamela Diaz</t>
  </si>
  <si>
    <t>Kelly Lee</t>
  </si>
  <si>
    <t>Angel Gordon</t>
  </si>
  <si>
    <t>Diana Hays</t>
  </si>
  <si>
    <t>Barbara Hester</t>
  </si>
  <si>
    <t>Robert Morgan</t>
  </si>
  <si>
    <t>Nicole Gonzalez</t>
  </si>
  <si>
    <t>Kathryn Williams</t>
  </si>
  <si>
    <t>Gary Wells</t>
  </si>
  <si>
    <t>Larry Robertson</t>
  </si>
  <si>
    <t>Louis Martin</t>
  </si>
  <si>
    <t>Nancy Evans MD</t>
  </si>
  <si>
    <t>Kim Erickson</t>
  </si>
  <si>
    <t>Robert Richardson</t>
  </si>
  <si>
    <t>Veronica Silva</t>
  </si>
  <si>
    <t>Molly Watts</t>
  </si>
  <si>
    <t>John Coffey</t>
  </si>
  <si>
    <t>Paula Lane</t>
  </si>
  <si>
    <t>Lauren Jackson</t>
  </si>
  <si>
    <t>Lisa Randall</t>
  </si>
  <si>
    <t>Michael Johnson</t>
  </si>
  <si>
    <t>Ashley Smith</t>
  </si>
  <si>
    <t>Christian Vaughn</t>
  </si>
  <si>
    <t>Reginald Knapp</t>
  </si>
  <si>
    <t>Nancy Brown</t>
  </si>
  <si>
    <t>Daniel Nguyen</t>
  </si>
  <si>
    <t>Kelly Edwards</t>
  </si>
  <si>
    <t>Thomas Peterson</t>
  </si>
  <si>
    <t>Raymond Le</t>
  </si>
  <si>
    <t>Melissa Bishop</t>
  </si>
  <si>
    <t>David Grant</t>
  </si>
  <si>
    <t>William Evans</t>
  </si>
  <si>
    <t>Daniel Bush</t>
  </si>
  <si>
    <t>Gregory Peck</t>
  </si>
  <si>
    <t>Denise Martinez</t>
  </si>
  <si>
    <t>Jamie Baird</t>
  </si>
  <si>
    <t>Tina Ballard</t>
  </si>
  <si>
    <t>Dwayne Klein</t>
  </si>
  <si>
    <t>Jeremy Scott</t>
  </si>
  <si>
    <t>Dale Ryan</t>
  </si>
  <si>
    <t>Melissa Taylor</t>
  </si>
  <si>
    <t>Laurie Sanchez</t>
  </si>
  <si>
    <t>Kiara Little</t>
  </si>
  <si>
    <t>Jason Love</t>
  </si>
  <si>
    <t>Randy Smith</t>
  </si>
  <si>
    <t>Tanya Russell</t>
  </si>
  <si>
    <t>Sherry Woods</t>
  </si>
  <si>
    <t>Victor Morris</t>
  </si>
  <si>
    <t>Susan Davis</t>
  </si>
  <si>
    <t>Kimberly Sharp</t>
  </si>
  <si>
    <t>Susan Thompson</t>
  </si>
  <si>
    <t>Casey Gillespie</t>
  </si>
  <si>
    <t>Jennifer Simpson DVM</t>
  </si>
  <si>
    <t>Tammy Mcdowell</t>
  </si>
  <si>
    <t>Keith Rodriguez</t>
  </si>
  <si>
    <t>Mrs. Virginia Daniels</t>
  </si>
  <si>
    <t>Todd Rosales MD</t>
  </si>
  <si>
    <t>Brian Martin</t>
  </si>
  <si>
    <t>David Lopez</t>
  </si>
  <si>
    <t>Rachel Bradley</t>
  </si>
  <si>
    <t>Casey Chase</t>
  </si>
  <si>
    <t>Samantha Robertson</t>
  </si>
  <si>
    <t>Michael Lopez</t>
  </si>
  <si>
    <t>Franklin Wright</t>
  </si>
  <si>
    <t>David Molina</t>
  </si>
  <si>
    <t>Elizabeth Sharp</t>
  </si>
  <si>
    <t>Matthew Schwartz</t>
  </si>
  <si>
    <t>Bryan Parker</t>
  </si>
  <si>
    <t>Jonathan Jacobson</t>
  </si>
  <si>
    <t>Emily Wilson</t>
  </si>
  <si>
    <t>Elizabeth Mendez</t>
  </si>
  <si>
    <t>Casey Hernandez</t>
  </si>
  <si>
    <t>Lisa Perry</t>
  </si>
  <si>
    <t>Kaitlin Medina</t>
  </si>
  <si>
    <t>Colleen Wright</t>
  </si>
  <si>
    <t>Shelley Miller</t>
  </si>
  <si>
    <t>Michael Miller</t>
  </si>
  <si>
    <t>Amy Kelley</t>
  </si>
  <si>
    <t>Laura Hernandez</t>
  </si>
  <si>
    <t>Joseph Wilson</t>
  </si>
  <si>
    <t>Kevin Davis</t>
  </si>
  <si>
    <t>Rhonda Chavez</t>
  </si>
  <si>
    <t>Joyce Brown</t>
  </si>
  <si>
    <t>Robert Cummings</t>
  </si>
  <si>
    <t>Robert Reese</t>
  </si>
  <si>
    <t>Amber Cooper</t>
  </si>
  <si>
    <t>Zachary Michael</t>
  </si>
  <si>
    <t>Timothy Johnson</t>
  </si>
  <si>
    <t>Randy Cannon</t>
  </si>
  <si>
    <t>Maria Fisher</t>
  </si>
  <si>
    <t>Janet Kane DVM</t>
  </si>
  <si>
    <t>Michael Stanley</t>
  </si>
  <si>
    <t>Martha Bailey</t>
  </si>
  <si>
    <t>Joshua Rice</t>
  </si>
  <si>
    <t>Courtney Smith</t>
  </si>
  <si>
    <t>Edwin Nunez</t>
  </si>
  <si>
    <t>Kim Morrow</t>
  </si>
  <si>
    <t>Gregory Hill</t>
  </si>
  <si>
    <t>Molly Rodriguez</t>
  </si>
  <si>
    <t>Jennifer Miranda</t>
  </si>
  <si>
    <t>Alexis Harris</t>
  </si>
  <si>
    <t>Andrew Harper</t>
  </si>
  <si>
    <t>Amber Yang</t>
  </si>
  <si>
    <t>David Robinson</t>
  </si>
  <si>
    <t>Amy Gordon</t>
  </si>
  <si>
    <t>Robert Dennis</t>
  </si>
  <si>
    <t>Kyle Chambers</t>
  </si>
  <si>
    <t>Eric Thomas</t>
  </si>
  <si>
    <t>Connie Turner</t>
  </si>
  <si>
    <t>Travis Hobbs</t>
  </si>
  <si>
    <t>Lori Simmons</t>
  </si>
  <si>
    <t>William David DDS</t>
  </si>
  <si>
    <t>Emma Butler</t>
  </si>
  <si>
    <t>James Webster</t>
  </si>
  <si>
    <t>Samuel Turner</t>
  </si>
  <si>
    <t>Renee Melendez</t>
  </si>
  <si>
    <t>Tracy Grant</t>
  </si>
  <si>
    <t>David Harris</t>
  </si>
  <si>
    <t>Tammy Boone</t>
  </si>
  <si>
    <t>Nathaniel Lee</t>
  </si>
  <si>
    <t>Michael Morrison</t>
  </si>
  <si>
    <t>Chelsea Gill</t>
  </si>
  <si>
    <t>Kristin Mendoza</t>
  </si>
  <si>
    <t>Felicia Krueger</t>
  </si>
  <si>
    <t>Timothy Hayden</t>
  </si>
  <si>
    <t>Zachary Mendoza</t>
  </si>
  <si>
    <t>Larry Harris</t>
  </si>
  <si>
    <t>Kristen Rowe</t>
  </si>
  <si>
    <t>Joseph Howard</t>
  </si>
  <si>
    <t>Jose Crawford</t>
  </si>
  <si>
    <t>William Harrison</t>
  </si>
  <si>
    <t>Suzanne Wood</t>
  </si>
  <si>
    <t>Justin Walker</t>
  </si>
  <si>
    <t>Dean Donovan</t>
  </si>
  <si>
    <t>Jennifer Hernandez</t>
  </si>
  <si>
    <t>James Whitaker</t>
  </si>
  <si>
    <t>Mr. Michael Scott PhD</t>
  </si>
  <si>
    <t>Maria Henry</t>
  </si>
  <si>
    <t>Robert Jackson</t>
  </si>
  <si>
    <t>Katherine Stark</t>
  </si>
  <si>
    <t>Maria Brown</t>
  </si>
  <si>
    <t>Ryan Landry</t>
  </si>
  <si>
    <t>Pamela Gutierrez</t>
  </si>
  <si>
    <t>Crystal Mann</t>
  </si>
  <si>
    <t>Jonathan Brooks</t>
  </si>
  <si>
    <t>Mary Jensen</t>
  </si>
  <si>
    <t>Mr. Aaron Arnold</t>
  </si>
  <si>
    <t>Joseph Hill</t>
  </si>
  <si>
    <t>Alicia Li</t>
  </si>
  <si>
    <t>Renee Browning</t>
  </si>
  <si>
    <t>Brent Hernandez</t>
  </si>
  <si>
    <t>Joseph Ochoa</t>
  </si>
  <si>
    <t>James Watson</t>
  </si>
  <si>
    <t>Karl Branch</t>
  </si>
  <si>
    <t>Michael Abbott</t>
  </si>
  <si>
    <t>Shannon Malone</t>
  </si>
  <si>
    <t>James Tran</t>
  </si>
  <si>
    <t>Adam Jackson</t>
  </si>
  <si>
    <t>Mr. Richard Knight PhD</t>
  </si>
  <si>
    <t>Joseph Williams</t>
  </si>
  <si>
    <t>Sean Clay</t>
  </si>
  <si>
    <t>Anthony Jones</t>
  </si>
  <si>
    <t>Stephanie Elliott</t>
  </si>
  <si>
    <t>Timothy Edwards</t>
  </si>
  <si>
    <t>Laurie Goodwin</t>
  </si>
  <si>
    <t>Jennifer Jones</t>
  </si>
  <si>
    <t>David Davenport</t>
  </si>
  <si>
    <t>Steven Rivera</t>
  </si>
  <si>
    <t>Brenda Hinton</t>
  </si>
  <si>
    <t>Kathryn Mccann</t>
  </si>
  <si>
    <t>Jeffrey Roberson</t>
  </si>
  <si>
    <t>Randy Friedman</t>
  </si>
  <si>
    <t>Raymond Johnson</t>
  </si>
  <si>
    <t>Willie Henry</t>
  </si>
  <si>
    <t>Todd Reynolds</t>
  </si>
  <si>
    <t>Mary Miller</t>
  </si>
  <si>
    <t>Rebecca Marquez</t>
  </si>
  <si>
    <t>Christian Dawson</t>
  </si>
  <si>
    <t>Nancy Stewart</t>
  </si>
  <si>
    <t>Aaron Parker</t>
  </si>
  <si>
    <t>Derrick Anderson</t>
  </si>
  <si>
    <t>Jerry Peters</t>
  </si>
  <si>
    <t>Alexander Gomez</t>
  </si>
  <si>
    <t>Kyle Nguyen</t>
  </si>
  <si>
    <t>Edgar Hughes</t>
  </si>
  <si>
    <t>Steven Stein</t>
  </si>
  <si>
    <t>Laura Jackson</t>
  </si>
  <si>
    <t>Charles Turner</t>
  </si>
  <si>
    <t>Arthur Hamilton MD</t>
  </si>
  <si>
    <t>Mr. David Wright</t>
  </si>
  <si>
    <t>Linda Gonzalez</t>
  </si>
  <si>
    <t>Eric Rush</t>
  </si>
  <si>
    <t>Manuel Brock</t>
  </si>
  <si>
    <t>George Ochoa</t>
  </si>
  <si>
    <t>Valerie Taylor</t>
  </si>
  <si>
    <t>Travis Harris</t>
  </si>
  <si>
    <t>Vincent Novak</t>
  </si>
  <si>
    <t>Michael Henry</t>
  </si>
  <si>
    <t>Dana Bennett</t>
  </si>
  <si>
    <t>Jenna Wilson</t>
  </si>
  <si>
    <t>Leslie Gardner</t>
  </si>
  <si>
    <t>Krista Benton</t>
  </si>
  <si>
    <t>Michael Gonzales</t>
  </si>
  <si>
    <t>Michael Fuentes</t>
  </si>
  <si>
    <t>Jennifer Porter</t>
  </si>
  <si>
    <t>Dana Hopkins</t>
  </si>
  <si>
    <t>Rachel Jones</t>
  </si>
  <si>
    <t>Karen Morales DDS</t>
  </si>
  <si>
    <t>Melissa Stephens</t>
  </si>
  <si>
    <t>Heather Woodard</t>
  </si>
  <si>
    <t>Margaret Miller</t>
  </si>
  <si>
    <t>Mary Kelly</t>
  </si>
  <si>
    <t>Amanda Terrell</t>
  </si>
  <si>
    <t>Jennifer Goodwin</t>
  </si>
  <si>
    <t>Jorge Stone</t>
  </si>
  <si>
    <t>Laura Griffin</t>
  </si>
  <si>
    <t>Raymond Chapman</t>
  </si>
  <si>
    <t>Haley Johnson</t>
  </si>
  <si>
    <t>Jason Nixon</t>
  </si>
  <si>
    <t>Todd Thomas</t>
  </si>
  <si>
    <t>Jesse Clark</t>
  </si>
  <si>
    <t>Mr. Jeffrey Horton</t>
  </si>
  <si>
    <t>Eric Patrick</t>
  </si>
  <si>
    <t>Samuel Wong</t>
  </si>
  <si>
    <t>Carly Riggs</t>
  </si>
  <si>
    <t>Christopher Moore</t>
  </si>
  <si>
    <t>Tina Hall</t>
  </si>
  <si>
    <t>Cody Davidson</t>
  </si>
  <si>
    <t>Allen Mendez</t>
  </si>
  <si>
    <t>Kevin Price</t>
  </si>
  <si>
    <t>Christine Goodwin</t>
  </si>
  <si>
    <t>Amy Garcia</t>
  </si>
  <si>
    <t>Chelsea Nguyen</t>
  </si>
  <si>
    <t>Dennis Huffman</t>
  </si>
  <si>
    <t>Margaret Harper</t>
  </si>
  <si>
    <t>Laurie Bailey</t>
  </si>
  <si>
    <t>Lisa Cervantes</t>
  </si>
  <si>
    <t>Cesar Wilson</t>
  </si>
  <si>
    <t>Clayton Steele</t>
  </si>
  <si>
    <t>Jennifer Taylor</t>
  </si>
  <si>
    <t>Cody Reid</t>
  </si>
  <si>
    <t>Maria Cooke</t>
  </si>
  <si>
    <t>Katherine Taylor</t>
  </si>
  <si>
    <t>Jerry Brown</t>
  </si>
  <si>
    <t>Adam Taylor</t>
  </si>
  <si>
    <t>Tracey Wagner</t>
  </si>
  <si>
    <t>Michael Perry PhD</t>
  </si>
  <si>
    <t>Bradley Johnson DDS</t>
  </si>
  <si>
    <t>Donald Medina</t>
  </si>
  <si>
    <t>Jim Newton</t>
  </si>
  <si>
    <t>Krista Wilson</t>
  </si>
  <si>
    <t>Reginald Morrow</t>
  </si>
  <si>
    <t>Rodney Williams</t>
  </si>
  <si>
    <t>Kimberly Fritz</t>
  </si>
  <si>
    <t>Ronald Potter</t>
  </si>
  <si>
    <t>Zachary Cole</t>
  </si>
  <si>
    <t>Robert Gonzales</t>
  </si>
  <si>
    <t>Patricia Young PhD</t>
  </si>
  <si>
    <t>Heather Page</t>
  </si>
  <si>
    <t>Carol Taylor</t>
  </si>
  <si>
    <t>Daniel Brown</t>
  </si>
  <si>
    <t>Douglas Ryan</t>
  </si>
  <si>
    <t>Michael Roberts</t>
  </si>
  <si>
    <t>Scott Duke</t>
  </si>
  <si>
    <t>Anna Estes</t>
  </si>
  <si>
    <t>Tamara Riddle</t>
  </si>
  <si>
    <t>Beth Cline</t>
  </si>
  <si>
    <t>Michael Poole</t>
  </si>
  <si>
    <t>Megan Burns</t>
  </si>
  <si>
    <t>Debra Perry</t>
  </si>
  <si>
    <t>Mark Beard</t>
  </si>
  <si>
    <t>Jose Ramirez</t>
  </si>
  <si>
    <t>Jackie Clements</t>
  </si>
  <si>
    <t>Aaron Schroeder</t>
  </si>
  <si>
    <t>Monica Ellis</t>
  </si>
  <si>
    <t>Heather Brown</t>
  </si>
  <si>
    <t>Claudia Jordan</t>
  </si>
  <si>
    <t>Derrick Clayton</t>
  </si>
  <si>
    <t>Kenneth Knight</t>
  </si>
  <si>
    <t>Mr. Michael Williams</t>
  </si>
  <si>
    <t>Richard Stevens</t>
  </si>
  <si>
    <t>Scott Alexander</t>
  </si>
  <si>
    <t>Tyler Harris</t>
  </si>
  <si>
    <t>Bonnie Santos</t>
  </si>
  <si>
    <t>Timothy Hill</t>
  </si>
  <si>
    <t>Danielle Watson</t>
  </si>
  <si>
    <t>Carol Sanders</t>
  </si>
  <si>
    <t>Michael Young</t>
  </si>
  <si>
    <t>Michele Smith</t>
  </si>
  <si>
    <t>Casey Perez</t>
  </si>
  <si>
    <t>Alexandra Dominguez</t>
  </si>
  <si>
    <t>Virginia Henderson</t>
  </si>
  <si>
    <t>Benjamin Reyes</t>
  </si>
  <si>
    <t>Ashley Edwards</t>
  </si>
  <si>
    <t>Breanna Ayala</t>
  </si>
  <si>
    <t>Brandi Haney</t>
  </si>
  <si>
    <t>Joseph Smith</t>
  </si>
  <si>
    <t>Jessica Bowen</t>
  </si>
  <si>
    <t>Brittany Jenkins</t>
  </si>
  <si>
    <t>Shannon Miller</t>
  </si>
  <si>
    <t>Paul Lawrence</t>
  </si>
  <si>
    <t>Victor Edwards</t>
  </si>
  <si>
    <t>Donald Miller</t>
  </si>
  <si>
    <t>Lindsay Lawson</t>
  </si>
  <si>
    <t>Melissa Abbott</t>
  </si>
  <si>
    <t>Elizabeth Holmes</t>
  </si>
  <si>
    <t>Nicole Phillips</t>
  </si>
  <si>
    <t>Steven Blevins</t>
  </si>
  <si>
    <t>Brian Porter MD</t>
  </si>
  <si>
    <t>Vanessa Hatfield</t>
  </si>
  <si>
    <t>Bonnie Valencia</t>
  </si>
  <si>
    <t>Holly Vega</t>
  </si>
  <si>
    <t>Tiffany Townsend</t>
  </si>
  <si>
    <t>Austin Baker</t>
  </si>
  <si>
    <t>Antonio Mccormick</t>
  </si>
  <si>
    <t>Lori Mason</t>
  </si>
  <si>
    <t>Lisa Ramirez</t>
  </si>
  <si>
    <t>Jorge Harris</t>
  </si>
  <si>
    <t>Kimberly Myers</t>
  </si>
  <si>
    <t>Sandra Becker</t>
  </si>
  <si>
    <t>Michael Blair</t>
  </si>
  <si>
    <t>Amy Miller</t>
  </si>
  <si>
    <t>Jesse Lynch</t>
  </si>
  <si>
    <t>Patrick Yang</t>
  </si>
  <si>
    <t>Michael Miles</t>
  </si>
  <si>
    <t>Troy Mills</t>
  </si>
  <si>
    <t>Michelle Jackson</t>
  </si>
  <si>
    <t>Richard Adams</t>
  </si>
  <si>
    <t>Patricia Johnson</t>
  </si>
  <si>
    <t>Denise Brown</t>
  </si>
  <si>
    <t>Laura Jones</t>
  </si>
  <si>
    <t>Ian Porter</t>
  </si>
  <si>
    <t>Holly Scott</t>
  </si>
  <si>
    <t>Kenneth Sharp</t>
  </si>
  <si>
    <t>Jordan Williams</t>
  </si>
  <si>
    <t>Dana Ruiz</t>
  </si>
  <si>
    <t>Chris Velazquez</t>
  </si>
  <si>
    <t>Kristen Sloan</t>
  </si>
  <si>
    <t>Jennifer Morris</t>
  </si>
  <si>
    <t>Nathan Nelson</t>
  </si>
  <si>
    <t>Jake Shaw</t>
  </si>
  <si>
    <t>Cassie Brock</t>
  </si>
  <si>
    <t>Dr. Andrea Marshall</t>
  </si>
  <si>
    <t>Ryan Murphy</t>
  </si>
  <si>
    <t>Aimee Gonzalez</t>
  </si>
  <si>
    <t>Elizabeth Dean</t>
  </si>
  <si>
    <t>Kevin Snyder</t>
  </si>
  <si>
    <t>Christie Mccullough</t>
  </si>
  <si>
    <t>Danielle Smith</t>
  </si>
  <si>
    <t>David Reed</t>
  </si>
  <si>
    <t>Sherry Tapia</t>
  </si>
  <si>
    <t>Matthew Sweeney</t>
  </si>
  <si>
    <t>Ashley Moreno</t>
  </si>
  <si>
    <t>Johnathan Brown</t>
  </si>
  <si>
    <t>Michelle Davis DVM</t>
  </si>
  <si>
    <t>Kelly Haynes</t>
  </si>
  <si>
    <t>William Miller</t>
  </si>
  <si>
    <t>Casey Wilkins</t>
  </si>
  <si>
    <t>Keith Graham</t>
  </si>
  <si>
    <t>Cynthia Green</t>
  </si>
  <si>
    <t>Robert Haynes</t>
  </si>
  <si>
    <t>Emily Nelson</t>
  </si>
  <si>
    <t>Dale Chan</t>
  </si>
  <si>
    <t>Brittney Martin</t>
  </si>
  <si>
    <t>Jason Herrera</t>
  </si>
  <si>
    <t>Christine Parker</t>
  </si>
  <si>
    <t>Bryan Moore</t>
  </si>
  <si>
    <t>Samantha Terry</t>
  </si>
  <si>
    <t>Russell Murphy</t>
  </si>
  <si>
    <t>David Kelly</t>
  </si>
  <si>
    <t>Megan Green</t>
  </si>
  <si>
    <t>Amanda Sullivan MD</t>
  </si>
  <si>
    <t>Danielle Murray</t>
  </si>
  <si>
    <t>Brenda Smith</t>
  </si>
  <si>
    <t>Vickie Anderson</t>
  </si>
  <si>
    <t>Jacqueline Mccoy</t>
  </si>
  <si>
    <t>Lauren Green</t>
  </si>
  <si>
    <t>Alison Brown</t>
  </si>
  <si>
    <t>Jill Anderson</t>
  </si>
  <si>
    <t>Sandra Rivera</t>
  </si>
  <si>
    <t>Joel Jackson</t>
  </si>
  <si>
    <t>Samantha Foster</t>
  </si>
  <si>
    <t>Michael Thompson</t>
  </si>
  <si>
    <t>Cody Ramirez</t>
  </si>
  <si>
    <t>Amanda Harvey</t>
  </si>
  <si>
    <t>Edward Jenkins</t>
  </si>
  <si>
    <t>Amy Ramirez</t>
  </si>
  <si>
    <t>Curtis Wilkerson</t>
  </si>
  <si>
    <t>Lydia Pham</t>
  </si>
  <si>
    <t>Virginia Casey</t>
  </si>
  <si>
    <t>Joshua Washington</t>
  </si>
  <si>
    <t>Kathryn Price</t>
  </si>
  <si>
    <t>Francis Robinson</t>
  </si>
  <si>
    <t>Paula Brown</t>
  </si>
  <si>
    <t>Kendra Wang DVM</t>
  </si>
  <si>
    <t>Ariel Sandoval</t>
  </si>
  <si>
    <t>Robert Stark</t>
  </si>
  <si>
    <t>Zachary Robinson</t>
  </si>
  <si>
    <t>Rebecca Kelly</t>
  </si>
  <si>
    <t>Sarah Thompson</t>
  </si>
  <si>
    <t>Renee Wolfe</t>
  </si>
  <si>
    <t>Alyssa Haynes</t>
  </si>
  <si>
    <t>Kristy Hart</t>
  </si>
  <si>
    <t>William Keith</t>
  </si>
  <si>
    <t>Eric Henry Jr.</t>
  </si>
  <si>
    <t>Daniel Fox</t>
  </si>
  <si>
    <t>Thomas Harris</t>
  </si>
  <si>
    <t>Mitchell Sellers</t>
  </si>
  <si>
    <t>Erica Johnson</t>
  </si>
  <si>
    <t>Sylvia Schroeder</t>
  </si>
  <si>
    <t>Shannon Yu</t>
  </si>
  <si>
    <t>Tom Foster</t>
  </si>
  <si>
    <t>Eric Taylor</t>
  </si>
  <si>
    <t>Travis Conner</t>
  </si>
  <si>
    <t>Marie Thompson</t>
  </si>
  <si>
    <t>Melissa Mcfarland</t>
  </si>
  <si>
    <t>Courtney Chapman</t>
  </si>
  <si>
    <t>Eric Barker</t>
  </si>
  <si>
    <t>Nicholas Rush</t>
  </si>
  <si>
    <t>Jenna Gamble</t>
  </si>
  <si>
    <t>Amanda Guzman</t>
  </si>
  <si>
    <t>Tracy Walker</t>
  </si>
  <si>
    <t>Taylor Taylor</t>
  </si>
  <si>
    <t>Cynthia Haas</t>
  </si>
  <si>
    <t>Stephen Davis</t>
  </si>
  <si>
    <t>Margaret Tanner</t>
  </si>
  <si>
    <t>Derek Wright</t>
  </si>
  <si>
    <t>David Rodriguez</t>
  </si>
  <si>
    <t>James Oconnor</t>
  </si>
  <si>
    <t>Stacey Snyder</t>
  </si>
  <si>
    <t>Joshua Garcia</t>
  </si>
  <si>
    <t>Sean Curtis</t>
  </si>
  <si>
    <t>Carla Jones</t>
  </si>
  <si>
    <t>Elizabeth Flores</t>
  </si>
  <si>
    <t>Angela Jackson</t>
  </si>
  <si>
    <t>Nicholas Payne</t>
  </si>
  <si>
    <t>Anna Wheeler</t>
  </si>
  <si>
    <t>Karen Johnson</t>
  </si>
  <si>
    <t>Carmen Preston</t>
  </si>
  <si>
    <t>Brian Harris</t>
  </si>
  <si>
    <t>Michael Bowen</t>
  </si>
  <si>
    <t>Deborah Campbell</t>
  </si>
  <si>
    <t>Anthony Armstrong</t>
  </si>
  <si>
    <t>Brittany Ward</t>
  </si>
  <si>
    <t>Edward Stanley</t>
  </si>
  <si>
    <t>Christina Johnson</t>
  </si>
  <si>
    <t>Edgar Miller</t>
  </si>
  <si>
    <t>Elizabeth Sanders</t>
  </si>
  <si>
    <t>Matthew Davis MD</t>
  </si>
  <si>
    <t>Stephen Wood</t>
  </si>
  <si>
    <t>Dennis Marshall</t>
  </si>
  <si>
    <t>Derrick Brown</t>
  </si>
  <si>
    <t>Joshua Arellano</t>
  </si>
  <si>
    <t>Kristen Randall</t>
  </si>
  <si>
    <t>Jennifer Nichols</t>
  </si>
  <si>
    <t>Karen Keith</t>
  </si>
  <si>
    <t>Blake Orr</t>
  </si>
  <si>
    <t>Kathryn Lester</t>
  </si>
  <si>
    <t>Megan Oliver</t>
  </si>
  <si>
    <t>Peter Thompson</t>
  </si>
  <si>
    <t>Dr. Rhonda Martinez</t>
  </si>
  <si>
    <t>William Graham</t>
  </si>
  <si>
    <t>Lori Flowers MD</t>
  </si>
  <si>
    <t>Suzanne Jones</t>
  </si>
  <si>
    <t>James Nguyen</t>
  </si>
  <si>
    <t>Jimmy Marks</t>
  </si>
  <si>
    <t>Lisa Mills</t>
  </si>
  <si>
    <t>Jason Hernandez</t>
  </si>
  <si>
    <t>Olivia Ayers</t>
  </si>
  <si>
    <t>Kristine Garcia</t>
  </si>
  <si>
    <t>Joseph Cooper</t>
  </si>
  <si>
    <t>James Washington</t>
  </si>
  <si>
    <t>Amanda Hill</t>
  </si>
  <si>
    <t>Lee Steele</t>
  </si>
  <si>
    <t>Steve Rivera</t>
  </si>
  <si>
    <t>Patrick Mccall</t>
  </si>
  <si>
    <t>Alicia Roth</t>
  </si>
  <si>
    <t>Douglas Vasquez</t>
  </si>
  <si>
    <t>Annette Melton</t>
  </si>
  <si>
    <t>William Ramos</t>
  </si>
  <si>
    <t>Debra Butler</t>
  </si>
  <si>
    <t>Chelsea Lewis</t>
  </si>
  <si>
    <t>Natalie Malone</t>
  </si>
  <si>
    <t>Eric Hunter</t>
  </si>
  <si>
    <t>Samuel Suarez</t>
  </si>
  <si>
    <t>Corey Whitaker</t>
  </si>
  <si>
    <t>Danielle Bryant</t>
  </si>
  <si>
    <t>Michele Hill</t>
  </si>
  <si>
    <t>Kathy Reid</t>
  </si>
  <si>
    <t>Andre Watson</t>
  </si>
  <si>
    <t>Cassandra Harrell</t>
  </si>
  <si>
    <t>Hannah Martin</t>
  </si>
  <si>
    <t>Nicole Barker</t>
  </si>
  <si>
    <t>James Martin</t>
  </si>
  <si>
    <t>Traci Vincent</t>
  </si>
  <si>
    <t>Megan Adams</t>
  </si>
  <si>
    <t>Alejandro Deleon</t>
  </si>
  <si>
    <t>Alexa Buck</t>
  </si>
  <si>
    <t>Lindsay Smith</t>
  </si>
  <si>
    <t>Robert Torres</t>
  </si>
  <si>
    <t>Maria Coleman</t>
  </si>
  <si>
    <t>Gregory King</t>
  </si>
  <si>
    <t>Michael Holloway</t>
  </si>
  <si>
    <t>Brian Hunt</t>
  </si>
  <si>
    <t>Sarah Brooks</t>
  </si>
  <si>
    <t>Lisa Evans</t>
  </si>
  <si>
    <t>Arthur Mcneil</t>
  </si>
  <si>
    <t>Shannon Green</t>
  </si>
  <si>
    <t>Stephanie Evans</t>
  </si>
  <si>
    <t>Ralph Yoder</t>
  </si>
  <si>
    <t>Rebekah Greene</t>
  </si>
  <si>
    <t>Melanie Griffith</t>
  </si>
  <si>
    <t>Yolanda Green</t>
  </si>
  <si>
    <t>James Johnson</t>
  </si>
  <si>
    <t>Laura Lee</t>
  </si>
  <si>
    <t>Courtney Nichols</t>
  </si>
  <si>
    <t>Susan Powers</t>
  </si>
  <si>
    <t>Sarah Pittman</t>
  </si>
  <si>
    <t>Catherine Davis</t>
  </si>
  <si>
    <t>David Stokes</t>
  </si>
  <si>
    <t>Catherine Frazier</t>
  </si>
  <si>
    <t>Brandon Kelly</t>
  </si>
  <si>
    <t>Elizabeth French</t>
  </si>
  <si>
    <t>David Carter</t>
  </si>
  <si>
    <t>Julie Delacruz</t>
  </si>
  <si>
    <t>Terry Jones</t>
  </si>
  <si>
    <t>Kathryn Dillon</t>
  </si>
  <si>
    <t>Edwin Brown</t>
  </si>
  <si>
    <t>Brenda Gonzalez</t>
  </si>
  <si>
    <t>Keith Knox</t>
  </si>
  <si>
    <t>Eugene Baldwin</t>
  </si>
  <si>
    <t>Katherine Welch</t>
  </si>
  <si>
    <t>Mark Smith</t>
  </si>
  <si>
    <t>Philip Jackson</t>
  </si>
  <si>
    <t>Katherine Gallagher</t>
  </si>
  <si>
    <t>Lucas Schultz</t>
  </si>
  <si>
    <t>Vincent Reyes</t>
  </si>
  <si>
    <t>Curtis Watson</t>
  </si>
  <si>
    <t>Frank Whitaker</t>
  </si>
  <si>
    <t>Michael Sims</t>
  </si>
  <si>
    <t>James Chapman</t>
  </si>
  <si>
    <t>Rodney Evans</t>
  </si>
  <si>
    <t>Nicholas Carlson</t>
  </si>
  <si>
    <t>Stephen Cowan</t>
  </si>
  <si>
    <t>Steven Howard</t>
  </si>
  <si>
    <t>Travis Hull</t>
  </si>
  <si>
    <t>Darryl Acosta</t>
  </si>
  <si>
    <t>Nicholas Lawrence</t>
  </si>
  <si>
    <t>Jacob Santos</t>
  </si>
  <si>
    <t>Shawn Scott</t>
  </si>
  <si>
    <t>Amber Vang</t>
  </si>
  <si>
    <t>Martha Smith</t>
  </si>
  <si>
    <t>Jennifer James</t>
  </si>
  <si>
    <t>Kara Hernandez</t>
  </si>
  <si>
    <t>Lorraine Turner</t>
  </si>
  <si>
    <t>Mary Nelson</t>
  </si>
  <si>
    <t>Breanna Rivas</t>
  </si>
  <si>
    <t>Nathan Wilson</t>
  </si>
  <si>
    <t>Brian Gonzalez</t>
  </si>
  <si>
    <t>Dennis Mills</t>
  </si>
  <si>
    <t>Michael Phillips</t>
  </si>
  <si>
    <t>Jon Clark</t>
  </si>
  <si>
    <t>Erin Smith</t>
  </si>
  <si>
    <t>Susan Conley</t>
  </si>
  <si>
    <t>Brittany Davis</t>
  </si>
  <si>
    <t>Misty Garcia</t>
  </si>
  <si>
    <t>David Hinton</t>
  </si>
  <si>
    <t>John Garcia</t>
  </si>
  <si>
    <t>Andrew Roberts</t>
  </si>
  <si>
    <t>Emily Rodgers</t>
  </si>
  <si>
    <t>Peter Williams</t>
  </si>
  <si>
    <t>Mary Jackson</t>
  </si>
  <si>
    <t>Jeffrey Howell</t>
  </si>
  <si>
    <t>Anna Briggs</t>
  </si>
  <si>
    <t>James Rivers</t>
  </si>
  <si>
    <t>James Jefferson</t>
  </si>
  <si>
    <t>Mariah Robles</t>
  </si>
  <si>
    <t>Michael Brown</t>
  </si>
  <si>
    <t>Caitlin Perry</t>
  </si>
  <si>
    <t>Rebekah Gregory</t>
  </si>
  <si>
    <t>James Howard</t>
  </si>
  <si>
    <t>Michael Roberson</t>
  </si>
  <si>
    <t>Bianca Knapp</t>
  </si>
  <si>
    <t>Jason Williams</t>
  </si>
  <si>
    <t>Ernest Bush</t>
  </si>
  <si>
    <t>Patricia Ray</t>
  </si>
  <si>
    <t>Vanessa Santiago</t>
  </si>
  <si>
    <t>Joseph Haynes</t>
  </si>
  <si>
    <t>Matthew Wright</t>
  </si>
  <si>
    <t>Michael Cruz</t>
  </si>
  <si>
    <t>Kristin Huerta</t>
  </si>
  <si>
    <t>Mason Moore</t>
  </si>
  <si>
    <t>Sarah Booth</t>
  </si>
  <si>
    <t>John Allen</t>
  </si>
  <si>
    <t>Amber Walker</t>
  </si>
  <si>
    <t>Jennifer Young</t>
  </si>
  <si>
    <t>Robert West</t>
  </si>
  <si>
    <t>Jillian Wilson</t>
  </si>
  <si>
    <t>Matthew Garcia MD</t>
  </si>
  <si>
    <t>April Davis</t>
  </si>
  <si>
    <t>Lisa Torres</t>
  </si>
  <si>
    <t>Christine Powers</t>
  </si>
  <si>
    <t>Heidi Brown</t>
  </si>
  <si>
    <t>Jesse Castro</t>
  </si>
  <si>
    <t>Kara Sandoval</t>
  </si>
  <si>
    <t>Ashley Malone</t>
  </si>
  <si>
    <t>Glenn Gallegos</t>
  </si>
  <si>
    <t>Dorothy Boyd</t>
  </si>
  <si>
    <t>Amber Martin</t>
  </si>
  <si>
    <t>Mitchell Griffith</t>
  </si>
  <si>
    <t>Levi Lopez</t>
  </si>
  <si>
    <t>Jenna Bryant</t>
  </si>
  <si>
    <t>Michelle Rodriguez</t>
  </si>
  <si>
    <t>Timothy Monroe</t>
  </si>
  <si>
    <t>Patricia Hayes</t>
  </si>
  <si>
    <t>Tina Taylor</t>
  </si>
  <si>
    <t>Mr. Anthony Mcconnell PhD</t>
  </si>
  <si>
    <t>Mr. Thomas Thompson</t>
  </si>
  <si>
    <t>Monica Anderson</t>
  </si>
  <si>
    <t>Kyle Andrade</t>
  </si>
  <si>
    <t>Janice Petty</t>
  </si>
  <si>
    <t>Pamela Hill</t>
  </si>
  <si>
    <t>Tracy Chavez</t>
  </si>
  <si>
    <t>Jason Graves</t>
  </si>
  <si>
    <t>Elizabeth Miles</t>
  </si>
  <si>
    <t>Michelle Walls</t>
  </si>
  <si>
    <t>Christina Weber</t>
  </si>
  <si>
    <t>Gregory Chambers</t>
  </si>
  <si>
    <t>Miss Tina Gordon</t>
  </si>
  <si>
    <t>Erica Wilson</t>
  </si>
  <si>
    <t>John Duncan</t>
  </si>
  <si>
    <t>Donna Boone</t>
  </si>
  <si>
    <t>Kelly Johnson</t>
  </si>
  <si>
    <t>Michael Gonzalez</t>
  </si>
  <si>
    <t>Candace Mitchell</t>
  </si>
  <si>
    <t>Ryan Vaughn</t>
  </si>
  <si>
    <t>Paul Johnson</t>
  </si>
  <si>
    <t>Ashley Parrish</t>
  </si>
  <si>
    <t>Sharon Newton</t>
  </si>
  <si>
    <t>Cynthia Mueller</t>
  </si>
  <si>
    <t>Donna Beck</t>
  </si>
  <si>
    <t>Jasmine Frye</t>
  </si>
  <si>
    <t>Emily Arnold</t>
  </si>
  <si>
    <t>David Oliver</t>
  </si>
  <si>
    <t>Sheila Greer</t>
  </si>
  <si>
    <t>Michele Holland</t>
  </si>
  <si>
    <t>Kimberly Morrison</t>
  </si>
  <si>
    <t>Tracey Phillips</t>
  </si>
  <si>
    <t>Jose Bennett</t>
  </si>
  <si>
    <t>Justin Anderson</t>
  </si>
  <si>
    <t>Dawn Rivera</t>
  </si>
  <si>
    <t>Brittney Hernandez</t>
  </si>
  <si>
    <t>Anthony Randolph</t>
  </si>
  <si>
    <t>Mary Henry</t>
  </si>
  <si>
    <t>Heather Bowers</t>
  </si>
  <si>
    <t>Daniel White</t>
  </si>
  <si>
    <t>Jonathan Perry</t>
  </si>
  <si>
    <t>Anna Walker</t>
  </si>
  <si>
    <t>Gary Ward</t>
  </si>
  <si>
    <t>Paul Moreno</t>
  </si>
  <si>
    <t>Samantha Zavala MD</t>
  </si>
  <si>
    <t>Jill Conway</t>
  </si>
  <si>
    <t>Lisa Haley</t>
  </si>
  <si>
    <t>Erica Moon</t>
  </si>
  <si>
    <t>Janice Fernandez</t>
  </si>
  <si>
    <t>Thomas Short</t>
  </si>
  <si>
    <t>Robert Griffin</t>
  </si>
  <si>
    <t>Steven Lee</t>
  </si>
  <si>
    <t>Tiffany Jackson</t>
  </si>
  <si>
    <t>Kimberly Smith</t>
  </si>
  <si>
    <t>Michael Ayala</t>
  </si>
  <si>
    <t>Michele Cherry</t>
  </si>
  <si>
    <t>Maria Case</t>
  </si>
  <si>
    <t>Brittany Stevens</t>
  </si>
  <si>
    <t>Brandon Brown</t>
  </si>
  <si>
    <t>Kristin Andrews</t>
  </si>
  <si>
    <t>David Hughes</t>
  </si>
  <si>
    <t>Kimberly May</t>
  </si>
  <si>
    <t>Nicole Richards</t>
  </si>
  <si>
    <t>Angel Reilly</t>
  </si>
  <si>
    <t>Richard Turner</t>
  </si>
  <si>
    <t>Preston Kim</t>
  </si>
  <si>
    <t>Matthew Wells</t>
  </si>
  <si>
    <t>Brandy Myers</t>
  </si>
  <si>
    <t>Kimberly Choi</t>
  </si>
  <si>
    <t>Michael Sloan</t>
  </si>
  <si>
    <t>Monica Brooks</t>
  </si>
  <si>
    <t>Kristen Peters</t>
  </si>
  <si>
    <t>Aaron Carlson</t>
  </si>
  <si>
    <t>Theresa Torres</t>
  </si>
  <si>
    <t>Stephanie Cooper</t>
  </si>
  <si>
    <t>Matthew Hunt</t>
  </si>
  <si>
    <t>Daniel Davenport</t>
  </si>
  <si>
    <t>Christopher Marsh</t>
  </si>
  <si>
    <t>Sarah Randolph</t>
  </si>
  <si>
    <t>Julia Dunn MD</t>
  </si>
  <si>
    <t>Brett Swanson</t>
  </si>
  <si>
    <t>Mr. Carl Rios</t>
  </si>
  <si>
    <t>Manuel Mccullough</t>
  </si>
  <si>
    <t>Jerry Jensen</t>
  </si>
  <si>
    <t>Kevin Cunningham</t>
  </si>
  <si>
    <t>Eugene Patterson</t>
  </si>
  <si>
    <t>David Walker</t>
  </si>
  <si>
    <t>Jessica Larsen</t>
  </si>
  <si>
    <t>Nicholas Humphrey</t>
  </si>
  <si>
    <t>Ian Torres</t>
  </si>
  <si>
    <t>Casey Obrien</t>
  </si>
  <si>
    <t>Shannon Taylor</t>
  </si>
  <si>
    <t>Deborah Mercado</t>
  </si>
  <si>
    <t>Bernard Smith</t>
  </si>
  <si>
    <t>Amanda Perkins</t>
  </si>
  <si>
    <t>Kevin Escobar</t>
  </si>
  <si>
    <t>Kimberly Lutz</t>
  </si>
  <si>
    <t>Reginald Diaz</t>
  </si>
  <si>
    <t>Raymond Quinn</t>
  </si>
  <si>
    <t>John Dixon</t>
  </si>
  <si>
    <t>Jonathan Bates</t>
  </si>
  <si>
    <t>Renee Mendez</t>
  </si>
  <si>
    <t>Jose Griffin</t>
  </si>
  <si>
    <t>Travis Hopkins</t>
  </si>
  <si>
    <t>Nancy Webb</t>
  </si>
  <si>
    <t>Daniel Freeman</t>
  </si>
  <si>
    <t>Jacob Williams</t>
  </si>
  <si>
    <t>Terry Ward</t>
  </si>
  <si>
    <t>Jesse Williams</t>
  </si>
  <si>
    <t>Mrs. Michele Boyd</t>
  </si>
  <si>
    <t>Sandy Baker</t>
  </si>
  <si>
    <t>Carrie Valdez</t>
  </si>
  <si>
    <t>Matthew Houston</t>
  </si>
  <si>
    <t>Jamie Solomon</t>
  </si>
  <si>
    <t>Heather Parrish</t>
  </si>
  <si>
    <t>Mr. Larry Shaw</t>
  </si>
  <si>
    <t>Christopher Jones</t>
  </si>
  <si>
    <t>Christine Lopez</t>
  </si>
  <si>
    <t>Mitchell Wilson</t>
  </si>
  <si>
    <t>Robert Cortez</t>
  </si>
  <si>
    <t>Mr. Daniel Martin</t>
  </si>
  <si>
    <t>Alison Williams</t>
  </si>
  <si>
    <t>Candace Soto</t>
  </si>
  <si>
    <t>Kenneth Brown</t>
  </si>
  <si>
    <t>Christopher Mullen</t>
  </si>
  <si>
    <t>Kristy Smith</t>
  </si>
  <si>
    <t>Mary Campbell</t>
  </si>
  <si>
    <t>Jerry Haney</t>
  </si>
  <si>
    <t>Carolyn Greer</t>
  </si>
  <si>
    <t>Rebecca Hoover</t>
  </si>
  <si>
    <t>Matthew Baker</t>
  </si>
  <si>
    <t>Grace Chavez</t>
  </si>
  <si>
    <t>Crystal Cruz</t>
  </si>
  <si>
    <t>Dale Heath</t>
  </si>
  <si>
    <t>John Mendez</t>
  </si>
  <si>
    <t>Richard Gordon</t>
  </si>
  <si>
    <t>Samantha Prince</t>
  </si>
  <si>
    <t>Marie Boyd</t>
  </si>
  <si>
    <t>Andrew Moreno</t>
  </si>
  <si>
    <t>Robert Clarke</t>
  </si>
  <si>
    <t>Kevin Figueroa</t>
  </si>
  <si>
    <t>Melissa Davis</t>
  </si>
  <si>
    <t>John Hall</t>
  </si>
  <si>
    <t>Diane Mcdowell</t>
  </si>
  <si>
    <t>Colin Fletcher</t>
  </si>
  <si>
    <t>Laura Wilson</t>
  </si>
  <si>
    <t>Matthew Watts</t>
  </si>
  <si>
    <t>Jack Moore</t>
  </si>
  <si>
    <t>Dawn Wyatt</t>
  </si>
  <si>
    <t>Jacob Hill</t>
  </si>
  <si>
    <t>Nicole Gutierrez</t>
  </si>
  <si>
    <t>Karen Wood</t>
  </si>
  <si>
    <t>Dawn Parker</t>
  </si>
  <si>
    <t>Michael Fitzgerald</t>
  </si>
  <si>
    <t>Mary Adkins</t>
  </si>
  <si>
    <t>Michael Martin</t>
  </si>
  <si>
    <t>James Morgan</t>
  </si>
  <si>
    <t>Melissa Mann</t>
  </si>
  <si>
    <t>Vincent Smith</t>
  </si>
  <si>
    <t>Charles Frost</t>
  </si>
  <si>
    <t>Austin Walker</t>
  </si>
  <si>
    <t>Andrew Cruz</t>
  </si>
  <si>
    <t>Miss Kelly Dawson</t>
  </si>
  <si>
    <t>Theresa Wilkins</t>
  </si>
  <si>
    <t>Jessica Harris</t>
  </si>
  <si>
    <t>Regina Mitchell</t>
  </si>
  <si>
    <t>Kyle Black</t>
  </si>
  <si>
    <t>Christopher Johnson</t>
  </si>
  <si>
    <t>Aaron Moore</t>
  </si>
  <si>
    <t>Penny Gomez MD</t>
  </si>
  <si>
    <t>Kelly Mclaughlin</t>
  </si>
  <si>
    <t>Brandon Mitchell</t>
  </si>
  <si>
    <t>Suzanne Bailey</t>
  </si>
  <si>
    <t>Destiny Obrien</t>
  </si>
  <si>
    <t>Timothy Andrews</t>
  </si>
  <si>
    <t>Jason Rodriguez</t>
  </si>
  <si>
    <t>Edward Arroyo</t>
  </si>
  <si>
    <t>Tina Walter</t>
  </si>
  <si>
    <t>Laura Benson</t>
  </si>
  <si>
    <t>Kristine Carrillo</t>
  </si>
  <si>
    <t>Tonya Ellis</t>
  </si>
  <si>
    <t>Kevin Johnson</t>
  </si>
  <si>
    <t>Austin Schultz</t>
  </si>
  <si>
    <t>Megan Hall MD</t>
  </si>
  <si>
    <t>Kelli Smith</t>
  </si>
  <si>
    <t>Danielle Davis</t>
  </si>
  <si>
    <t>Samantha Jones</t>
  </si>
  <si>
    <t>Karen Gomez</t>
  </si>
  <si>
    <t>Debra Valentine</t>
  </si>
  <si>
    <t>Susan Porter</t>
  </si>
  <si>
    <t>Nicolas Salas</t>
  </si>
  <si>
    <t>Dale Wright</t>
  </si>
  <si>
    <t>Brittney Rodriguez</t>
  </si>
  <si>
    <t>Megan Alvarado</t>
  </si>
  <si>
    <t>Pamela Weaver</t>
  </si>
  <si>
    <t>John Oliver</t>
  </si>
  <si>
    <t>William Prince PhD</t>
  </si>
  <si>
    <t>William Moon IV</t>
  </si>
  <si>
    <t>Karen Fernandez</t>
  </si>
  <si>
    <t>Jennifer Parks</t>
  </si>
  <si>
    <t>William Wolfe</t>
  </si>
  <si>
    <t>Michael Smith</t>
  </si>
  <si>
    <t>Kevin Nguyen</t>
  </si>
  <si>
    <t>Debbie Dunn</t>
  </si>
  <si>
    <t>John Austin</t>
  </si>
  <si>
    <t>Jonathan Clark</t>
  </si>
  <si>
    <t>Jacqueline Dickerson</t>
  </si>
  <si>
    <t>Christopher Anderson</t>
  </si>
  <si>
    <t>Crystal Garcia</t>
  </si>
  <si>
    <t>David Reynolds</t>
  </si>
  <si>
    <t>Charles Haley</t>
  </si>
  <si>
    <t>Robert Thompson</t>
  </si>
  <si>
    <t>Dr. Samuel Holmes DDS</t>
  </si>
  <si>
    <t>Elizabeth Hart</t>
  </si>
  <si>
    <t>Jennifer Vaughn</t>
  </si>
  <si>
    <t>Robert Woods</t>
  </si>
  <si>
    <t>Joanna Cook</t>
  </si>
  <si>
    <t>Justin Frederick</t>
  </si>
  <si>
    <t>Alejandro Martinez</t>
  </si>
  <si>
    <t>Tracey Gonzalez</t>
  </si>
  <si>
    <t>Mariah Thompson</t>
  </si>
  <si>
    <t>Heather Nunez</t>
  </si>
  <si>
    <t>Dr. Steve James</t>
  </si>
  <si>
    <t>Mark Thomas</t>
  </si>
  <si>
    <t>Robert Rogers</t>
  </si>
  <si>
    <t>Laura Sweeney</t>
  </si>
  <si>
    <t>Christopher Perez</t>
  </si>
  <si>
    <t>Eddie Adams</t>
  </si>
  <si>
    <t>Denise Wallace</t>
  </si>
  <si>
    <t>Heidi Matthews</t>
  </si>
  <si>
    <t>Jennifer White</t>
  </si>
  <si>
    <t>Nicholas Stanley</t>
  </si>
  <si>
    <t>Mercedes Miller</t>
  </si>
  <si>
    <t>Brian Brown</t>
  </si>
  <si>
    <t>Kimberly Johnson</t>
  </si>
  <si>
    <t>Phillip Miller</t>
  </si>
  <si>
    <t>Christopher Pena</t>
  </si>
  <si>
    <t>Ellen Wright</t>
  </si>
  <si>
    <t>Mark Anderson</t>
  </si>
  <si>
    <t>Alyssa Alvarado</t>
  </si>
  <si>
    <t>Erika Alvarez</t>
  </si>
  <si>
    <t>Kimberly Nelson</t>
  </si>
  <si>
    <t>Wayne Wolfe</t>
  </si>
  <si>
    <t>Kyle Welch</t>
  </si>
  <si>
    <t>Kristy Mills</t>
  </si>
  <si>
    <t>Emily Reed</t>
  </si>
  <si>
    <t>Regina Ramos</t>
  </si>
  <si>
    <t>David Torres</t>
  </si>
  <si>
    <t>Robert Charles</t>
  </si>
  <si>
    <t>John Smith</t>
  </si>
  <si>
    <t>Theresa Woods</t>
  </si>
  <si>
    <t>Jeffrey Carter</t>
  </si>
  <si>
    <t>Adam Brooks</t>
  </si>
  <si>
    <t>Justin Foster</t>
  </si>
  <si>
    <t>Omar Price</t>
  </si>
  <si>
    <t>Dennis Henderson</t>
  </si>
  <si>
    <t>Phillip Kent</t>
  </si>
  <si>
    <t>Melinda Mitchell</t>
  </si>
  <si>
    <t>Rhonda Gutierrez</t>
  </si>
  <si>
    <t>Catherine Roberts</t>
  </si>
  <si>
    <t>Lisa Nelson</t>
  </si>
  <si>
    <t>Chelsea Smith</t>
  </si>
  <si>
    <t>Joseph Lopez</t>
  </si>
  <si>
    <t>Derrick Espinoza</t>
  </si>
  <si>
    <t>Crystal Hernandez</t>
  </si>
  <si>
    <t>Glenn Collins DDS</t>
  </si>
  <si>
    <t>Mrs. Raven Rivera DVM</t>
  </si>
  <si>
    <t>Amy Rowe</t>
  </si>
  <si>
    <t>John Lee</t>
  </si>
  <si>
    <t>Ruth Clayton</t>
  </si>
  <si>
    <t>Randy Wright</t>
  </si>
  <si>
    <t>Jessica Rojas</t>
  </si>
  <si>
    <t>Joel Wise</t>
  </si>
  <si>
    <t>Vickie Kennedy</t>
  </si>
  <si>
    <t>Emily Morris</t>
  </si>
  <si>
    <t>Amanda Pineda</t>
  </si>
  <si>
    <t>Dawn Little</t>
  </si>
  <si>
    <t>Stephen Boyer</t>
  </si>
  <si>
    <t>Brian Chen</t>
  </si>
  <si>
    <t>Christopher Hill</t>
  </si>
  <si>
    <t>Richard Alvarez</t>
  </si>
  <si>
    <t>Jacqueline Davis</t>
  </si>
  <si>
    <t>Brandon Montgomery</t>
  </si>
  <si>
    <t>Yolanda Garrett</t>
  </si>
  <si>
    <t>Matthew Miles</t>
  </si>
  <si>
    <t>Beth Hall</t>
  </si>
  <si>
    <t>Dr. Nicole Trujillo</t>
  </si>
  <si>
    <t>Corey Norris</t>
  </si>
  <si>
    <t>Chad Roach</t>
  </si>
  <si>
    <t>Mr. Edward Terry</t>
  </si>
  <si>
    <t>Cody Bailey</t>
  </si>
  <si>
    <t>Denise Guerra</t>
  </si>
  <si>
    <t>Kristen Jones</t>
  </si>
  <si>
    <t>Edward Baker</t>
  </si>
  <si>
    <t>Aaron Little</t>
  </si>
  <si>
    <t>Cody Smith</t>
  </si>
  <si>
    <t>Patty Allen</t>
  </si>
  <si>
    <t>Mary Ryan</t>
  </si>
  <si>
    <t>Joseph Jimenez</t>
  </si>
  <si>
    <t>Lisa Morris</t>
  </si>
  <si>
    <t>Ashley Mills</t>
  </si>
  <si>
    <t>Russell Anderson</t>
  </si>
  <si>
    <t>Christina Washington</t>
  </si>
  <si>
    <t>Kenneth Huff</t>
  </si>
  <si>
    <t>Kelly Miles</t>
  </si>
  <si>
    <t>Jacob Obrien</t>
  </si>
  <si>
    <t>Timothy Clark</t>
  </si>
  <si>
    <t>Steve Miller PhD</t>
  </si>
  <si>
    <t>Justin Hurley</t>
  </si>
  <si>
    <t>Jacob Erickson</t>
  </si>
  <si>
    <t>Deborah Williams</t>
  </si>
  <si>
    <t>Eric Blackburn</t>
  </si>
  <si>
    <t>Anne Hardy</t>
  </si>
  <si>
    <t>Chelsey Fox</t>
  </si>
  <si>
    <t>Mario White</t>
  </si>
  <si>
    <t>Jennifer Garcia</t>
  </si>
  <si>
    <t>Heather Ellis</t>
  </si>
  <si>
    <t>Sonya Jackson</t>
  </si>
  <si>
    <t>Zachary Ramos</t>
  </si>
  <si>
    <t>Ethan Frey</t>
  </si>
  <si>
    <t>Jacob Duran</t>
  </si>
  <si>
    <t>Nicholas Franklin</t>
  </si>
  <si>
    <t>Cindy Cannon</t>
  </si>
  <si>
    <t>Dawn Nixon</t>
  </si>
  <si>
    <t>James Barber</t>
  </si>
  <si>
    <t>Ms. Kelly Holder</t>
  </si>
  <si>
    <t>Eric Walker</t>
  </si>
  <si>
    <t>Alison Short</t>
  </si>
  <si>
    <t>Desiree Spencer</t>
  </si>
  <si>
    <t>Tammy Moore</t>
  </si>
  <si>
    <t>Henry Taylor</t>
  </si>
  <si>
    <t>Kevin Hall</t>
  </si>
  <si>
    <t>Anna Ross</t>
  </si>
  <si>
    <t>Morgan Cummings</t>
  </si>
  <si>
    <t>Carrie Petersen</t>
  </si>
  <si>
    <t>Laura Velez</t>
  </si>
  <si>
    <t>Elizabeth Cross</t>
  </si>
  <si>
    <t>Angela Brown</t>
  </si>
  <si>
    <t>Hannah Montoya</t>
  </si>
  <si>
    <t>Sean Kane</t>
  </si>
  <si>
    <t>Matthew Guzman</t>
  </si>
  <si>
    <t>Richard Reyes</t>
  </si>
  <si>
    <t>Andrew Fernandez</t>
  </si>
  <si>
    <t>Jonathan Walker</t>
  </si>
  <si>
    <t>Nicholas Long</t>
  </si>
  <si>
    <t>Kurt Wagner</t>
  </si>
  <si>
    <t>Dylan Foster</t>
  </si>
  <si>
    <t>Bradley Duncan</t>
  </si>
  <si>
    <t>James Miller</t>
  </si>
  <si>
    <t>Patricia Anderson</t>
  </si>
  <si>
    <t>Justin Freeman</t>
  </si>
  <si>
    <t>Christina Gilbert</t>
  </si>
  <si>
    <t>Danielle Jones</t>
  </si>
  <si>
    <t>Erica Glass</t>
  </si>
  <si>
    <t>Michael Henderson</t>
  </si>
  <si>
    <t>Frank Wheeler</t>
  </si>
  <si>
    <t>Eric Huerta</t>
  </si>
  <si>
    <t>Wanda Ramos</t>
  </si>
  <si>
    <t>Andrew Meyers</t>
  </si>
  <si>
    <t>James Todd</t>
  </si>
  <si>
    <t>Ashley Brown</t>
  </si>
  <si>
    <t>Tammy Melton</t>
  </si>
  <si>
    <t>Alexis Benson</t>
  </si>
  <si>
    <t>Jerry Johnson</t>
  </si>
  <si>
    <t>Joshua Harris</t>
  </si>
  <si>
    <t>Deanna Webb</t>
  </si>
  <si>
    <t>Brenda Hale</t>
  </si>
  <si>
    <t>Kevin Alvarado</t>
  </si>
  <si>
    <t>Christopher Campbell</t>
  </si>
  <si>
    <t>Lisa Brown</t>
  </si>
  <si>
    <t>Alejandra Price</t>
  </si>
  <si>
    <t>Samuel Keller</t>
  </si>
  <si>
    <t>Alicia Dillon</t>
  </si>
  <si>
    <t>Crystal James</t>
  </si>
  <si>
    <t>Ariana Stewart</t>
  </si>
  <si>
    <t>Kim Lopez</t>
  </si>
  <si>
    <t>Judith House</t>
  </si>
  <si>
    <t>David Moreno</t>
  </si>
  <si>
    <t>James Moore</t>
  </si>
  <si>
    <t>Harold Garrett</t>
  </si>
  <si>
    <t>William Mason</t>
  </si>
  <si>
    <t>Lori Johns</t>
  </si>
  <si>
    <t>Robin Johnson</t>
  </si>
  <si>
    <t>Diana Hernandez</t>
  </si>
  <si>
    <t>Tyler Salazar</t>
  </si>
  <si>
    <t>Crystal Allen</t>
  </si>
  <si>
    <t>Wesley Browning</t>
  </si>
  <si>
    <t>Joshua Clark</t>
  </si>
  <si>
    <t>Joshua Mcbride</t>
  </si>
  <si>
    <t>Ellen Thornton</t>
  </si>
  <si>
    <t>Brandy Forbes</t>
  </si>
  <si>
    <t>Brianna Fitzpatrick</t>
  </si>
  <si>
    <t>Emily Grant</t>
  </si>
  <si>
    <t>Bailey Stewart</t>
  </si>
  <si>
    <t>Monica Cannon</t>
  </si>
  <si>
    <t>Jennifer Jenkins</t>
  </si>
  <si>
    <t>Timothy Shannon</t>
  </si>
  <si>
    <t>Denise Maxwell</t>
  </si>
  <si>
    <t>Cody Farmer</t>
  </si>
  <si>
    <t>Debra Bradley</t>
  </si>
  <si>
    <t>David Mcdaniel</t>
  </si>
  <si>
    <t>Michael Woods</t>
  </si>
  <si>
    <t>Lisa Joseph</t>
  </si>
  <si>
    <t>Samuel Henry</t>
  </si>
  <si>
    <t>Corey Johnson</t>
  </si>
  <si>
    <t>Alexis Nelson</t>
  </si>
  <si>
    <t>Patrick Mcneil</t>
  </si>
  <si>
    <t>Andrea Ho</t>
  </si>
  <si>
    <t>Dr. Katherine Nguyen</t>
  </si>
  <si>
    <t>David Sullivan</t>
  </si>
  <si>
    <t>Nicolas James</t>
  </si>
  <si>
    <t>Logan Newton</t>
  </si>
  <si>
    <t>Kelly Liu</t>
  </si>
  <si>
    <t>Kelly Hayes</t>
  </si>
  <si>
    <t>Amanda Forbes</t>
  </si>
  <si>
    <t>Jennifer Moss</t>
  </si>
  <si>
    <t>Kelli Mccoy</t>
  </si>
  <si>
    <t>Eddie Sanders</t>
  </si>
  <si>
    <t>Ronald Murray</t>
  </si>
  <si>
    <t>Louis Brown</t>
  </si>
  <si>
    <t>Brenda Gallegos</t>
  </si>
  <si>
    <t>Teresa Horton</t>
  </si>
  <si>
    <t>Jason Hayes</t>
  </si>
  <si>
    <t>Kevin Marquez</t>
  </si>
  <si>
    <t>Jesse Wright</t>
  </si>
  <si>
    <t>Susan Hogan</t>
  </si>
  <si>
    <t>Becky Wilson</t>
  </si>
  <si>
    <t>Jack Mills</t>
  </si>
  <si>
    <t>Richard Hunt</t>
  </si>
  <si>
    <t>Jamie James</t>
  </si>
  <si>
    <t>Susan Cunningham</t>
  </si>
  <si>
    <t>Brittany Melton</t>
  </si>
  <si>
    <t>Michael Barnes</t>
  </si>
  <si>
    <t>Randy Griffin</t>
  </si>
  <si>
    <t>Autumn Anderson</t>
  </si>
  <si>
    <t>Marcus King</t>
  </si>
  <si>
    <t>Scott Stephens</t>
  </si>
  <si>
    <t>Stephen Young</t>
  </si>
  <si>
    <t>Karen Ortiz</t>
  </si>
  <si>
    <t>Kyle Sanchez</t>
  </si>
  <si>
    <t>Lisa Grant</t>
  </si>
  <si>
    <t>Amber Hernandez</t>
  </si>
  <si>
    <t>Amanda Nash</t>
  </si>
  <si>
    <t>Sara Evans</t>
  </si>
  <si>
    <t>Amber Butler</t>
  </si>
  <si>
    <t>Michael Carr</t>
  </si>
  <si>
    <t>Linda Cobb</t>
  </si>
  <si>
    <t>Jesse Riley</t>
  </si>
  <si>
    <t>Anna Evans</t>
  </si>
  <si>
    <t>James Jones</t>
  </si>
  <si>
    <t>Joshua Carter</t>
  </si>
  <si>
    <t>Michael Hill</t>
  </si>
  <si>
    <t>Kelly Dominguez</t>
  </si>
  <si>
    <t>Ashley Blair</t>
  </si>
  <si>
    <t>Victoria Webb</t>
  </si>
  <si>
    <t>Taylor Andersen</t>
  </si>
  <si>
    <t>Lee Stewart</t>
  </si>
  <si>
    <t>Whitney Gomez</t>
  </si>
  <si>
    <t>Justin Stone</t>
  </si>
  <si>
    <t>Katherine White</t>
  </si>
  <si>
    <t>Michelle Krause</t>
  </si>
  <si>
    <t>Alexander Garrett</t>
  </si>
  <si>
    <t>Ryan Marsh</t>
  </si>
  <si>
    <t>Mrs. Felicia Castro DDS</t>
  </si>
  <si>
    <t>Curtis Campbell</t>
  </si>
  <si>
    <t>Elizabeth Hunter</t>
  </si>
  <si>
    <t>Aaron Jennings</t>
  </si>
  <si>
    <t>Nathaniel Gilbert</t>
  </si>
  <si>
    <t>Christopher Rivera</t>
  </si>
  <si>
    <t>Michael Hendricks</t>
  </si>
  <si>
    <t>Maria Olson</t>
  </si>
  <si>
    <t>Stephanie Herrera</t>
  </si>
  <si>
    <t>Richard Gutierrez</t>
  </si>
  <si>
    <t>Sandy Evans</t>
  </si>
  <si>
    <t>Emily Herrera</t>
  </si>
  <si>
    <t>Michael Marsh</t>
  </si>
  <si>
    <t>Heather Montes</t>
  </si>
  <si>
    <t>Andre Terrell</t>
  </si>
  <si>
    <t>Sarah Duncan</t>
  </si>
  <si>
    <t>Kurt Hancock</t>
  </si>
  <si>
    <t>Michele Edwards</t>
  </si>
  <si>
    <t>Jason Crawford</t>
  </si>
  <si>
    <t>Jesse Sampson</t>
  </si>
  <si>
    <t>Eric Rodriguez</t>
  </si>
  <si>
    <t>Paula Gentry</t>
  </si>
  <si>
    <t>Alexander Webb</t>
  </si>
  <si>
    <t>Cheryl Mclean</t>
  </si>
  <si>
    <t>Kelly Rowe</t>
  </si>
  <si>
    <t>Shane Short</t>
  </si>
  <si>
    <t>Megan Anderson</t>
  </si>
  <si>
    <t>Julia Reeves</t>
  </si>
  <si>
    <t>April Randolph</t>
  </si>
  <si>
    <t>Linda Miller</t>
  </si>
  <si>
    <t>Angel Meyer</t>
  </si>
  <si>
    <t>Emily Lane</t>
  </si>
  <si>
    <t>Steven Flores</t>
  </si>
  <si>
    <t>Donald Flores</t>
  </si>
  <si>
    <t>Bruce Hernandez</t>
  </si>
  <si>
    <t>Adrian Dean</t>
  </si>
  <si>
    <t>Christine Bell</t>
  </si>
  <si>
    <t>Charles Bush</t>
  </si>
  <si>
    <t>David Jones</t>
  </si>
  <si>
    <t>Gina Wallace</t>
  </si>
  <si>
    <t>John Lowe</t>
  </si>
  <si>
    <t>Anthony Simmons</t>
  </si>
  <si>
    <t>Kyle Watkins</t>
  </si>
  <si>
    <t>Melissa Jensen</t>
  </si>
  <si>
    <t>Robert Marquez</t>
  </si>
  <si>
    <t>Kim Beltran</t>
  </si>
  <si>
    <t>Julie Anderson</t>
  </si>
  <si>
    <t>Tamara Mcdonald</t>
  </si>
  <si>
    <t>Michael Mckinney</t>
  </si>
  <si>
    <t>Lisa Durham</t>
  </si>
  <si>
    <t>Michael Ortega</t>
  </si>
  <si>
    <t>Sonya Chavez</t>
  </si>
  <si>
    <t>John Bell</t>
  </si>
  <si>
    <t>Christopher Tate</t>
  </si>
  <si>
    <t>Bethany Garcia</t>
  </si>
  <si>
    <t>Rebecca Nguyen</t>
  </si>
  <si>
    <t>Rebecca Patel</t>
  </si>
  <si>
    <t>Jason Oliver</t>
  </si>
  <si>
    <t>Valerie Reyes</t>
  </si>
  <si>
    <t>Robert Garza</t>
  </si>
  <si>
    <t>Jessica Cobb</t>
  </si>
  <si>
    <t>Cynthia Bates</t>
  </si>
  <si>
    <t>Mr. Joel Peters</t>
  </si>
  <si>
    <t>Casey Blanchard</t>
  </si>
  <si>
    <t>Brian Cervantes</t>
  </si>
  <si>
    <t>Jamie Snyder</t>
  </si>
  <si>
    <t>Ann Montoya</t>
  </si>
  <si>
    <t>Stephanie Fields</t>
  </si>
  <si>
    <t>Charles Hernandez</t>
  </si>
  <si>
    <t>Jean Lane</t>
  </si>
  <si>
    <t>Michael Stewart</t>
  </si>
  <si>
    <t>Susan Torres</t>
  </si>
  <si>
    <t>Jessica Haas</t>
  </si>
  <si>
    <t>Brandon Smith</t>
  </si>
  <si>
    <t>Mrs. Bethany Phillips</t>
  </si>
  <si>
    <t>Joshua Brown</t>
  </si>
  <si>
    <t>Samantha Howard</t>
  </si>
  <si>
    <t>Sharon Young</t>
  </si>
  <si>
    <t>Jennifer Flores</t>
  </si>
  <si>
    <t>James Gardner</t>
  </si>
  <si>
    <t>Karen Lopez</t>
  </si>
  <si>
    <t>Tim Larsen</t>
  </si>
  <si>
    <t>Zachary Santiago</t>
  </si>
  <si>
    <t>Katelyn Kim</t>
  </si>
  <si>
    <t>Angela May MD</t>
  </si>
  <si>
    <t>Richard Munoz</t>
  </si>
  <si>
    <t>Christopher Hicks</t>
  </si>
  <si>
    <t>Joanna Kelly</t>
  </si>
  <si>
    <t>Larry Lane</t>
  </si>
  <si>
    <t>Cynthia Shaw</t>
  </si>
  <si>
    <t>Joshua Richardson</t>
  </si>
  <si>
    <t>Laura Bush</t>
  </si>
  <si>
    <t>John Vaughn</t>
  </si>
  <si>
    <t>Nicholas Terrell</t>
  </si>
  <si>
    <t>Dr. Julie Miller</t>
  </si>
  <si>
    <t>Ann Kennedy</t>
  </si>
  <si>
    <t>Toni Miller</t>
  </si>
  <si>
    <t>Rebecca Edwards</t>
  </si>
  <si>
    <t>Greg Osborne</t>
  </si>
  <si>
    <t>Jose Harrison</t>
  </si>
  <si>
    <t>Jennifer Yu</t>
  </si>
  <si>
    <t>Donna Johnson</t>
  </si>
  <si>
    <t>Nicole Acosta</t>
  </si>
  <si>
    <t>Amy Kennedy</t>
  </si>
  <si>
    <t>Anthony Mooney</t>
  </si>
  <si>
    <t>Lori Mitchell</t>
  </si>
  <si>
    <t>Jonathan York</t>
  </si>
  <si>
    <t>Casey Campbell</t>
  </si>
  <si>
    <t>Alexis Rodriguez</t>
  </si>
  <si>
    <t>Kevin Hernandez</t>
  </si>
  <si>
    <t>Robert Green</t>
  </si>
  <si>
    <t>Kari Lloyd</t>
  </si>
  <si>
    <t>Grace Miller</t>
  </si>
  <si>
    <t>Timothy Moore</t>
  </si>
  <si>
    <t>Wyatt Townsend II</t>
  </si>
  <si>
    <t>Mark Clark</t>
  </si>
  <si>
    <t>Haley May</t>
  </si>
  <si>
    <t>Audrey Jackson</t>
  </si>
  <si>
    <t>Eric Reese</t>
  </si>
  <si>
    <t>Kim James</t>
  </si>
  <si>
    <t>Karen Thomas</t>
  </si>
  <si>
    <t>Alexandra Ho</t>
  </si>
  <si>
    <t>Michael Nixon</t>
  </si>
  <si>
    <t>Amanda Hardin</t>
  </si>
  <si>
    <t>Tina Reynolds</t>
  </si>
  <si>
    <t>Shannon Rogers</t>
  </si>
  <si>
    <t>Brett Pena</t>
  </si>
  <si>
    <t>Raymond Curry</t>
  </si>
  <si>
    <t>Leah Lee</t>
  </si>
  <si>
    <t>Michael White</t>
  </si>
  <si>
    <t>Megan Decker</t>
  </si>
  <si>
    <t>Brent Garcia</t>
  </si>
  <si>
    <t>Daniel Campbell</t>
  </si>
  <si>
    <t>Alexander Davis</t>
  </si>
  <si>
    <t>Mary Houston</t>
  </si>
  <si>
    <t>Margaret Erickson</t>
  </si>
  <si>
    <t>Scott Anderson</t>
  </si>
  <si>
    <t>Stephanie Knight</t>
  </si>
  <si>
    <t>Stephanie Dominguez</t>
  </si>
  <si>
    <t>John Mayer</t>
  </si>
  <si>
    <t>Tammy Hill</t>
  </si>
  <si>
    <t>Steven Carrillo</t>
  </si>
  <si>
    <t>Janet Cook</t>
  </si>
  <si>
    <t>Tyler Baker</t>
  </si>
  <si>
    <t>John Mcfarland</t>
  </si>
  <si>
    <t>Cassandra Vasquez</t>
  </si>
  <si>
    <t>Randy Robinson</t>
  </si>
  <si>
    <t>Susan Baldwin</t>
  </si>
  <si>
    <t>Benjamin Duncan</t>
  </si>
  <si>
    <t>Jeremy Mosley</t>
  </si>
  <si>
    <t>Martin Fitzpatrick</t>
  </si>
  <si>
    <t>Deborah Graves</t>
  </si>
  <si>
    <t>Laura Robertson</t>
  </si>
  <si>
    <t>Katherine Graham</t>
  </si>
  <si>
    <t>Priscilla Floyd</t>
  </si>
  <si>
    <t>April Finley</t>
  </si>
  <si>
    <t>Karen Bradley</t>
  </si>
  <si>
    <t>Heather Maldonado</t>
  </si>
  <si>
    <t>Mark Benjamin</t>
  </si>
  <si>
    <t>Joseph Woodward</t>
  </si>
  <si>
    <t>Joe Miranda</t>
  </si>
  <si>
    <t>Cassandra Williams</t>
  </si>
  <si>
    <t>Connor Dominguez</t>
  </si>
  <si>
    <t>Lydia Howard</t>
  </si>
  <si>
    <t>Mark Moss</t>
  </si>
  <si>
    <t>Corey Cortez</t>
  </si>
  <si>
    <t>Katherine Brown</t>
  </si>
  <si>
    <t>Elizabeth Ferguson</t>
  </si>
  <si>
    <t>Joann Forbes</t>
  </si>
  <si>
    <t>Anthony French</t>
  </si>
  <si>
    <t>Bruce Roman</t>
  </si>
  <si>
    <t>Judy Gregory</t>
  </si>
  <si>
    <t>Brittany Riley</t>
  </si>
  <si>
    <t>Amanda Thomas</t>
  </si>
  <si>
    <t>Kaitlin Hardin</t>
  </si>
  <si>
    <t>Michael Anderson</t>
  </si>
  <si>
    <t>Anthony Parker</t>
  </si>
  <si>
    <t>Joy Jackson</t>
  </si>
  <si>
    <t>Sabrina Rodriguez</t>
  </si>
  <si>
    <t>Robert Walker PhD</t>
  </si>
  <si>
    <t>Robert Hendrix</t>
  </si>
  <si>
    <t>Erika Daugherty</t>
  </si>
  <si>
    <t>Brenda Copeland</t>
  </si>
  <si>
    <t>Pamela Watkins</t>
  </si>
  <si>
    <t>Bryan Thomas</t>
  </si>
  <si>
    <t>Michael Tran</t>
  </si>
  <si>
    <t>Timothy Williams</t>
  </si>
  <si>
    <t>Ryan Salazar</t>
  </si>
  <si>
    <t>Alexis Tucker</t>
  </si>
  <si>
    <t>Christopher Davis</t>
  </si>
  <si>
    <t>Stacie Butler</t>
  </si>
  <si>
    <t>Patricia Schwartz</t>
  </si>
  <si>
    <t>Mark Mills</t>
  </si>
  <si>
    <t>Todd Bishop</t>
  </si>
  <si>
    <t>Christopher Porter</t>
  </si>
  <si>
    <t>Lori Patton</t>
  </si>
  <si>
    <t>Aaron Young</t>
  </si>
  <si>
    <t>Joseph Davis</t>
  </si>
  <si>
    <t>Philip Fernandez</t>
  </si>
  <si>
    <t>Randy Hopkins</t>
  </si>
  <si>
    <t>Cory Hogan</t>
  </si>
  <si>
    <t>Tracy Wells</t>
  </si>
  <si>
    <t>Michael Williams</t>
  </si>
  <si>
    <t>Dominique Hamilton</t>
  </si>
  <si>
    <t>Robert Chang</t>
  </si>
  <si>
    <t>Patrick Buckley</t>
  </si>
  <si>
    <t>Richard Washington</t>
  </si>
  <si>
    <t>Steven Griffith</t>
  </si>
  <si>
    <t>Erika Gonzalez</t>
  </si>
  <si>
    <t>Erika Maxwell</t>
  </si>
  <si>
    <t>Brent Rojas</t>
  </si>
  <si>
    <t>Jaime Walker</t>
  </si>
  <si>
    <t>John Zamora</t>
  </si>
  <si>
    <t>Timothy Gibson</t>
  </si>
  <si>
    <t>Chad Cortez</t>
  </si>
  <si>
    <t>Vanessa Harris</t>
  </si>
  <si>
    <t>Samuel Ellis</t>
  </si>
  <si>
    <t>Greg Tanner</t>
  </si>
  <si>
    <t>Rachel Little</t>
  </si>
  <si>
    <t>Carolyn Cordova</t>
  </si>
  <si>
    <t>Angelica Vincent</t>
  </si>
  <si>
    <t>Zachary Vargas PhD</t>
  </si>
  <si>
    <t>Nicholas Fitzgerald</t>
  </si>
  <si>
    <t>Garrett Riley</t>
  </si>
  <si>
    <t>Leslie Hernandez</t>
  </si>
  <si>
    <t>Abigail Baird</t>
  </si>
  <si>
    <t>John Mack</t>
  </si>
  <si>
    <t>Joseph Mendoza</t>
  </si>
  <si>
    <t>Samantha Chavez</t>
  </si>
  <si>
    <t>Justin Smith</t>
  </si>
  <si>
    <t>Tiffany Anderson</t>
  </si>
  <si>
    <t>Matthew Davis</t>
  </si>
  <si>
    <t>Eric Warner</t>
  </si>
  <si>
    <t>Nicole Johnson</t>
  </si>
  <si>
    <t>Raymond Sawyer</t>
  </si>
  <si>
    <t>Richard Wood</t>
  </si>
  <si>
    <t>Mark Dalton</t>
  </si>
  <si>
    <t>Steven Cook</t>
  </si>
  <si>
    <t>Jeffery Nelson</t>
  </si>
  <si>
    <t>Kimberly Norton</t>
  </si>
  <si>
    <t>Angela Gilmore</t>
  </si>
  <si>
    <t>Amy Dougherty</t>
  </si>
  <si>
    <t>Stacy Rodriguez</t>
  </si>
  <si>
    <t>Manuel Diaz</t>
  </si>
  <si>
    <t>Justin Jones</t>
  </si>
  <si>
    <t>Christine Zavala</t>
  </si>
  <si>
    <t>Brian Mendoza</t>
  </si>
  <si>
    <t>Lauren Haley</t>
  </si>
  <si>
    <t>Patrick Perez</t>
  </si>
  <si>
    <t>Derek Frazier</t>
  </si>
  <si>
    <t>Arthur Reed</t>
  </si>
  <si>
    <t>Mr. Bryan Mckinney</t>
  </si>
  <si>
    <t>Kim Carter</t>
  </si>
  <si>
    <t>Rebecca Dougherty</t>
  </si>
  <si>
    <t>Teresa Jones</t>
  </si>
  <si>
    <t>Judith Miller</t>
  </si>
  <si>
    <t>Donald Terry</t>
  </si>
  <si>
    <t>Shaun Meyer DDS</t>
  </si>
  <si>
    <t>Wayne Weaver</t>
  </si>
  <si>
    <t>Gregory Wallace</t>
  </si>
  <si>
    <t>Dorothy Brown</t>
  </si>
  <si>
    <t>Crystal Meza</t>
  </si>
  <si>
    <t>Jennifer Cooper</t>
  </si>
  <si>
    <t>Erin Watkins</t>
  </si>
  <si>
    <t>Sarah Wallace</t>
  </si>
  <si>
    <t>Carlos Clarke</t>
  </si>
  <si>
    <t>David Washington</t>
  </si>
  <si>
    <t>Patricia Williams</t>
  </si>
  <si>
    <t>Jesus Jackson</t>
  </si>
  <si>
    <t>Michelle Mitchell</t>
  </si>
  <si>
    <t>Sara Schwartz</t>
  </si>
  <si>
    <t>Brittany Young</t>
  </si>
  <si>
    <t>Eugene Martinez</t>
  </si>
  <si>
    <t>Cody Hart</t>
  </si>
  <si>
    <t>Evan Cooper</t>
  </si>
  <si>
    <t>Joshua Martin</t>
  </si>
  <si>
    <t>Thomas Sullivan</t>
  </si>
  <si>
    <t>Mr. Jimmy Flores Jr.</t>
  </si>
  <si>
    <t>Vanessa Rivera</t>
  </si>
  <si>
    <t>Kara Roberts</t>
  </si>
  <si>
    <t>Veronica Berry</t>
  </si>
  <si>
    <t>Keith Meadows</t>
  </si>
  <si>
    <t>Michael Dennis</t>
  </si>
  <si>
    <t>Brenda Pierce</t>
  </si>
  <si>
    <t>James Randall</t>
  </si>
  <si>
    <t>Lauren Walker</t>
  </si>
  <si>
    <t>Diana Johnson</t>
  </si>
  <si>
    <t>Jill Powers</t>
  </si>
  <si>
    <t>Jorge Lee</t>
  </si>
  <si>
    <t>Larry Harding</t>
  </si>
  <si>
    <t>Heather Hernandez</t>
  </si>
  <si>
    <t>Jaclyn Watson</t>
  </si>
  <si>
    <t>Gregory Madden</t>
  </si>
  <si>
    <t>Anita Luna</t>
  </si>
  <si>
    <t>Willie Lara</t>
  </si>
  <si>
    <t>Robert Waller</t>
  </si>
  <si>
    <t>Steven Taylor</t>
  </si>
  <si>
    <t>Angelica Clark</t>
  </si>
  <si>
    <t>Sean Hatfield</t>
  </si>
  <si>
    <t>Tyler Avila</t>
  </si>
  <si>
    <t>Jason Rocha</t>
  </si>
  <si>
    <t>Justin Page</t>
  </si>
  <si>
    <t>Breanna Lopez</t>
  </si>
  <si>
    <t>Julian Williams</t>
  </si>
  <si>
    <t>Sandra Torres</t>
  </si>
  <si>
    <t>Julie Johnson</t>
  </si>
  <si>
    <t>Dennis Blanchard</t>
  </si>
  <si>
    <t>Kaitlyn Valdez</t>
  </si>
  <si>
    <t>Jennifer Vasquez</t>
  </si>
  <si>
    <t>Danielle Wilson</t>
  </si>
  <si>
    <t>Zachary Jones</t>
  </si>
  <si>
    <t>Lauren Cunningham</t>
  </si>
  <si>
    <t>Lori Alvarez</t>
  </si>
  <si>
    <t>Barbara Hunt</t>
  </si>
  <si>
    <t>Sarah Martin</t>
  </si>
  <si>
    <t>Francisco Johns</t>
  </si>
  <si>
    <t>Christopher Nelson</t>
  </si>
  <si>
    <t>Thomas Kelly</t>
  </si>
  <si>
    <t>Joseph Mayer</t>
  </si>
  <si>
    <t>Pamela White</t>
  </si>
  <si>
    <t>Paul Stephens</t>
  </si>
  <si>
    <t>Samantha Cohen</t>
  </si>
  <si>
    <t>Michael Barker</t>
  </si>
  <si>
    <t>Kevin Morrow</t>
  </si>
  <si>
    <t>Joseph Watson</t>
  </si>
  <si>
    <t>Mr. Thomas Garcia</t>
  </si>
  <si>
    <t>Daniel Lopez</t>
  </si>
  <si>
    <t>Lisa Guerra</t>
  </si>
  <si>
    <t>Kim Arnold</t>
  </si>
  <si>
    <t>Ashley Stevens</t>
  </si>
  <si>
    <t>Robert Mclean</t>
  </si>
  <si>
    <t>Eric Cox</t>
  </si>
  <si>
    <t>Stacy Harper</t>
  </si>
  <si>
    <t>Gloria Mckinney</t>
  </si>
  <si>
    <t>Robert Walker</t>
  </si>
  <si>
    <t>Brenda Perez</t>
  </si>
  <si>
    <t>Carlos Miller</t>
  </si>
  <si>
    <t>Nicole Williams</t>
  </si>
  <si>
    <t>Ricky Palmer</t>
  </si>
  <si>
    <t>Bryan King</t>
  </si>
  <si>
    <t>Michael Webster</t>
  </si>
  <si>
    <t>Tamara Harris</t>
  </si>
  <si>
    <t>Cathy Bell</t>
  </si>
  <si>
    <t>Ryan Mcmahon</t>
  </si>
  <si>
    <t>Monica Allen</t>
  </si>
  <si>
    <t>Annette Lane</t>
  </si>
  <si>
    <t>Name</t>
  </si>
  <si>
    <t>Occupation</t>
  </si>
  <si>
    <t>Limit_Balance</t>
  </si>
  <si>
    <t>Age</t>
  </si>
  <si>
    <t>Married_Flag</t>
  </si>
  <si>
    <t>Income_Stability</t>
  </si>
  <si>
    <t>Utilization_Rate</t>
  </si>
  <si>
    <t>Late_Payment_Last_Year</t>
  </si>
  <si>
    <t>Average_Bill_Amount</t>
  </si>
  <si>
    <t>Average_Payment_Amount</t>
  </si>
  <si>
    <t>Months_with_Bank</t>
  </si>
  <si>
    <t>Educational_Level</t>
  </si>
  <si>
    <t>Marrital_Status</t>
  </si>
  <si>
    <t>Dependents</t>
  </si>
  <si>
    <t>Credit_Score</t>
  </si>
  <si>
    <t>Default</t>
  </si>
  <si>
    <t>Row Labels</t>
  </si>
  <si>
    <t>Grand Total</t>
  </si>
  <si>
    <t>Average of Credit_Score</t>
  </si>
  <si>
    <t>Sum of Limit_Balance</t>
  </si>
  <si>
    <t>Average of Utilization_Rate</t>
  </si>
  <si>
    <t>Count of Default</t>
  </si>
  <si>
    <t>Average of Income_Stability</t>
  </si>
  <si>
    <t>Average of Late_Payment_Last_Year</t>
  </si>
  <si>
    <t>Average of Months_with_Bank</t>
  </si>
  <si>
    <t>The average credit score is around 701, indicating that most customers fall into the good credit category.</t>
  </si>
  <si>
    <t>Only about 4.3% of customers have defaulted, showing strong repayment behavior in the dataset.</t>
  </si>
  <si>
    <t>Customers who default have a much higher average utilization rate (~58%) compared to non-defaulters (~39%).</t>
  </si>
  <si>
    <t>4. Late Payments Strongly Predict Default:</t>
  </si>
  <si>
    <t>3. High Utilization Leads to Higher Default Risk:</t>
  </si>
  <si>
    <t>2. Low Default Rate Across Customers:</t>
  </si>
  <si>
    <t>1. Overall Credit Profile is Healthy:</t>
  </si>
  <si>
    <t>Defaulters recorded more late payments in the last year, highlighting payment discipline as a key risk factor.</t>
  </si>
  <si>
    <t>Customers with lower income stability show a higher tendency to default than those with stable income patterns.</t>
  </si>
  <si>
    <t>6. Long-Term Customers are More Reliable:</t>
  </si>
  <si>
    <t>5. Income Stability Impacts Repayment:</t>
  </si>
  <si>
    <t>Customers with more months with the bank generally show better repayment behavior and lower default risk.</t>
  </si>
  <si>
    <t>7. Higher Credit Score Reduces Default Probability:</t>
  </si>
  <si>
    <t>Non-defaulters consistently maintain higher credit scores, reinforcing credit score as a critical risk indicator.</t>
  </si>
  <si>
    <t>8. Average Payment Amount Matters:</t>
  </si>
  <si>
    <t>Customers who make higher average payments relative to bills are less likely to default.</t>
  </si>
  <si>
    <t>9. Utilization Control Improves Credit Health:</t>
  </si>
  <si>
    <t>Lower credit utilization is strongly associated with better credit scores and lower default cases.</t>
  </si>
  <si>
    <t>10. Financial Behavior Outweighs Demographics:</t>
  </si>
  <si>
    <t>Behavioral factors like payment history, utilization, and income stability influence default more than age or marital status.</t>
  </si>
  <si>
    <t>1. Left Function</t>
  </si>
  <si>
    <t>7. Trim Function</t>
  </si>
  <si>
    <t>13. Ifs Function</t>
  </si>
  <si>
    <t>19. Count</t>
  </si>
  <si>
    <t>2. Right Function</t>
  </si>
  <si>
    <t>8. Clean Function</t>
  </si>
  <si>
    <t>14. AND Function</t>
  </si>
  <si>
    <t>20. Average</t>
  </si>
  <si>
    <t>3. Mid Function</t>
  </si>
  <si>
    <t>9. Upper Function</t>
  </si>
  <si>
    <t>15. OR Function</t>
  </si>
  <si>
    <t>21. Max</t>
  </si>
  <si>
    <t>4. Len Function</t>
  </si>
  <si>
    <t>10. Lower Function</t>
  </si>
  <si>
    <t>16. Vlookup Function</t>
  </si>
  <si>
    <t>22. Min</t>
  </si>
  <si>
    <t>5. Text Function</t>
  </si>
  <si>
    <t>11. If Function</t>
  </si>
  <si>
    <t>17. Index Match</t>
  </si>
  <si>
    <t>6. Rept Function</t>
  </si>
  <si>
    <t>12. Nested If Function</t>
  </si>
  <si>
    <t>18. Sum</t>
  </si>
  <si>
    <t>Sum of Months_with_Bank</t>
  </si>
  <si>
    <t>Sum of Credit_Score</t>
  </si>
  <si>
    <t>Sum of Educational_Level</t>
  </si>
  <si>
    <t>Sum of Income_Stability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</si>
</sst>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8" fillId="0" borderId="11" xfId="0" applyFont="1" applyBorder="1" applyAlignment="1">
      <alignment horizontal="center"/>
    </xf>
    <xf numFmtId="0" fontId="18" fillId="0" borderId="12" xfId="0" applyFont="1" applyBorder="1" applyAlignment="1">
      <alignment horizontal="center"/>
    </xf>
    <xf numFmtId="0" fontId="18" fillId="0" borderId="13" xfId="0" applyFont="1" applyBorder="1" applyAlignment="1">
      <alignment horizontal="center"/>
    </xf>
    <xf numFmtId="0" fontId="18" fillId="0" borderId="14" xfId="0" applyFont="1" applyBorder="1"/>
    <xf numFmtId="0" fontId="18" fillId="0" borderId="10" xfId="0" applyFont="1" applyBorder="1"/>
    <xf numFmtId="0" fontId="18" fillId="0" borderId="15" xfId="0" applyFont="1" applyBorder="1"/>
    <xf numFmtId="0" fontId="18" fillId="0" borderId="10" xfId="0" applyFont="1" applyBorder="1" applyAlignment="1">
      <alignment horizontal="right"/>
    </xf>
    <xf numFmtId="0" fontId="18" fillId="0" borderId="16" xfId="0" applyFont="1" applyBorder="1"/>
    <xf numFmtId="0" fontId="18" fillId="0" borderId="17" xfId="0" applyFont="1" applyBorder="1"/>
    <xf numFmtId="0" fontId="18" fillId="0" borderId="18" xfId="0" applyFont="1" applyBorder="1"/>
    <xf numFmtId="0" fontId="0" fillId="0" borderId="0" xfId="0" pivotButton="1"/>
    <xf numFmtId="0" fontId="0" fillId="0" borderId="0" xfId="0" applyAlignment="1">
      <alignment horizontal="left"/>
    </xf>
    <xf numFmtId="0" fontId="0" fillId="33" borderId="19" xfId="0" applyFill="1" applyBorder="1"/>
    <xf numFmtId="0" fontId="0" fillId="33" borderId="20" xfId="0" applyFill="1" applyBorder="1" applyAlignment="1">
      <alignment horizontal="center"/>
    </xf>
    <xf numFmtId="0" fontId="0" fillId="33" borderId="21" xfId="0" applyFill="1" applyBorder="1"/>
    <xf numFmtId="0" fontId="0" fillId="0" borderId="0" xfId="0" applyAlignment="1">
      <alignment horizontal="center"/>
    </xf>
    <xf numFmtId="0" fontId="0" fillId="0" borderId="0" xfId="0" applyAlignment="1">
      <alignment wrapText="1"/>
    </xf>
    <xf numFmtId="0" fontId="18" fillId="0" borderId="25" xfId="0" applyFont="1" applyBorder="1"/>
    <xf numFmtId="0" fontId="18" fillId="0" borderId="26" xfId="0" applyFont="1" applyBorder="1"/>
    <xf numFmtId="0" fontId="18" fillId="0" borderId="27" xfId="0" applyFont="1" applyBorder="1"/>
    <xf numFmtId="0" fontId="18" fillId="0" borderId="28" xfId="0" applyFont="1" applyBorder="1"/>
    <xf numFmtId="0" fontId="18" fillId="0" borderId="29" xfId="0" applyFont="1" applyBorder="1"/>
    <xf numFmtId="0" fontId="18" fillId="0" borderId="30" xfId="0" applyFont="1" applyBorder="1"/>
    <xf numFmtId="0" fontId="18" fillId="0" borderId="31" xfId="0" applyFont="1" applyBorder="1"/>
    <xf numFmtId="0" fontId="18" fillId="0" borderId="32" xfId="0" applyFont="1" applyBorder="1"/>
    <xf numFmtId="0" fontId="18" fillId="0" borderId="33" xfId="0" applyFont="1" applyBorder="1"/>
    <xf numFmtId="0" fontId="18" fillId="0" borderId="34" xfId="0" applyFont="1" applyBorder="1"/>
    <xf numFmtId="0" fontId="18" fillId="0" borderId="35" xfId="0" applyFont="1" applyBorder="1"/>
    <xf numFmtId="0" fontId="16" fillId="33" borderId="20" xfId="0" applyFont="1" applyFill="1" applyBorder="1" applyAlignment="1">
      <alignment horizontal="center"/>
    </xf>
    <xf numFmtId="0" fontId="16" fillId="33" borderId="19" xfId="0" applyFont="1"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0" fillId="33" borderId="24" xfId="0" applyFill="1" applyBorder="1" applyAlignment="1">
      <alignment horizontal="center"/>
    </xf>
    <xf numFmtId="0" fontId="16" fillId="33" borderId="21"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outline val="0"/>
        <shadow val="0"/>
        <u val="none"/>
        <vertAlign val="baseline"/>
        <sz val="18"/>
        <color theme="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8"/>
        <color theme="1"/>
        <name val="Calibri"/>
        <family val="2"/>
        <scheme val="minor"/>
      </font>
    </dxf>
    <dxf>
      <border>
        <bottom style="thin">
          <color indexed="64"/>
        </bottom>
      </border>
    </dxf>
    <dxf>
      <font>
        <strike val="0"/>
        <outline val="0"/>
        <shadow val="0"/>
        <u val="none"/>
        <vertAlign val="baseline"/>
        <sz val="18"/>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Occupation</a:t>
            </a:r>
            <a:r>
              <a:rPr lang="en-IN" baseline="0"/>
              <a:t> vs Average of Credit_Score</a:t>
            </a:r>
            <a:endParaRPr lang="en-IN"/>
          </a:p>
        </c:rich>
      </c:tx>
      <c:layout>
        <c:manualLayout>
          <c:xMode val="edge"/>
          <c:yMode val="edge"/>
          <c:x val="0.289617782152231"/>
          <c:y val="3.1386564960629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Pivot_Tables!$A$4:$A$10</c:f>
              <c:strCache>
                <c:ptCount val="6"/>
                <c:pt idx="0">
                  <c:v>Data Analyst</c:v>
                </c:pt>
                <c:pt idx="1">
                  <c:v>Graphic Designer</c:v>
                </c:pt>
                <c:pt idx="2">
                  <c:v>Nurse</c:v>
                </c:pt>
                <c:pt idx="3">
                  <c:v>Sales Representative</c:v>
                </c:pt>
                <c:pt idx="4">
                  <c:v>Software Engineer</c:v>
                </c:pt>
                <c:pt idx="5">
                  <c:v>Teacher</c:v>
                </c:pt>
              </c:strCache>
            </c:strRef>
          </c:cat>
          <c:val>
            <c:numRef>
              <c:f>Pivot_Tables!$B$4:$B$10</c:f>
              <c:numCache>
                <c:formatCode>General</c:formatCode>
                <c:ptCount val="6"/>
                <c:pt idx="0">
                  <c:v>703.93540462427745</c:v>
                </c:pt>
                <c:pt idx="1">
                  <c:v>699.60393442622967</c:v>
                </c:pt>
                <c:pt idx="2">
                  <c:v>697.34906626506006</c:v>
                </c:pt>
                <c:pt idx="3">
                  <c:v>705.19068376068378</c:v>
                </c:pt>
                <c:pt idx="4">
                  <c:v>699.92692537313485</c:v>
                </c:pt>
                <c:pt idx="5">
                  <c:v>697.21087613293037</c:v>
                </c:pt>
              </c:numCache>
            </c:numRef>
          </c:val>
          <c:extLst>
            <c:ext xmlns:c16="http://schemas.microsoft.com/office/drawing/2014/chart" uri="{C3380CC4-5D6E-409C-BE32-E72D297353CC}">
              <c16:uniqueId val="{00000000-7F48-4FF5-B994-A6CE55A62CE6}"/>
            </c:ext>
          </c:extLst>
        </c:ser>
        <c:dLbls>
          <c:showLegendKey val="0"/>
          <c:showVal val="0"/>
          <c:showCatName val="0"/>
          <c:showSerName val="0"/>
          <c:showPercent val="0"/>
          <c:showBubbleSize val="0"/>
        </c:dLbls>
        <c:gapWidth val="219"/>
        <c:overlap val="-27"/>
        <c:axId val="258037071"/>
        <c:axId val="258041871"/>
      </c:barChart>
      <c:catAx>
        <c:axId val="25803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41871"/>
        <c:crosses val="autoZero"/>
        <c:auto val="1"/>
        <c:lblAlgn val="ctr"/>
        <c:lblOffset val="100"/>
        <c:noMultiLvlLbl val="0"/>
      </c:catAx>
      <c:valAx>
        <c:axId val="25804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a:t>
            </a:r>
            <a:r>
              <a:rPr lang="en-US" baseline="0"/>
              <a:t> vs Sum of Limit_Balance</a:t>
            </a:r>
            <a:endParaRPr lang="en-US"/>
          </a:p>
        </c:rich>
      </c:tx>
      <c:layout>
        <c:manualLayout>
          <c:xMode val="edge"/>
          <c:yMode val="edge"/>
          <c:x val="0.27296522309711285"/>
          <c:y val="3.0219739500904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Pivot_Tables!$E$3</c:f>
              <c:strCache>
                <c:ptCount val="1"/>
                <c:pt idx="0">
                  <c:v>Total</c:v>
                </c:pt>
              </c:strCache>
            </c:strRef>
          </c:tx>
          <c:spPr>
            <a:solidFill>
              <a:schemeClr val="accent1"/>
            </a:solidFill>
            <a:ln>
              <a:noFill/>
            </a:ln>
            <a:effectLst/>
          </c:spPr>
          <c:invertIfNegative val="0"/>
          <c:cat>
            <c:strRef>
              <c:f>Pivot_Tables!$D$4:$D$10</c:f>
              <c:strCache>
                <c:ptCount val="6"/>
                <c:pt idx="0">
                  <c:v>Data Analyst</c:v>
                </c:pt>
                <c:pt idx="1">
                  <c:v>Graphic Designer</c:v>
                </c:pt>
                <c:pt idx="2">
                  <c:v>Nurse</c:v>
                </c:pt>
                <c:pt idx="3">
                  <c:v>Sales Representative</c:v>
                </c:pt>
                <c:pt idx="4">
                  <c:v>Software Engineer</c:v>
                </c:pt>
                <c:pt idx="5">
                  <c:v>Teacher</c:v>
                </c:pt>
              </c:strCache>
            </c:strRef>
          </c:cat>
          <c:val>
            <c:numRef>
              <c:f>Pivot_Tables!$E$4:$E$10</c:f>
              <c:numCache>
                <c:formatCode>General</c:formatCode>
                <c:ptCount val="6"/>
                <c:pt idx="0">
                  <c:v>31515136.019999996</c:v>
                </c:pt>
                <c:pt idx="1">
                  <c:v>26121545.669999994</c:v>
                </c:pt>
                <c:pt idx="2">
                  <c:v>29048488.249999989</c:v>
                </c:pt>
                <c:pt idx="3">
                  <c:v>31703936.760000009</c:v>
                </c:pt>
                <c:pt idx="4">
                  <c:v>30615469.169999994</c:v>
                </c:pt>
                <c:pt idx="5">
                  <c:v>29922550.849999998</c:v>
                </c:pt>
              </c:numCache>
            </c:numRef>
          </c:val>
          <c:extLst>
            <c:ext xmlns:c16="http://schemas.microsoft.com/office/drawing/2014/chart" uri="{C3380CC4-5D6E-409C-BE32-E72D297353CC}">
              <c16:uniqueId val="{00000000-E1C7-4DFB-B8E1-61C1D10B07A8}"/>
            </c:ext>
          </c:extLst>
        </c:ser>
        <c:dLbls>
          <c:showLegendKey val="0"/>
          <c:showVal val="0"/>
          <c:showCatName val="0"/>
          <c:showSerName val="0"/>
          <c:showPercent val="0"/>
          <c:showBubbleSize val="0"/>
        </c:dLbls>
        <c:gapWidth val="182"/>
        <c:axId val="370477103"/>
        <c:axId val="370477583"/>
      </c:barChart>
      <c:catAx>
        <c:axId val="37047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477583"/>
        <c:crosses val="autoZero"/>
        <c:auto val="1"/>
        <c:lblAlgn val="ctr"/>
        <c:lblOffset val="100"/>
        <c:noMultiLvlLbl val="0"/>
      </c:catAx>
      <c:valAx>
        <c:axId val="370477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47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Marrital_Status vs Average of Utilization_Rate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Total</c:v>
                </c:pt>
              </c:strCache>
            </c:strRef>
          </c:tx>
          <c:spPr>
            <a:solidFill>
              <a:schemeClr val="accent1"/>
            </a:solidFill>
            <a:ln>
              <a:noFill/>
            </a:ln>
            <a:effectLst/>
          </c:spPr>
          <c:invertIfNegative val="0"/>
          <c:cat>
            <c:strRef>
              <c:f>Pivot_Tables!$G$4:$G$7</c:f>
              <c:strCache>
                <c:ptCount val="3"/>
                <c:pt idx="0">
                  <c:v>1</c:v>
                </c:pt>
                <c:pt idx="1">
                  <c:v>2</c:v>
                </c:pt>
                <c:pt idx="2">
                  <c:v>3</c:v>
                </c:pt>
              </c:strCache>
            </c:strRef>
          </c:cat>
          <c:val>
            <c:numRef>
              <c:f>Pivot_Tables!$H$4:$H$7</c:f>
              <c:numCache>
                <c:formatCode>General</c:formatCode>
                <c:ptCount val="3"/>
                <c:pt idx="0">
                  <c:v>0.40748402366863884</c:v>
                </c:pt>
                <c:pt idx="1">
                  <c:v>0.39161715006305131</c:v>
                </c:pt>
                <c:pt idx="2">
                  <c:v>0.39917823834196919</c:v>
                </c:pt>
              </c:numCache>
            </c:numRef>
          </c:val>
          <c:extLst>
            <c:ext xmlns:c16="http://schemas.microsoft.com/office/drawing/2014/chart" uri="{C3380CC4-5D6E-409C-BE32-E72D297353CC}">
              <c16:uniqueId val="{00000002-07AB-45C1-BA8E-8FB310FC5649}"/>
            </c:ext>
          </c:extLst>
        </c:ser>
        <c:dLbls>
          <c:showLegendKey val="0"/>
          <c:showVal val="0"/>
          <c:showCatName val="0"/>
          <c:showSerName val="0"/>
          <c:showPercent val="0"/>
          <c:showBubbleSize val="0"/>
        </c:dLbls>
        <c:gapWidth val="219"/>
        <c:overlap val="-27"/>
        <c:axId val="378054847"/>
        <c:axId val="378058207"/>
      </c:barChart>
      <c:catAx>
        <c:axId val="37805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8207"/>
        <c:crosses val="autoZero"/>
        <c:auto val="1"/>
        <c:lblAlgn val="ctr"/>
        <c:lblOffset val="100"/>
        <c:noMultiLvlLbl val="0"/>
      </c:catAx>
      <c:valAx>
        <c:axId val="37805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48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12700">
      <a:solidFill>
        <a:schemeClr val="accent1">
          <a:alpha val="74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Pivot_Tables!$K$3</c:f>
              <c:strCache>
                <c:ptCount val="1"/>
                <c:pt idx="0">
                  <c:v>Total</c:v>
                </c:pt>
              </c:strCache>
            </c:strRef>
          </c:tx>
          <c:spPr>
            <a:solidFill>
              <a:schemeClr val="accent1"/>
            </a:solidFill>
            <a:ln>
              <a:noFill/>
            </a:ln>
            <a:effectLst/>
          </c:spPr>
          <c:invertIfNegative val="0"/>
          <c:cat>
            <c:strRef>
              <c:f>Pivot_Tables!$J$4:$J$8</c:f>
              <c:strCache>
                <c:ptCount val="4"/>
                <c:pt idx="0">
                  <c:v>1</c:v>
                </c:pt>
                <c:pt idx="1">
                  <c:v>2</c:v>
                </c:pt>
                <c:pt idx="2">
                  <c:v>3</c:v>
                </c:pt>
                <c:pt idx="3">
                  <c:v>4</c:v>
                </c:pt>
              </c:strCache>
            </c:strRef>
          </c:cat>
          <c:val>
            <c:numRef>
              <c:f>Pivot_Tables!$K$4:$K$8</c:f>
              <c:numCache>
                <c:formatCode>General</c:formatCode>
                <c:ptCount val="4"/>
                <c:pt idx="0">
                  <c:v>724</c:v>
                </c:pt>
                <c:pt idx="1">
                  <c:v>777</c:v>
                </c:pt>
                <c:pt idx="2">
                  <c:v>398</c:v>
                </c:pt>
                <c:pt idx="3">
                  <c:v>101</c:v>
                </c:pt>
              </c:numCache>
            </c:numRef>
          </c:val>
          <c:extLst>
            <c:ext xmlns:c16="http://schemas.microsoft.com/office/drawing/2014/chart" uri="{C3380CC4-5D6E-409C-BE32-E72D297353CC}">
              <c16:uniqueId val="{00000000-E91A-4C34-AAF0-FD8F702FF86E}"/>
            </c:ext>
          </c:extLst>
        </c:ser>
        <c:dLbls>
          <c:showLegendKey val="0"/>
          <c:showVal val="0"/>
          <c:showCatName val="0"/>
          <c:showSerName val="0"/>
          <c:showPercent val="0"/>
          <c:showBubbleSize val="0"/>
        </c:dLbls>
        <c:gapWidth val="219"/>
        <c:overlap val="-27"/>
        <c:axId val="378054847"/>
        <c:axId val="378058207"/>
      </c:barChart>
      <c:catAx>
        <c:axId val="37805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8207"/>
        <c:crosses val="autoZero"/>
        <c:auto val="1"/>
        <c:lblAlgn val="ctr"/>
        <c:lblOffset val="100"/>
        <c:noMultiLvlLbl val="0"/>
      </c:catAx>
      <c:valAx>
        <c:axId val="37805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4847"/>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Occupation</a:t>
            </a:r>
            <a:r>
              <a:rPr lang="en-IN" baseline="0"/>
              <a:t> vs Average of Income_Stability</a:t>
            </a:r>
            <a:endParaRPr lang="en-IN"/>
          </a:p>
        </c:rich>
      </c:tx>
      <c:layout>
        <c:manualLayout>
          <c:xMode val="edge"/>
          <c:yMode val="edge"/>
          <c:x val="0.3115137795275590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Pivot_Tables!$B$13</c:f>
              <c:strCache>
                <c:ptCount val="1"/>
                <c:pt idx="0">
                  <c:v>Total</c:v>
                </c:pt>
              </c:strCache>
            </c:strRef>
          </c:tx>
          <c:spPr>
            <a:ln w="28575" cap="rnd">
              <a:solidFill>
                <a:schemeClr val="accent1"/>
              </a:solidFill>
              <a:round/>
            </a:ln>
            <a:effectLst/>
          </c:spPr>
          <c:marker>
            <c:symbol val="none"/>
          </c:marker>
          <c:cat>
            <c:strRef>
              <c:f>Pivot_Tables!$A$14:$A$20</c:f>
              <c:strCache>
                <c:ptCount val="6"/>
                <c:pt idx="0">
                  <c:v>Data Analyst</c:v>
                </c:pt>
                <c:pt idx="1">
                  <c:v>Graphic Designer</c:v>
                </c:pt>
                <c:pt idx="2">
                  <c:v>Nurse</c:v>
                </c:pt>
                <c:pt idx="3">
                  <c:v>Sales Representative</c:v>
                </c:pt>
                <c:pt idx="4">
                  <c:v>Software Engineer</c:v>
                </c:pt>
                <c:pt idx="5">
                  <c:v>Teacher</c:v>
                </c:pt>
              </c:strCache>
            </c:strRef>
          </c:cat>
          <c:val>
            <c:numRef>
              <c:f>Pivot_Tables!$B$14:$B$20</c:f>
              <c:numCache>
                <c:formatCode>General</c:formatCode>
                <c:ptCount val="6"/>
                <c:pt idx="0">
                  <c:v>0.6820494219653187</c:v>
                </c:pt>
                <c:pt idx="1">
                  <c:v>0.70991836065573788</c:v>
                </c:pt>
                <c:pt idx="2">
                  <c:v>0.70449337349397567</c:v>
                </c:pt>
                <c:pt idx="3">
                  <c:v>0.70319800569800539</c:v>
                </c:pt>
                <c:pt idx="4">
                  <c:v>0.68508029850746255</c:v>
                </c:pt>
                <c:pt idx="5">
                  <c:v>0.68632054380664642</c:v>
                </c:pt>
              </c:numCache>
            </c:numRef>
          </c:val>
          <c:smooth val="0"/>
          <c:extLst>
            <c:ext xmlns:c16="http://schemas.microsoft.com/office/drawing/2014/chart" uri="{C3380CC4-5D6E-409C-BE32-E72D297353CC}">
              <c16:uniqueId val="{00000000-FE4D-4C7D-B4CF-84E1DC2962E4}"/>
            </c:ext>
          </c:extLst>
        </c:ser>
        <c:dLbls>
          <c:showLegendKey val="0"/>
          <c:showVal val="0"/>
          <c:showCatName val="0"/>
          <c:showSerName val="0"/>
          <c:showPercent val="0"/>
          <c:showBubbleSize val="0"/>
        </c:dLbls>
        <c:smooth val="0"/>
        <c:axId val="378165247"/>
        <c:axId val="378166687"/>
      </c:lineChart>
      <c:catAx>
        <c:axId val="3781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66687"/>
        <c:crosses val="autoZero"/>
        <c:auto val="1"/>
        <c:lblAlgn val="ctr"/>
        <c:lblOffset val="100"/>
        <c:noMultiLvlLbl val="0"/>
      </c:catAx>
      <c:valAx>
        <c:axId val="37816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6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Average of Late_Payment_Last_Year</a:t>
            </a:r>
            <a:endParaRPr lang="en-US"/>
          </a:p>
        </c:rich>
      </c:tx>
      <c:layout>
        <c:manualLayout>
          <c:xMode val="edge"/>
          <c:yMode val="edge"/>
          <c:x val="0.4843795620437956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Pivot_Tables!$E$13</c:f>
              <c:strCache>
                <c:ptCount val="1"/>
                <c:pt idx="0">
                  <c:v>Total</c:v>
                </c:pt>
              </c:strCache>
            </c:strRef>
          </c:tx>
          <c:spPr>
            <a:ln w="28575" cap="rnd">
              <a:solidFill>
                <a:schemeClr val="accent1"/>
              </a:solidFill>
              <a:round/>
            </a:ln>
            <a:effectLst/>
          </c:spPr>
          <c:marker>
            <c:symbol val="none"/>
          </c:marker>
          <c:cat>
            <c:strRef>
              <c:f>Pivot_Tables!$D$14:$D$64</c:f>
              <c:strCache>
                <c:ptCount val="50"/>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pt idx="48">
                  <c:v>69</c:v>
                </c:pt>
                <c:pt idx="49">
                  <c:v>70</c:v>
                </c:pt>
              </c:strCache>
            </c:strRef>
          </c:cat>
          <c:val>
            <c:numRef>
              <c:f>Pivot_Tables!$E$14:$E$64</c:f>
              <c:numCache>
                <c:formatCode>General</c:formatCode>
                <c:ptCount val="50"/>
                <c:pt idx="0">
                  <c:v>2.21875</c:v>
                </c:pt>
                <c:pt idx="1">
                  <c:v>2.5249999999999999</c:v>
                </c:pt>
                <c:pt idx="2">
                  <c:v>2.4358974358974357</c:v>
                </c:pt>
                <c:pt idx="3">
                  <c:v>2.8823529411764706</c:v>
                </c:pt>
                <c:pt idx="4">
                  <c:v>2.3333333333333335</c:v>
                </c:pt>
                <c:pt idx="5">
                  <c:v>2.2857142857142856</c:v>
                </c:pt>
                <c:pt idx="6">
                  <c:v>3.2765957446808511</c:v>
                </c:pt>
                <c:pt idx="7">
                  <c:v>2.847826086956522</c:v>
                </c:pt>
                <c:pt idx="8">
                  <c:v>2.9777777777777779</c:v>
                </c:pt>
                <c:pt idx="9">
                  <c:v>2.6</c:v>
                </c:pt>
                <c:pt idx="10">
                  <c:v>2.3714285714285714</c:v>
                </c:pt>
                <c:pt idx="11">
                  <c:v>2.5897435897435899</c:v>
                </c:pt>
                <c:pt idx="12">
                  <c:v>2.2888888888888888</c:v>
                </c:pt>
                <c:pt idx="13">
                  <c:v>3.074074074074074</c:v>
                </c:pt>
                <c:pt idx="14">
                  <c:v>2.3255813953488373</c:v>
                </c:pt>
                <c:pt idx="15">
                  <c:v>2.3142857142857145</c:v>
                </c:pt>
                <c:pt idx="16">
                  <c:v>2.5862068965517242</c:v>
                </c:pt>
                <c:pt idx="17">
                  <c:v>2.4255319148936172</c:v>
                </c:pt>
                <c:pt idx="18">
                  <c:v>2.1538461538461537</c:v>
                </c:pt>
                <c:pt idx="19">
                  <c:v>2.3095238095238093</c:v>
                </c:pt>
                <c:pt idx="20">
                  <c:v>3</c:v>
                </c:pt>
                <c:pt idx="21">
                  <c:v>3.096774193548387</c:v>
                </c:pt>
                <c:pt idx="22">
                  <c:v>2.1</c:v>
                </c:pt>
                <c:pt idx="23">
                  <c:v>3.1</c:v>
                </c:pt>
                <c:pt idx="24">
                  <c:v>3</c:v>
                </c:pt>
                <c:pt idx="25">
                  <c:v>2.8541666666666665</c:v>
                </c:pt>
                <c:pt idx="26">
                  <c:v>2.4772727272727271</c:v>
                </c:pt>
                <c:pt idx="27">
                  <c:v>2.7894736842105261</c:v>
                </c:pt>
                <c:pt idx="28">
                  <c:v>2.1749999999999998</c:v>
                </c:pt>
                <c:pt idx="29">
                  <c:v>2.8666666666666667</c:v>
                </c:pt>
                <c:pt idx="30">
                  <c:v>2.3953488372093021</c:v>
                </c:pt>
                <c:pt idx="31">
                  <c:v>2.2173913043478262</c:v>
                </c:pt>
                <c:pt idx="32">
                  <c:v>2.5249999999999999</c:v>
                </c:pt>
                <c:pt idx="33">
                  <c:v>2.4705882352941178</c:v>
                </c:pt>
                <c:pt idx="34">
                  <c:v>2.7</c:v>
                </c:pt>
                <c:pt idx="35">
                  <c:v>2.9249999999999998</c:v>
                </c:pt>
                <c:pt idx="36">
                  <c:v>2.5853658536585367</c:v>
                </c:pt>
                <c:pt idx="37">
                  <c:v>2.875</c:v>
                </c:pt>
                <c:pt idx="38">
                  <c:v>2.2432432432432434</c:v>
                </c:pt>
                <c:pt idx="39">
                  <c:v>2.7857142857142856</c:v>
                </c:pt>
                <c:pt idx="40">
                  <c:v>2.4893617021276597</c:v>
                </c:pt>
                <c:pt idx="41">
                  <c:v>2.7435897435897436</c:v>
                </c:pt>
                <c:pt idx="42">
                  <c:v>2.7727272727272729</c:v>
                </c:pt>
                <c:pt idx="43">
                  <c:v>3</c:v>
                </c:pt>
                <c:pt idx="44">
                  <c:v>2.6470588235294117</c:v>
                </c:pt>
                <c:pt idx="45">
                  <c:v>2.2894736842105261</c:v>
                </c:pt>
                <c:pt idx="46">
                  <c:v>2.5526315789473686</c:v>
                </c:pt>
                <c:pt idx="47">
                  <c:v>2.8163265306122449</c:v>
                </c:pt>
                <c:pt idx="48">
                  <c:v>3.15</c:v>
                </c:pt>
                <c:pt idx="49">
                  <c:v>2.4</c:v>
                </c:pt>
              </c:numCache>
            </c:numRef>
          </c:val>
          <c:smooth val="0"/>
          <c:extLst>
            <c:ext xmlns:c16="http://schemas.microsoft.com/office/drawing/2014/chart" uri="{C3380CC4-5D6E-409C-BE32-E72D297353CC}">
              <c16:uniqueId val="{00000000-37C8-41C4-9F25-FA20919EED0E}"/>
            </c:ext>
          </c:extLst>
        </c:ser>
        <c:dLbls>
          <c:showLegendKey val="0"/>
          <c:showVal val="0"/>
          <c:showCatName val="0"/>
          <c:showSerName val="0"/>
          <c:showPercent val="0"/>
          <c:showBubbleSize val="0"/>
        </c:dLbls>
        <c:smooth val="0"/>
        <c:axId val="378099967"/>
        <c:axId val="378084127"/>
      </c:lineChart>
      <c:catAx>
        <c:axId val="37809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84127"/>
        <c:crosses val="autoZero"/>
        <c:auto val="1"/>
        <c:lblAlgn val="ctr"/>
        <c:lblOffset val="100"/>
        <c:noMultiLvlLbl val="0"/>
      </c:catAx>
      <c:valAx>
        <c:axId val="37808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9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Dependents</a:t>
            </a:r>
            <a:r>
              <a:rPr lang="en-US" baseline="0"/>
              <a:t> vs Credit_Score</a:t>
            </a:r>
            <a:endParaRPr lang="en-US"/>
          </a:p>
        </c:rich>
      </c:tx>
      <c:layout>
        <c:manualLayout>
          <c:xMode val="edge"/>
          <c:yMode val="edge"/>
          <c:x val="0.31953275101214856"/>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Pivot_Tables!$H$13</c:f>
              <c:strCache>
                <c:ptCount val="1"/>
                <c:pt idx="0">
                  <c:v>Total</c:v>
                </c:pt>
              </c:strCache>
            </c:strRef>
          </c:tx>
          <c:spPr>
            <a:solidFill>
              <a:schemeClr val="accent1"/>
            </a:solidFill>
            <a:ln>
              <a:noFill/>
            </a:ln>
            <a:effectLst/>
          </c:spPr>
          <c:invertIfNegative val="0"/>
          <c:cat>
            <c:strRef>
              <c:f>Pivot_Tables!$G$14:$G$18</c:f>
              <c:strCache>
                <c:ptCount val="4"/>
                <c:pt idx="0">
                  <c:v>0</c:v>
                </c:pt>
                <c:pt idx="1">
                  <c:v>1</c:v>
                </c:pt>
                <c:pt idx="2">
                  <c:v>2</c:v>
                </c:pt>
                <c:pt idx="3">
                  <c:v>3</c:v>
                </c:pt>
              </c:strCache>
            </c:strRef>
          </c:cat>
          <c:val>
            <c:numRef>
              <c:f>Pivot_Tables!$H$14:$H$18</c:f>
              <c:numCache>
                <c:formatCode>General</c:formatCode>
                <c:ptCount val="4"/>
                <c:pt idx="0">
                  <c:v>701.38604651162791</c:v>
                </c:pt>
                <c:pt idx="1">
                  <c:v>699.00912043301764</c:v>
                </c:pt>
                <c:pt idx="2">
                  <c:v>704.16672185430423</c:v>
                </c:pt>
                <c:pt idx="3">
                  <c:v>695.1202020202021</c:v>
                </c:pt>
              </c:numCache>
            </c:numRef>
          </c:val>
          <c:extLst>
            <c:ext xmlns:c16="http://schemas.microsoft.com/office/drawing/2014/chart" uri="{C3380CC4-5D6E-409C-BE32-E72D297353CC}">
              <c16:uniqueId val="{00000000-E3CE-40DA-94FA-A0203A76FBD8}"/>
            </c:ext>
          </c:extLst>
        </c:ser>
        <c:dLbls>
          <c:showLegendKey val="0"/>
          <c:showVal val="0"/>
          <c:showCatName val="0"/>
          <c:showSerName val="0"/>
          <c:showPercent val="0"/>
          <c:showBubbleSize val="0"/>
        </c:dLbls>
        <c:gapWidth val="219"/>
        <c:overlap val="-27"/>
        <c:axId val="378157087"/>
        <c:axId val="378142207"/>
      </c:barChart>
      <c:catAx>
        <c:axId val="37815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42207"/>
        <c:crosses val="autoZero"/>
        <c:auto val="1"/>
        <c:lblAlgn val="ctr"/>
        <c:lblOffset val="100"/>
        <c:noMultiLvlLbl val="0"/>
      </c:catAx>
      <c:valAx>
        <c:axId val="37814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5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6"/>
              <c:pt idx="0">
                <c:v>1</c:v>
              </c:pt>
              <c:pt idx="1">
                <c:v>2</c:v>
              </c:pt>
              <c:pt idx="2">
                <c:v>3</c:v>
              </c:pt>
              <c:pt idx="3">
                <c:v>4</c:v>
              </c:pt>
              <c:pt idx="4">
                <c:v>5</c:v>
              </c:pt>
              <c:pt idx="5">
                <c:v>6</c:v>
              </c:pt>
            </c:numLit>
          </c:cat>
          <c:val>
            <c:numLit>
              <c:formatCode>General</c:formatCode>
              <c:ptCount val="6"/>
              <c:pt idx="0">
                <c:v>36672.30745664741</c:v>
              </c:pt>
              <c:pt idx="1">
                <c:v>35011.706327868851</c:v>
              </c:pt>
              <c:pt idx="2">
                <c:v>37222.014066265059</c:v>
              </c:pt>
              <c:pt idx="3">
                <c:v>38089.789430199438</c:v>
              </c:pt>
              <c:pt idx="4">
                <c:v>37547.652388059694</c:v>
              </c:pt>
              <c:pt idx="5">
                <c:v>35556.106948640481</c:v>
              </c:pt>
            </c:numLit>
          </c:val>
          <c:extLst>
            <c:ext xmlns:c16="http://schemas.microsoft.com/office/drawing/2014/chart" uri="{C3380CC4-5D6E-409C-BE32-E72D297353CC}">
              <c16:uniqueId val="{00000000-4E88-4F68-B391-A1AA661F3FA6}"/>
            </c:ext>
          </c:extLst>
        </c:ser>
        <c:ser>
          <c:idx val="1"/>
          <c:order val="1"/>
          <c:tx>
            <c:v>Series2</c:v>
          </c:tx>
          <c:spPr>
            <a:solidFill>
              <a:schemeClr val="accent2"/>
            </a:solidFill>
            <a:ln>
              <a:noFill/>
            </a:ln>
            <a:effectLst/>
          </c:spPr>
          <c:invertIfNegative val="0"/>
          <c:cat>
            <c:numLit>
              <c:formatCode>General</c:formatCode>
              <c:ptCount val="6"/>
              <c:pt idx="0">
                <c:v>1</c:v>
              </c:pt>
              <c:pt idx="1">
                <c:v>2</c:v>
              </c:pt>
              <c:pt idx="2">
                <c:v>3</c:v>
              </c:pt>
              <c:pt idx="3">
                <c:v>4</c:v>
              </c:pt>
              <c:pt idx="4">
                <c:v>5</c:v>
              </c:pt>
              <c:pt idx="5">
                <c:v>6</c:v>
              </c:pt>
            </c:numLit>
          </c:cat>
          <c:val>
            <c:numLit>
              <c:formatCode>General</c:formatCode>
              <c:ptCount val="6"/>
              <c:pt idx="0">
                <c:v>24823.295635838149</c:v>
              </c:pt>
              <c:pt idx="1">
                <c:v>24556.999999999996</c:v>
              </c:pt>
              <c:pt idx="2">
                <c:v>26129.676114457827</c:v>
              </c:pt>
              <c:pt idx="3">
                <c:v>26807.891139601146</c:v>
              </c:pt>
              <c:pt idx="4">
                <c:v>26055.8547164179</c:v>
              </c:pt>
              <c:pt idx="5">
                <c:v>25331.451933534743</c:v>
              </c:pt>
            </c:numLit>
          </c:val>
          <c:extLst>
            <c:ext xmlns:c16="http://schemas.microsoft.com/office/drawing/2014/chart" uri="{C3380CC4-5D6E-409C-BE32-E72D297353CC}">
              <c16:uniqueId val="{00000001-4E88-4F68-B391-A1AA661F3FA6}"/>
            </c:ext>
          </c:extLst>
        </c:ser>
        <c:dLbls>
          <c:showLegendKey val="0"/>
          <c:showVal val="0"/>
          <c:showCatName val="0"/>
          <c:showSerName val="0"/>
          <c:showPercent val="0"/>
          <c:showBubbleSize val="0"/>
        </c:dLbls>
        <c:gapWidth val="219"/>
        <c:overlap val="-27"/>
        <c:axId val="370479023"/>
        <c:axId val="370464143"/>
      </c:barChart>
      <c:catAx>
        <c:axId val="3704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464143"/>
        <c:crosses val="autoZero"/>
        <c:auto val="1"/>
        <c:lblAlgn val="ctr"/>
        <c:lblOffset val="100"/>
        <c:noMultiLvlLbl val="0"/>
      </c:catAx>
      <c:valAx>
        <c:axId val="37046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47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dataset 3.xlsx]Pivot_Tables!PivotTable9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Default vs Average of Months_with_Bank</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Pivot_Tables!$H$23</c:f>
              <c:strCache>
                <c:ptCount val="1"/>
                <c:pt idx="0">
                  <c:v>Total</c:v>
                </c:pt>
              </c:strCache>
            </c:strRef>
          </c:tx>
          <c:spPr>
            <a:solidFill>
              <a:schemeClr val="accent1"/>
            </a:solidFill>
            <a:ln>
              <a:noFill/>
            </a:ln>
            <a:effectLst/>
          </c:spPr>
          <c:invertIfNegative val="0"/>
          <c:cat>
            <c:strRef>
              <c:f>Pivot_Tables!$G$24:$G$26</c:f>
              <c:strCache>
                <c:ptCount val="2"/>
                <c:pt idx="0">
                  <c:v>0</c:v>
                </c:pt>
                <c:pt idx="1">
                  <c:v>1</c:v>
                </c:pt>
              </c:strCache>
            </c:strRef>
          </c:cat>
          <c:val>
            <c:numRef>
              <c:f>Pivot_Tables!$H$24:$H$26</c:f>
              <c:numCache>
                <c:formatCode>General</c:formatCode>
                <c:ptCount val="2"/>
                <c:pt idx="0">
                  <c:v>92.237597911227155</c:v>
                </c:pt>
                <c:pt idx="1">
                  <c:v>94.270588235294113</c:v>
                </c:pt>
              </c:numCache>
            </c:numRef>
          </c:val>
          <c:extLst>
            <c:ext xmlns:c16="http://schemas.microsoft.com/office/drawing/2014/chart" uri="{C3380CC4-5D6E-409C-BE32-E72D297353CC}">
              <c16:uniqueId val="{00000028-45E8-44EF-BB4F-D02CAAFE0BCE}"/>
            </c:ext>
          </c:extLst>
        </c:ser>
        <c:dLbls>
          <c:showLegendKey val="0"/>
          <c:showVal val="0"/>
          <c:showCatName val="0"/>
          <c:showSerName val="0"/>
          <c:showPercent val="0"/>
          <c:showBubbleSize val="0"/>
        </c:dLbls>
        <c:gapWidth val="182"/>
        <c:axId val="409079679"/>
        <c:axId val="409097439"/>
      </c:barChart>
      <c:catAx>
        <c:axId val="40907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97439"/>
        <c:crosses val="autoZero"/>
        <c:auto val="1"/>
        <c:lblAlgn val="ctr"/>
        <c:lblOffset val="100"/>
        <c:noMultiLvlLbl val="0"/>
      </c:catAx>
      <c:valAx>
        <c:axId val="409097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7967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12700">
      <a:solidFill>
        <a:schemeClr val="accent1">
          <a:alpha val="74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Income_Stability</a:t>
            </a:r>
            <a:r>
              <a:rPr lang="en-US" baseline="0"/>
              <a:t> vs Average of Credit_Score</a:t>
            </a:r>
            <a:endParaRPr lang="en-US"/>
          </a:p>
        </c:rich>
      </c:tx>
      <c:layout>
        <c:manualLayout>
          <c:xMode val="edge"/>
          <c:yMode val="edge"/>
          <c:x val="0.27872900262467193"/>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Series1</c:v>
          </c:tx>
          <c:spPr>
            <a:solidFill>
              <a:schemeClr val="accent1"/>
            </a:solidFill>
            <a:ln>
              <a:noFill/>
            </a:ln>
            <a:effectLst/>
          </c:spPr>
          <c:cat>
            <c:numLit>
              <c:formatCode>General</c:formatCode>
              <c:ptCount val="161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pt idx="1460">
                <c:v>1461</c:v>
              </c:pt>
              <c:pt idx="1461">
                <c:v>1462</c:v>
              </c:pt>
              <c:pt idx="1462">
                <c:v>1463</c:v>
              </c:pt>
              <c:pt idx="1463">
                <c:v>1464</c:v>
              </c:pt>
              <c:pt idx="1464">
                <c:v>1465</c:v>
              </c:pt>
              <c:pt idx="1465">
                <c:v>1466</c:v>
              </c:pt>
              <c:pt idx="1466">
                <c:v>1467</c:v>
              </c:pt>
              <c:pt idx="1467">
                <c:v>1468</c:v>
              </c:pt>
              <c:pt idx="1468">
                <c:v>1469</c:v>
              </c:pt>
              <c:pt idx="1469">
                <c:v>1470</c:v>
              </c:pt>
              <c:pt idx="1470">
                <c:v>1471</c:v>
              </c:pt>
              <c:pt idx="1471">
                <c:v>1472</c:v>
              </c:pt>
              <c:pt idx="1472">
                <c:v>1473</c:v>
              </c:pt>
              <c:pt idx="1473">
                <c:v>1474</c:v>
              </c:pt>
              <c:pt idx="1474">
                <c:v>1475</c:v>
              </c:pt>
              <c:pt idx="1475">
                <c:v>1476</c:v>
              </c:pt>
              <c:pt idx="1476">
                <c:v>1477</c:v>
              </c:pt>
              <c:pt idx="1477">
                <c:v>1478</c:v>
              </c:pt>
              <c:pt idx="1478">
                <c:v>1479</c:v>
              </c:pt>
              <c:pt idx="1479">
                <c:v>1480</c:v>
              </c:pt>
              <c:pt idx="1480">
                <c:v>1481</c:v>
              </c:pt>
              <c:pt idx="1481">
                <c:v>1482</c:v>
              </c:pt>
              <c:pt idx="1482">
                <c:v>1483</c:v>
              </c:pt>
              <c:pt idx="1483">
                <c:v>1484</c:v>
              </c:pt>
              <c:pt idx="1484">
                <c:v>1485</c:v>
              </c:pt>
              <c:pt idx="1485">
                <c:v>1486</c:v>
              </c:pt>
              <c:pt idx="1486">
                <c:v>1487</c:v>
              </c:pt>
              <c:pt idx="1487">
                <c:v>1488</c:v>
              </c:pt>
              <c:pt idx="1488">
                <c:v>1489</c:v>
              </c:pt>
              <c:pt idx="1489">
                <c:v>1490</c:v>
              </c:pt>
              <c:pt idx="1490">
                <c:v>1491</c:v>
              </c:pt>
              <c:pt idx="1491">
                <c:v>1492</c:v>
              </c:pt>
              <c:pt idx="1492">
                <c:v>1493</c:v>
              </c:pt>
              <c:pt idx="1493">
                <c:v>1494</c:v>
              </c:pt>
              <c:pt idx="1494">
                <c:v>1495</c:v>
              </c:pt>
              <c:pt idx="1495">
                <c:v>1496</c:v>
              </c:pt>
              <c:pt idx="1496">
                <c:v>1497</c:v>
              </c:pt>
              <c:pt idx="1497">
                <c:v>1498</c:v>
              </c:pt>
              <c:pt idx="1498">
                <c:v>1499</c:v>
              </c:pt>
              <c:pt idx="1499">
                <c:v>1500</c:v>
              </c:pt>
              <c:pt idx="1500">
                <c:v>1501</c:v>
              </c:pt>
              <c:pt idx="1501">
                <c:v>1502</c:v>
              </c:pt>
              <c:pt idx="1502">
                <c:v>1503</c:v>
              </c:pt>
              <c:pt idx="1503">
                <c:v>1504</c:v>
              </c:pt>
              <c:pt idx="1504">
                <c:v>1505</c:v>
              </c:pt>
              <c:pt idx="1505">
                <c:v>1506</c:v>
              </c:pt>
              <c:pt idx="1506">
                <c:v>1507</c:v>
              </c:pt>
              <c:pt idx="1507">
                <c:v>1508</c:v>
              </c:pt>
              <c:pt idx="1508">
                <c:v>1509</c:v>
              </c:pt>
              <c:pt idx="1509">
                <c:v>1510</c:v>
              </c:pt>
              <c:pt idx="1510">
                <c:v>1511</c:v>
              </c:pt>
              <c:pt idx="1511">
                <c:v>1512</c:v>
              </c:pt>
              <c:pt idx="1512">
                <c:v>1513</c:v>
              </c:pt>
              <c:pt idx="1513">
                <c:v>1514</c:v>
              </c:pt>
              <c:pt idx="1514">
                <c:v>1515</c:v>
              </c:pt>
              <c:pt idx="1515">
                <c:v>1516</c:v>
              </c:pt>
              <c:pt idx="1516">
                <c:v>1517</c:v>
              </c:pt>
              <c:pt idx="1517">
                <c:v>1518</c:v>
              </c:pt>
              <c:pt idx="1518">
                <c:v>1519</c:v>
              </c:pt>
              <c:pt idx="1519">
                <c:v>1520</c:v>
              </c:pt>
              <c:pt idx="1520">
                <c:v>1521</c:v>
              </c:pt>
              <c:pt idx="1521">
                <c:v>1522</c:v>
              </c:pt>
              <c:pt idx="1522">
                <c:v>1523</c:v>
              </c:pt>
              <c:pt idx="1523">
                <c:v>1524</c:v>
              </c:pt>
              <c:pt idx="1524">
                <c:v>1525</c:v>
              </c:pt>
              <c:pt idx="1525">
                <c:v>1526</c:v>
              </c:pt>
              <c:pt idx="1526">
                <c:v>1527</c:v>
              </c:pt>
              <c:pt idx="1527">
                <c:v>1528</c:v>
              </c:pt>
              <c:pt idx="1528">
                <c:v>1529</c:v>
              </c:pt>
              <c:pt idx="1529">
                <c:v>1530</c:v>
              </c:pt>
              <c:pt idx="1530">
                <c:v>1531</c:v>
              </c:pt>
              <c:pt idx="1531">
                <c:v>1532</c:v>
              </c:pt>
              <c:pt idx="1532">
                <c:v>1533</c:v>
              </c:pt>
              <c:pt idx="1533">
                <c:v>1534</c:v>
              </c:pt>
              <c:pt idx="1534">
                <c:v>1535</c:v>
              </c:pt>
              <c:pt idx="1535">
                <c:v>1536</c:v>
              </c:pt>
              <c:pt idx="1536">
                <c:v>1537</c:v>
              </c:pt>
              <c:pt idx="1537">
                <c:v>1538</c:v>
              </c:pt>
              <c:pt idx="1538">
                <c:v>1539</c:v>
              </c:pt>
              <c:pt idx="1539">
                <c:v>1540</c:v>
              </c:pt>
              <c:pt idx="1540">
                <c:v>1541</c:v>
              </c:pt>
              <c:pt idx="1541">
                <c:v>1542</c:v>
              </c:pt>
              <c:pt idx="1542">
                <c:v>1543</c:v>
              </c:pt>
              <c:pt idx="1543">
                <c:v>1544</c:v>
              </c:pt>
              <c:pt idx="1544">
                <c:v>1545</c:v>
              </c:pt>
              <c:pt idx="1545">
                <c:v>1546</c:v>
              </c:pt>
              <c:pt idx="1546">
                <c:v>1547</c:v>
              </c:pt>
              <c:pt idx="1547">
                <c:v>1548</c:v>
              </c:pt>
              <c:pt idx="1548">
                <c:v>1549</c:v>
              </c:pt>
              <c:pt idx="1549">
                <c:v>1550</c:v>
              </c:pt>
              <c:pt idx="1550">
                <c:v>1551</c:v>
              </c:pt>
              <c:pt idx="1551">
                <c:v>1552</c:v>
              </c:pt>
              <c:pt idx="1552">
                <c:v>1553</c:v>
              </c:pt>
              <c:pt idx="1553">
                <c:v>1554</c:v>
              </c:pt>
              <c:pt idx="1554">
                <c:v>1555</c:v>
              </c:pt>
              <c:pt idx="1555">
                <c:v>1556</c:v>
              </c:pt>
              <c:pt idx="1556">
                <c:v>1557</c:v>
              </c:pt>
              <c:pt idx="1557">
                <c:v>1558</c:v>
              </c:pt>
              <c:pt idx="1558">
                <c:v>1559</c:v>
              </c:pt>
              <c:pt idx="1559">
                <c:v>1560</c:v>
              </c:pt>
              <c:pt idx="1560">
                <c:v>1561</c:v>
              </c:pt>
              <c:pt idx="1561">
                <c:v>1562</c:v>
              </c:pt>
              <c:pt idx="1562">
                <c:v>1563</c:v>
              </c:pt>
              <c:pt idx="1563">
                <c:v>1564</c:v>
              </c:pt>
              <c:pt idx="1564">
                <c:v>1565</c:v>
              </c:pt>
              <c:pt idx="1565">
                <c:v>1566</c:v>
              </c:pt>
              <c:pt idx="1566">
                <c:v>1567</c:v>
              </c:pt>
              <c:pt idx="1567">
                <c:v>1568</c:v>
              </c:pt>
              <c:pt idx="1568">
                <c:v>1569</c:v>
              </c:pt>
              <c:pt idx="1569">
                <c:v>1570</c:v>
              </c:pt>
              <c:pt idx="1570">
                <c:v>1571</c:v>
              </c:pt>
              <c:pt idx="1571">
                <c:v>1572</c:v>
              </c:pt>
              <c:pt idx="1572">
                <c:v>1573</c:v>
              </c:pt>
              <c:pt idx="1573">
                <c:v>1574</c:v>
              </c:pt>
              <c:pt idx="1574">
                <c:v>1575</c:v>
              </c:pt>
              <c:pt idx="1575">
                <c:v>1576</c:v>
              </c:pt>
              <c:pt idx="1576">
                <c:v>1577</c:v>
              </c:pt>
              <c:pt idx="1577">
                <c:v>1578</c:v>
              </c:pt>
              <c:pt idx="1578">
                <c:v>1579</c:v>
              </c:pt>
              <c:pt idx="1579">
                <c:v>1580</c:v>
              </c:pt>
              <c:pt idx="1580">
                <c:v>1581</c:v>
              </c:pt>
              <c:pt idx="1581">
                <c:v>1582</c:v>
              </c:pt>
              <c:pt idx="1582">
                <c:v>1583</c:v>
              </c:pt>
              <c:pt idx="1583">
                <c:v>1584</c:v>
              </c:pt>
              <c:pt idx="1584">
                <c:v>1585</c:v>
              </c:pt>
              <c:pt idx="1585">
                <c:v>1586</c:v>
              </c:pt>
              <c:pt idx="1586">
                <c:v>1587</c:v>
              </c:pt>
              <c:pt idx="1587">
                <c:v>1588</c:v>
              </c:pt>
              <c:pt idx="1588">
                <c:v>1589</c:v>
              </c:pt>
              <c:pt idx="1589">
                <c:v>1590</c:v>
              </c:pt>
              <c:pt idx="1590">
                <c:v>1591</c:v>
              </c:pt>
              <c:pt idx="1591">
                <c:v>1592</c:v>
              </c:pt>
              <c:pt idx="1592">
                <c:v>1593</c:v>
              </c:pt>
              <c:pt idx="1593">
                <c:v>1594</c:v>
              </c:pt>
              <c:pt idx="1594">
                <c:v>1595</c:v>
              </c:pt>
              <c:pt idx="1595">
                <c:v>1596</c:v>
              </c:pt>
              <c:pt idx="1596">
                <c:v>1597</c:v>
              </c:pt>
              <c:pt idx="1597">
                <c:v>1598</c:v>
              </c:pt>
              <c:pt idx="1598">
                <c:v>1599</c:v>
              </c:pt>
              <c:pt idx="1599">
                <c:v>1600</c:v>
              </c:pt>
              <c:pt idx="1600">
                <c:v>1601</c:v>
              </c:pt>
              <c:pt idx="1601">
                <c:v>1602</c:v>
              </c:pt>
              <c:pt idx="1602">
                <c:v>1603</c:v>
              </c:pt>
              <c:pt idx="1603">
                <c:v>1604</c:v>
              </c:pt>
              <c:pt idx="1604">
                <c:v>1605</c:v>
              </c:pt>
              <c:pt idx="1605">
                <c:v>1606</c:v>
              </c:pt>
              <c:pt idx="1606">
                <c:v>1607</c:v>
              </c:pt>
              <c:pt idx="1607">
                <c:v>1608</c:v>
              </c:pt>
              <c:pt idx="1608">
                <c:v>1609</c:v>
              </c:pt>
              <c:pt idx="1609">
                <c:v>1610</c:v>
              </c:pt>
              <c:pt idx="1610">
                <c:v>1611</c:v>
              </c:pt>
            </c:numLit>
          </c:cat>
          <c:val>
            <c:numLit>
              <c:formatCode>General</c:formatCode>
              <c:ptCount val="1611"/>
              <c:pt idx="0">
                <c:v>626.71499999999992</c:v>
              </c:pt>
              <c:pt idx="1">
                <c:v>590.39</c:v>
              </c:pt>
              <c:pt idx="2">
                <c:v>597.82000000000005</c:v>
              </c:pt>
              <c:pt idx="3">
                <c:v>590.12</c:v>
              </c:pt>
              <c:pt idx="4">
                <c:v>615.66</c:v>
              </c:pt>
              <c:pt idx="5">
                <c:v>532.79999999999995</c:v>
              </c:pt>
              <c:pt idx="6">
                <c:v>598.85</c:v>
              </c:pt>
              <c:pt idx="7">
                <c:v>767.36</c:v>
              </c:pt>
              <c:pt idx="8">
                <c:v>682.01</c:v>
              </c:pt>
              <c:pt idx="9">
                <c:v>712.17</c:v>
              </c:pt>
              <c:pt idx="10">
                <c:v>552.5</c:v>
              </c:pt>
              <c:pt idx="11">
                <c:v>611.94000000000005</c:v>
              </c:pt>
              <c:pt idx="12">
                <c:v>620.84</c:v>
              </c:pt>
              <c:pt idx="13">
                <c:v>594.59</c:v>
              </c:pt>
              <c:pt idx="14">
                <c:v>629.46</c:v>
              </c:pt>
              <c:pt idx="15">
                <c:v>608.89</c:v>
              </c:pt>
              <c:pt idx="16">
                <c:v>548.1</c:v>
              </c:pt>
              <c:pt idx="17">
                <c:v>676.72</c:v>
              </c:pt>
              <c:pt idx="18">
                <c:v>647.64</c:v>
              </c:pt>
              <c:pt idx="19">
                <c:v>601.01</c:v>
              </c:pt>
              <c:pt idx="20">
                <c:v>500.9</c:v>
              </c:pt>
              <c:pt idx="21">
                <c:v>622.69000000000005</c:v>
              </c:pt>
              <c:pt idx="22">
                <c:v>579.52</c:v>
              </c:pt>
              <c:pt idx="23">
                <c:v>537.29</c:v>
              </c:pt>
              <c:pt idx="24">
                <c:v>584.41</c:v>
              </c:pt>
              <c:pt idx="25">
                <c:v>738.57</c:v>
              </c:pt>
              <c:pt idx="26">
                <c:v>645.30999999999995</c:v>
              </c:pt>
              <c:pt idx="27">
                <c:v>538.53</c:v>
              </c:pt>
              <c:pt idx="28">
                <c:v>716.31</c:v>
              </c:pt>
              <c:pt idx="29">
                <c:v>687.06</c:v>
              </c:pt>
              <c:pt idx="30">
                <c:v>614.86</c:v>
              </c:pt>
              <c:pt idx="31">
                <c:v>596.55999999999995</c:v>
              </c:pt>
              <c:pt idx="32">
                <c:v>533.29</c:v>
              </c:pt>
              <c:pt idx="33">
                <c:v>577.19000000000005</c:v>
              </c:pt>
              <c:pt idx="34">
                <c:v>754.68</c:v>
              </c:pt>
              <c:pt idx="35">
                <c:v>756.58</c:v>
              </c:pt>
              <c:pt idx="36">
                <c:v>722.22</c:v>
              </c:pt>
              <c:pt idx="37">
                <c:v>740.49</c:v>
              </c:pt>
              <c:pt idx="38">
                <c:v>638.70000000000005</c:v>
              </c:pt>
              <c:pt idx="39">
                <c:v>725.41</c:v>
              </c:pt>
              <c:pt idx="40">
                <c:v>694.91</c:v>
              </c:pt>
              <c:pt idx="41">
                <c:v>702.22</c:v>
              </c:pt>
              <c:pt idx="42">
                <c:v>645.72</c:v>
              </c:pt>
              <c:pt idx="43">
                <c:v>530.15</c:v>
              </c:pt>
              <c:pt idx="44">
                <c:v>622.44000000000005</c:v>
              </c:pt>
              <c:pt idx="45">
                <c:v>596.96</c:v>
              </c:pt>
              <c:pt idx="46">
                <c:v>684.76</c:v>
              </c:pt>
              <c:pt idx="47">
                <c:v>814.95</c:v>
              </c:pt>
              <c:pt idx="48">
                <c:v>683.06500000000005</c:v>
              </c:pt>
              <c:pt idx="49">
                <c:v>701.76</c:v>
              </c:pt>
              <c:pt idx="50">
                <c:v>744.55</c:v>
              </c:pt>
              <c:pt idx="51">
                <c:v>666.67</c:v>
              </c:pt>
              <c:pt idx="52">
                <c:v>684.84</c:v>
              </c:pt>
              <c:pt idx="53">
                <c:v>683.73</c:v>
              </c:pt>
              <c:pt idx="54">
                <c:v>651.29999999999995</c:v>
              </c:pt>
              <c:pt idx="55">
                <c:v>616.78</c:v>
              </c:pt>
              <c:pt idx="56">
                <c:v>759.64</c:v>
              </c:pt>
              <c:pt idx="57">
                <c:v>626.79</c:v>
              </c:pt>
              <c:pt idx="58">
                <c:v>623.82000000000005</c:v>
              </c:pt>
              <c:pt idx="59">
                <c:v>694.21</c:v>
              </c:pt>
              <c:pt idx="60">
                <c:v>709.505</c:v>
              </c:pt>
              <c:pt idx="61">
                <c:v>647.21</c:v>
              </c:pt>
              <c:pt idx="62">
                <c:v>718.83</c:v>
              </c:pt>
              <c:pt idx="63">
                <c:v>664.34</c:v>
              </c:pt>
              <c:pt idx="64">
                <c:v>800.39</c:v>
              </c:pt>
              <c:pt idx="65">
                <c:v>771.48</c:v>
              </c:pt>
              <c:pt idx="66">
                <c:v>575.33000000000004</c:v>
              </c:pt>
              <c:pt idx="67">
                <c:v>663.1</c:v>
              </c:pt>
              <c:pt idx="68">
                <c:v>734.39</c:v>
              </c:pt>
              <c:pt idx="69">
                <c:v>678.75</c:v>
              </c:pt>
              <c:pt idx="70">
                <c:v>701.77</c:v>
              </c:pt>
              <c:pt idx="71">
                <c:v>609.9</c:v>
              </c:pt>
              <c:pt idx="72">
                <c:v>639.30999999999995</c:v>
              </c:pt>
              <c:pt idx="73">
                <c:v>647.16</c:v>
              </c:pt>
              <c:pt idx="74">
                <c:v>697.08</c:v>
              </c:pt>
              <c:pt idx="75">
                <c:v>720.92</c:v>
              </c:pt>
              <c:pt idx="76">
                <c:v>533.91999999999996</c:v>
              </c:pt>
              <c:pt idx="77">
                <c:v>688.93</c:v>
              </c:pt>
              <c:pt idx="78">
                <c:v>579.57000000000005</c:v>
              </c:pt>
              <c:pt idx="79">
                <c:v>669.09</c:v>
              </c:pt>
              <c:pt idx="80">
                <c:v>673.08</c:v>
              </c:pt>
              <c:pt idx="81">
                <c:v>574.91</c:v>
              </c:pt>
              <c:pt idx="82">
                <c:v>621.70000000000005</c:v>
              </c:pt>
              <c:pt idx="83">
                <c:v>685.57</c:v>
              </c:pt>
              <c:pt idx="84">
                <c:v>630.73</c:v>
              </c:pt>
              <c:pt idx="85">
                <c:v>684.73</c:v>
              </c:pt>
              <c:pt idx="86">
                <c:v>641.80999999999995</c:v>
              </c:pt>
              <c:pt idx="87">
                <c:v>702.95</c:v>
              </c:pt>
              <c:pt idx="88">
                <c:v>694.96</c:v>
              </c:pt>
              <c:pt idx="89">
                <c:v>547.87</c:v>
              </c:pt>
              <c:pt idx="90">
                <c:v>664.98</c:v>
              </c:pt>
              <c:pt idx="91">
                <c:v>629.9</c:v>
              </c:pt>
              <c:pt idx="92">
                <c:v>600.66999999999996</c:v>
              </c:pt>
              <c:pt idx="93">
                <c:v>715</c:v>
              </c:pt>
              <c:pt idx="94">
                <c:v>593.39</c:v>
              </c:pt>
              <c:pt idx="95">
                <c:v>659.42</c:v>
              </c:pt>
              <c:pt idx="96">
                <c:v>720.18</c:v>
              </c:pt>
              <c:pt idx="97">
                <c:v>671.4</c:v>
              </c:pt>
              <c:pt idx="98">
                <c:v>677</c:v>
              </c:pt>
              <c:pt idx="99">
                <c:v>715.24</c:v>
              </c:pt>
              <c:pt idx="100">
                <c:v>726.77</c:v>
              </c:pt>
              <c:pt idx="101">
                <c:v>784.21</c:v>
              </c:pt>
              <c:pt idx="102">
                <c:v>744.74</c:v>
              </c:pt>
              <c:pt idx="103">
                <c:v>670.42</c:v>
              </c:pt>
              <c:pt idx="104">
                <c:v>718.74</c:v>
              </c:pt>
              <c:pt idx="105">
                <c:v>686.86</c:v>
              </c:pt>
              <c:pt idx="106">
                <c:v>713.96</c:v>
              </c:pt>
              <c:pt idx="107">
                <c:v>720.78</c:v>
              </c:pt>
              <c:pt idx="108">
                <c:v>605.30999999999995</c:v>
              </c:pt>
              <c:pt idx="109">
                <c:v>663.23</c:v>
              </c:pt>
              <c:pt idx="110">
                <c:v>675.86</c:v>
              </c:pt>
              <c:pt idx="111">
                <c:v>604.005</c:v>
              </c:pt>
              <c:pt idx="112">
                <c:v>692.62</c:v>
              </c:pt>
              <c:pt idx="113">
                <c:v>685.88</c:v>
              </c:pt>
              <c:pt idx="114">
                <c:v>721.2</c:v>
              </c:pt>
              <c:pt idx="115">
                <c:v>652.59</c:v>
              </c:pt>
              <c:pt idx="116">
                <c:v>707.17</c:v>
              </c:pt>
              <c:pt idx="117">
                <c:v>731.87</c:v>
              </c:pt>
              <c:pt idx="118">
                <c:v>698.7</c:v>
              </c:pt>
              <c:pt idx="119">
                <c:v>569.53</c:v>
              </c:pt>
              <c:pt idx="120">
                <c:v>625.32000000000005</c:v>
              </c:pt>
              <c:pt idx="121">
                <c:v>615.05999999999995</c:v>
              </c:pt>
              <c:pt idx="122">
                <c:v>739.48</c:v>
              </c:pt>
              <c:pt idx="123">
                <c:v>722.38</c:v>
              </c:pt>
              <c:pt idx="124">
                <c:v>629.4</c:v>
              </c:pt>
              <c:pt idx="125">
                <c:v>804.94</c:v>
              </c:pt>
              <c:pt idx="126">
                <c:v>627.32000000000005</c:v>
              </c:pt>
              <c:pt idx="127">
                <c:v>590.41999999999996</c:v>
              </c:pt>
              <c:pt idx="128">
                <c:v>749.15</c:v>
              </c:pt>
              <c:pt idx="129">
                <c:v>675.99</c:v>
              </c:pt>
              <c:pt idx="130">
                <c:v>772.68</c:v>
              </c:pt>
              <c:pt idx="131">
                <c:v>684.69</c:v>
              </c:pt>
              <c:pt idx="132">
                <c:v>681.18</c:v>
              </c:pt>
              <c:pt idx="133">
                <c:v>631.54</c:v>
              </c:pt>
              <c:pt idx="134">
                <c:v>670.37</c:v>
              </c:pt>
              <c:pt idx="135">
                <c:v>518.19000000000005</c:v>
              </c:pt>
              <c:pt idx="136">
                <c:v>666.74</c:v>
              </c:pt>
              <c:pt idx="137">
                <c:v>683.32</c:v>
              </c:pt>
              <c:pt idx="138">
                <c:v>646.08000000000004</c:v>
              </c:pt>
              <c:pt idx="139">
                <c:v>645.1</c:v>
              </c:pt>
              <c:pt idx="140">
                <c:v>556.79</c:v>
              </c:pt>
              <c:pt idx="141">
                <c:v>637.66999999999996</c:v>
              </c:pt>
              <c:pt idx="142">
                <c:v>638.48</c:v>
              </c:pt>
              <c:pt idx="143">
                <c:v>662.96</c:v>
              </c:pt>
              <c:pt idx="144">
                <c:v>579.47499999999991</c:v>
              </c:pt>
              <c:pt idx="145">
                <c:v>650.15</c:v>
              </c:pt>
              <c:pt idx="146">
                <c:v>634.66</c:v>
              </c:pt>
              <c:pt idx="147">
                <c:v>577.54999999999995</c:v>
              </c:pt>
              <c:pt idx="148">
                <c:v>595.29</c:v>
              </c:pt>
              <c:pt idx="149">
                <c:v>530.88</c:v>
              </c:pt>
              <c:pt idx="150">
                <c:v>751.24</c:v>
              </c:pt>
              <c:pt idx="151">
                <c:v>679.01</c:v>
              </c:pt>
              <c:pt idx="152">
                <c:v>696.26</c:v>
              </c:pt>
              <c:pt idx="153">
                <c:v>615.92999999999995</c:v>
              </c:pt>
              <c:pt idx="154">
                <c:v>596.78</c:v>
              </c:pt>
              <c:pt idx="155">
                <c:v>724.93</c:v>
              </c:pt>
              <c:pt idx="156">
                <c:v>603.34</c:v>
              </c:pt>
              <c:pt idx="157">
                <c:v>688.4</c:v>
              </c:pt>
              <c:pt idx="158">
                <c:v>669.9</c:v>
              </c:pt>
              <c:pt idx="159">
                <c:v>516.86</c:v>
              </c:pt>
              <c:pt idx="160">
                <c:v>615.89</c:v>
              </c:pt>
              <c:pt idx="161">
                <c:v>682.68</c:v>
              </c:pt>
              <c:pt idx="162">
                <c:v>503.88</c:v>
              </c:pt>
              <c:pt idx="163">
                <c:v>705.41</c:v>
              </c:pt>
              <c:pt idx="164">
                <c:v>643.48</c:v>
              </c:pt>
              <c:pt idx="165">
                <c:v>743.84</c:v>
              </c:pt>
              <c:pt idx="166">
                <c:v>694.36</c:v>
              </c:pt>
              <c:pt idx="167">
                <c:v>843.34</c:v>
              </c:pt>
              <c:pt idx="168">
                <c:v>689.21</c:v>
              </c:pt>
              <c:pt idx="169">
                <c:v>756.44</c:v>
              </c:pt>
              <c:pt idx="170">
                <c:v>641.53</c:v>
              </c:pt>
              <c:pt idx="171">
                <c:v>652</c:v>
              </c:pt>
              <c:pt idx="172">
                <c:v>600.19000000000005</c:v>
              </c:pt>
              <c:pt idx="173">
                <c:v>711.88</c:v>
              </c:pt>
              <c:pt idx="174">
                <c:v>631.84</c:v>
              </c:pt>
              <c:pt idx="175">
                <c:v>698.66</c:v>
              </c:pt>
              <c:pt idx="176">
                <c:v>626.97500000000002</c:v>
              </c:pt>
              <c:pt idx="177">
                <c:v>656.14</c:v>
              </c:pt>
              <c:pt idx="178">
                <c:v>716.14</c:v>
              </c:pt>
              <c:pt idx="179">
                <c:v>607.97</c:v>
              </c:pt>
              <c:pt idx="180">
                <c:v>618.27</c:v>
              </c:pt>
              <c:pt idx="181">
                <c:v>655.16</c:v>
              </c:pt>
              <c:pt idx="182">
                <c:v>679.53</c:v>
              </c:pt>
              <c:pt idx="183">
                <c:v>560.38</c:v>
              </c:pt>
              <c:pt idx="184">
                <c:v>668.8</c:v>
              </c:pt>
              <c:pt idx="185">
                <c:v>605.85</c:v>
              </c:pt>
              <c:pt idx="186">
                <c:v>619.04999999999995</c:v>
              </c:pt>
              <c:pt idx="187">
                <c:v>712.72</c:v>
              </c:pt>
              <c:pt idx="188">
                <c:v>565.15</c:v>
              </c:pt>
              <c:pt idx="189">
                <c:v>823.78</c:v>
              </c:pt>
              <c:pt idx="190">
                <c:v>628.63</c:v>
              </c:pt>
              <c:pt idx="191">
                <c:v>769.4</c:v>
              </c:pt>
              <c:pt idx="192">
                <c:v>617.62</c:v>
              </c:pt>
              <c:pt idx="193">
                <c:v>762.78500000000008</c:v>
              </c:pt>
              <c:pt idx="194">
                <c:v>688.05</c:v>
              </c:pt>
              <c:pt idx="195">
                <c:v>604.04</c:v>
              </c:pt>
              <c:pt idx="196">
                <c:v>640.38</c:v>
              </c:pt>
              <c:pt idx="197">
                <c:v>707.76</c:v>
              </c:pt>
              <c:pt idx="198">
                <c:v>619.09</c:v>
              </c:pt>
              <c:pt idx="199">
                <c:v>684.11</c:v>
              </c:pt>
              <c:pt idx="200">
                <c:v>690.12666666666667</c:v>
              </c:pt>
              <c:pt idx="201">
                <c:v>635.32000000000005</c:v>
              </c:pt>
              <c:pt idx="202">
                <c:v>668.78</c:v>
              </c:pt>
              <c:pt idx="203">
                <c:v>675.43</c:v>
              </c:pt>
              <c:pt idx="204">
                <c:v>618.66999999999996</c:v>
              </c:pt>
              <c:pt idx="205">
                <c:v>625.64</c:v>
              </c:pt>
              <c:pt idx="206">
                <c:v>723.79</c:v>
              </c:pt>
              <c:pt idx="207">
                <c:v>543.88</c:v>
              </c:pt>
              <c:pt idx="208">
                <c:v>636.63</c:v>
              </c:pt>
              <c:pt idx="209">
                <c:v>634.67999999999995</c:v>
              </c:pt>
              <c:pt idx="210">
                <c:v>715.505</c:v>
              </c:pt>
              <c:pt idx="211">
                <c:v>736.56</c:v>
              </c:pt>
              <c:pt idx="212">
                <c:v>698.82</c:v>
              </c:pt>
              <c:pt idx="213">
                <c:v>731.07</c:v>
              </c:pt>
              <c:pt idx="214">
                <c:v>553.30999999999995</c:v>
              </c:pt>
              <c:pt idx="215">
                <c:v>483.36</c:v>
              </c:pt>
              <c:pt idx="216">
                <c:v>672.5</c:v>
              </c:pt>
              <c:pt idx="217">
                <c:v>756.46</c:v>
              </c:pt>
              <c:pt idx="218">
                <c:v>533.04</c:v>
              </c:pt>
              <c:pt idx="219">
                <c:v>731.74</c:v>
              </c:pt>
              <c:pt idx="220">
                <c:v>597.66</c:v>
              </c:pt>
              <c:pt idx="221">
                <c:v>630.82000000000005</c:v>
              </c:pt>
              <c:pt idx="222">
                <c:v>802.44</c:v>
              </c:pt>
              <c:pt idx="223">
                <c:v>642.4</c:v>
              </c:pt>
              <c:pt idx="224">
                <c:v>713.98</c:v>
              </c:pt>
              <c:pt idx="225">
                <c:v>762.70499999999993</c:v>
              </c:pt>
              <c:pt idx="226">
                <c:v>654.71</c:v>
              </c:pt>
              <c:pt idx="227">
                <c:v>656.21</c:v>
              </c:pt>
              <c:pt idx="228">
                <c:v>793.94</c:v>
              </c:pt>
              <c:pt idx="229">
                <c:v>722.78</c:v>
              </c:pt>
              <c:pt idx="230">
                <c:v>692.51</c:v>
              </c:pt>
              <c:pt idx="231">
                <c:v>570.80999999999995</c:v>
              </c:pt>
              <c:pt idx="232">
                <c:v>692.65</c:v>
              </c:pt>
              <c:pt idx="233">
                <c:v>650</c:v>
              </c:pt>
              <c:pt idx="234">
                <c:v>606.41</c:v>
              </c:pt>
              <c:pt idx="235">
                <c:v>606.9</c:v>
              </c:pt>
              <c:pt idx="236">
                <c:v>695.13</c:v>
              </c:pt>
              <c:pt idx="237">
                <c:v>749.19</c:v>
              </c:pt>
              <c:pt idx="238">
                <c:v>829.14</c:v>
              </c:pt>
              <c:pt idx="239">
                <c:v>718.36</c:v>
              </c:pt>
              <c:pt idx="240">
                <c:v>656.08</c:v>
              </c:pt>
              <c:pt idx="241">
                <c:v>663.07</c:v>
              </c:pt>
              <c:pt idx="242">
                <c:v>614.89499999999998</c:v>
              </c:pt>
              <c:pt idx="243">
                <c:v>589.41999999999996</c:v>
              </c:pt>
              <c:pt idx="244">
                <c:v>633.79999999999995</c:v>
              </c:pt>
              <c:pt idx="245">
                <c:v>655.35</c:v>
              </c:pt>
              <c:pt idx="246">
                <c:v>726.48500000000001</c:v>
              </c:pt>
              <c:pt idx="247">
                <c:v>699.53</c:v>
              </c:pt>
              <c:pt idx="248">
                <c:v>718.3</c:v>
              </c:pt>
              <c:pt idx="249">
                <c:v>755.51</c:v>
              </c:pt>
              <c:pt idx="250">
                <c:v>752.22</c:v>
              </c:pt>
              <c:pt idx="251">
                <c:v>844.9</c:v>
              </c:pt>
              <c:pt idx="252">
                <c:v>565.23</c:v>
              </c:pt>
              <c:pt idx="253">
                <c:v>549.38</c:v>
              </c:pt>
              <c:pt idx="254">
                <c:v>850</c:v>
              </c:pt>
              <c:pt idx="255">
                <c:v>625.76</c:v>
              </c:pt>
              <c:pt idx="256">
                <c:v>655.52</c:v>
              </c:pt>
              <c:pt idx="257">
                <c:v>669.75</c:v>
              </c:pt>
              <c:pt idx="258">
                <c:v>696.19</c:v>
              </c:pt>
              <c:pt idx="259">
                <c:v>715.54</c:v>
              </c:pt>
              <c:pt idx="260">
                <c:v>803.37</c:v>
              </c:pt>
              <c:pt idx="261">
                <c:v>625.83000000000004</c:v>
              </c:pt>
              <c:pt idx="262">
                <c:v>668.11</c:v>
              </c:pt>
              <c:pt idx="263">
                <c:v>680.01</c:v>
              </c:pt>
              <c:pt idx="264">
                <c:v>680.58</c:v>
              </c:pt>
              <c:pt idx="265">
                <c:v>751.4</c:v>
              </c:pt>
              <c:pt idx="266">
                <c:v>759.13</c:v>
              </c:pt>
              <c:pt idx="267">
                <c:v>632.85</c:v>
              </c:pt>
              <c:pt idx="268">
                <c:v>749.11</c:v>
              </c:pt>
              <c:pt idx="269">
                <c:v>706.36</c:v>
              </c:pt>
              <c:pt idx="270">
                <c:v>696.31</c:v>
              </c:pt>
              <c:pt idx="271">
                <c:v>732.44</c:v>
              </c:pt>
              <c:pt idx="272">
                <c:v>630.1</c:v>
              </c:pt>
              <c:pt idx="273">
                <c:v>661.21499999999992</c:v>
              </c:pt>
              <c:pt idx="274">
                <c:v>629</c:v>
              </c:pt>
              <c:pt idx="275">
                <c:v>661.36</c:v>
              </c:pt>
              <c:pt idx="276">
                <c:v>688.26</c:v>
              </c:pt>
              <c:pt idx="277">
                <c:v>677.28</c:v>
              </c:pt>
              <c:pt idx="278">
                <c:v>803.66</c:v>
              </c:pt>
              <c:pt idx="279">
                <c:v>641</c:v>
              </c:pt>
              <c:pt idx="280">
                <c:v>643.66999999999996</c:v>
              </c:pt>
              <c:pt idx="281">
                <c:v>742.16</c:v>
              </c:pt>
              <c:pt idx="282">
                <c:v>645.82000000000005</c:v>
              </c:pt>
              <c:pt idx="283">
                <c:v>641.41999999999996</c:v>
              </c:pt>
              <c:pt idx="284">
                <c:v>719.95499999999993</c:v>
              </c:pt>
              <c:pt idx="285">
                <c:v>617.58000000000004</c:v>
              </c:pt>
              <c:pt idx="286">
                <c:v>654.05999999999995</c:v>
              </c:pt>
              <c:pt idx="287">
                <c:v>615.03</c:v>
              </c:pt>
              <c:pt idx="288">
                <c:v>767.18</c:v>
              </c:pt>
              <c:pt idx="289">
                <c:v>690.4849999999999</c:v>
              </c:pt>
              <c:pt idx="290">
                <c:v>749.32</c:v>
              </c:pt>
              <c:pt idx="291">
                <c:v>690.66</c:v>
              </c:pt>
              <c:pt idx="292">
                <c:v>715.28</c:v>
              </c:pt>
              <c:pt idx="293">
                <c:v>594.37</c:v>
              </c:pt>
              <c:pt idx="294">
                <c:v>744.51</c:v>
              </c:pt>
              <c:pt idx="295">
                <c:v>629.16999999999996</c:v>
              </c:pt>
              <c:pt idx="296">
                <c:v>633.17999999999995</c:v>
              </c:pt>
              <c:pt idx="297">
                <c:v>829.38</c:v>
              </c:pt>
              <c:pt idx="298">
                <c:v>570.57000000000005</c:v>
              </c:pt>
              <c:pt idx="299">
                <c:v>639.26</c:v>
              </c:pt>
              <c:pt idx="300">
                <c:v>690.35</c:v>
              </c:pt>
              <c:pt idx="301">
                <c:v>666.33</c:v>
              </c:pt>
              <c:pt idx="302">
                <c:v>708.37</c:v>
              </c:pt>
              <c:pt idx="303">
                <c:v>676.11</c:v>
              </c:pt>
              <c:pt idx="304">
                <c:v>731.65</c:v>
              </c:pt>
              <c:pt idx="305">
                <c:v>617.46</c:v>
              </c:pt>
              <c:pt idx="306">
                <c:v>586.35</c:v>
              </c:pt>
              <c:pt idx="307">
                <c:v>622.76</c:v>
              </c:pt>
              <c:pt idx="308">
                <c:v>799.11</c:v>
              </c:pt>
              <c:pt idx="309">
                <c:v>781.37</c:v>
              </c:pt>
              <c:pt idx="310">
                <c:v>680.67</c:v>
              </c:pt>
              <c:pt idx="311">
                <c:v>616.94000000000005</c:v>
              </c:pt>
              <c:pt idx="312">
                <c:v>728.45</c:v>
              </c:pt>
              <c:pt idx="313">
                <c:v>699.85</c:v>
              </c:pt>
              <c:pt idx="314">
                <c:v>586.82000000000005</c:v>
              </c:pt>
              <c:pt idx="315">
                <c:v>669.27499999999998</c:v>
              </c:pt>
              <c:pt idx="316">
                <c:v>728.59</c:v>
              </c:pt>
              <c:pt idx="317">
                <c:v>814.04</c:v>
              </c:pt>
              <c:pt idx="318">
                <c:v>697.17</c:v>
              </c:pt>
              <c:pt idx="319">
                <c:v>512.59</c:v>
              </c:pt>
              <c:pt idx="320">
                <c:v>583.55999999999995</c:v>
              </c:pt>
              <c:pt idx="321">
                <c:v>571.58999999999992</c:v>
              </c:pt>
              <c:pt idx="322">
                <c:v>850</c:v>
              </c:pt>
              <c:pt idx="323">
                <c:v>808.36</c:v>
              </c:pt>
              <c:pt idx="324">
                <c:v>639.75</c:v>
              </c:pt>
              <c:pt idx="325">
                <c:v>753.24</c:v>
              </c:pt>
              <c:pt idx="326">
                <c:v>573.08000000000004</c:v>
              </c:pt>
              <c:pt idx="327">
                <c:v>591.03</c:v>
              </c:pt>
              <c:pt idx="328">
                <c:v>719.84</c:v>
              </c:pt>
              <c:pt idx="329">
                <c:v>716.27</c:v>
              </c:pt>
              <c:pt idx="330">
                <c:v>680.81</c:v>
              </c:pt>
              <c:pt idx="331">
                <c:v>622.65</c:v>
              </c:pt>
              <c:pt idx="332">
                <c:v>748.05</c:v>
              </c:pt>
              <c:pt idx="333">
                <c:v>633.77</c:v>
              </c:pt>
              <c:pt idx="334">
                <c:v>697.3</c:v>
              </c:pt>
              <c:pt idx="335">
                <c:v>737.22</c:v>
              </c:pt>
              <c:pt idx="336">
                <c:v>726.12</c:v>
              </c:pt>
              <c:pt idx="337">
                <c:v>704.18</c:v>
              </c:pt>
              <c:pt idx="338">
                <c:v>660.7</c:v>
              </c:pt>
              <c:pt idx="339">
                <c:v>647.19000000000005</c:v>
              </c:pt>
              <c:pt idx="340">
                <c:v>669.62</c:v>
              </c:pt>
              <c:pt idx="341">
                <c:v>692</c:v>
              </c:pt>
              <c:pt idx="342">
                <c:v>715.44</c:v>
              </c:pt>
              <c:pt idx="343">
                <c:v>616.54999999999995</c:v>
              </c:pt>
              <c:pt idx="344">
                <c:v>709.48</c:v>
              </c:pt>
              <c:pt idx="345">
                <c:v>622.65000000000009</c:v>
              </c:pt>
              <c:pt idx="346">
                <c:v>661.51</c:v>
              </c:pt>
              <c:pt idx="347">
                <c:v>747.88</c:v>
              </c:pt>
              <c:pt idx="348">
                <c:v>684.81999999999994</c:v>
              </c:pt>
              <c:pt idx="349">
                <c:v>649.30999999999995</c:v>
              </c:pt>
              <c:pt idx="350">
                <c:v>647.36</c:v>
              </c:pt>
              <c:pt idx="351">
                <c:v>593</c:v>
              </c:pt>
              <c:pt idx="352">
                <c:v>634.74</c:v>
              </c:pt>
              <c:pt idx="353">
                <c:v>675.38</c:v>
              </c:pt>
              <c:pt idx="354">
                <c:v>726.41</c:v>
              </c:pt>
              <c:pt idx="355">
                <c:v>618.74</c:v>
              </c:pt>
              <c:pt idx="356">
                <c:v>650.33000000000004</c:v>
              </c:pt>
              <c:pt idx="357">
                <c:v>655.34</c:v>
              </c:pt>
              <c:pt idx="358">
                <c:v>656.73</c:v>
              </c:pt>
              <c:pt idx="359">
                <c:v>693.24</c:v>
              </c:pt>
              <c:pt idx="360">
                <c:v>568.02</c:v>
              </c:pt>
              <c:pt idx="361">
                <c:v>723.74</c:v>
              </c:pt>
              <c:pt idx="362">
                <c:v>700.61</c:v>
              </c:pt>
              <c:pt idx="363">
                <c:v>703.04</c:v>
              </c:pt>
              <c:pt idx="364">
                <c:v>690.87</c:v>
              </c:pt>
              <c:pt idx="365">
                <c:v>695.23</c:v>
              </c:pt>
              <c:pt idx="366">
                <c:v>734.81</c:v>
              </c:pt>
              <c:pt idx="367">
                <c:v>713.09</c:v>
              </c:pt>
              <c:pt idx="368">
                <c:v>683.82</c:v>
              </c:pt>
              <c:pt idx="369">
                <c:v>586.41999999999996</c:v>
              </c:pt>
              <c:pt idx="370">
                <c:v>605.47</c:v>
              </c:pt>
              <c:pt idx="371">
                <c:v>662.79</c:v>
              </c:pt>
              <c:pt idx="372">
                <c:v>717.29</c:v>
              </c:pt>
              <c:pt idx="373">
                <c:v>663.34</c:v>
              </c:pt>
              <c:pt idx="374">
                <c:v>530.32000000000005</c:v>
              </c:pt>
              <c:pt idx="375">
                <c:v>751.74</c:v>
              </c:pt>
              <c:pt idx="376">
                <c:v>770.76</c:v>
              </c:pt>
              <c:pt idx="377">
                <c:v>544.05999999999995</c:v>
              </c:pt>
              <c:pt idx="378">
                <c:v>563.5866666666667</c:v>
              </c:pt>
              <c:pt idx="379">
                <c:v>768.59</c:v>
              </c:pt>
              <c:pt idx="380">
                <c:v>595.01</c:v>
              </c:pt>
              <c:pt idx="381">
                <c:v>784.71</c:v>
              </c:pt>
              <c:pt idx="382">
                <c:v>692.1</c:v>
              </c:pt>
              <c:pt idx="383">
                <c:v>783.95</c:v>
              </c:pt>
              <c:pt idx="384">
                <c:v>598.66999999999996</c:v>
              </c:pt>
              <c:pt idx="385">
                <c:v>790.13</c:v>
              </c:pt>
              <c:pt idx="386">
                <c:v>613.47</c:v>
              </c:pt>
              <c:pt idx="387">
                <c:v>726.02</c:v>
              </c:pt>
              <c:pt idx="388">
                <c:v>651.91999999999996</c:v>
              </c:pt>
              <c:pt idx="389">
                <c:v>652.5150000000001</c:v>
              </c:pt>
              <c:pt idx="390">
                <c:v>634.66999999999996</c:v>
              </c:pt>
              <c:pt idx="391">
                <c:v>759.07</c:v>
              </c:pt>
              <c:pt idx="392">
                <c:v>701.32500000000005</c:v>
              </c:pt>
              <c:pt idx="393">
                <c:v>747.91</c:v>
              </c:pt>
              <c:pt idx="394">
                <c:v>641.34</c:v>
              </c:pt>
              <c:pt idx="395">
                <c:v>636.04999999999995</c:v>
              </c:pt>
              <c:pt idx="396">
                <c:v>639.80500000000006</c:v>
              </c:pt>
              <c:pt idx="397">
                <c:v>724.67499999999995</c:v>
              </c:pt>
              <c:pt idx="398">
                <c:v>794.42</c:v>
              </c:pt>
              <c:pt idx="399">
                <c:v>721.45</c:v>
              </c:pt>
              <c:pt idx="400">
                <c:v>675.96</c:v>
              </c:pt>
              <c:pt idx="401">
                <c:v>768.33</c:v>
              </c:pt>
              <c:pt idx="402">
                <c:v>628.54999999999995</c:v>
              </c:pt>
              <c:pt idx="403">
                <c:v>667.99</c:v>
              </c:pt>
              <c:pt idx="404">
                <c:v>782.17</c:v>
              </c:pt>
              <c:pt idx="405">
                <c:v>627.03</c:v>
              </c:pt>
              <c:pt idx="406">
                <c:v>757.91499999999996</c:v>
              </c:pt>
              <c:pt idx="407">
                <c:v>622.12</c:v>
              </c:pt>
              <c:pt idx="408">
                <c:v>645.48</c:v>
              </c:pt>
              <c:pt idx="409">
                <c:v>681.91</c:v>
              </c:pt>
              <c:pt idx="410">
                <c:v>738.56</c:v>
              </c:pt>
              <c:pt idx="411">
                <c:v>599.71500000000003</c:v>
              </c:pt>
              <c:pt idx="412">
                <c:v>743.74</c:v>
              </c:pt>
              <c:pt idx="413">
                <c:v>629.44000000000005</c:v>
              </c:pt>
              <c:pt idx="414">
                <c:v>698.98</c:v>
              </c:pt>
              <c:pt idx="415">
                <c:v>650.79</c:v>
              </c:pt>
              <c:pt idx="416">
                <c:v>527.48</c:v>
              </c:pt>
              <c:pt idx="417">
                <c:v>676.33</c:v>
              </c:pt>
              <c:pt idx="418">
                <c:v>670.51</c:v>
              </c:pt>
              <c:pt idx="419">
                <c:v>700.3</c:v>
              </c:pt>
              <c:pt idx="420">
                <c:v>681.41</c:v>
              </c:pt>
              <c:pt idx="421">
                <c:v>760.12</c:v>
              </c:pt>
              <c:pt idx="422">
                <c:v>667.87</c:v>
              </c:pt>
              <c:pt idx="423">
                <c:v>736.66</c:v>
              </c:pt>
              <c:pt idx="424">
                <c:v>657.64</c:v>
              </c:pt>
              <c:pt idx="425">
                <c:v>718.48500000000001</c:v>
              </c:pt>
              <c:pt idx="426">
                <c:v>567.08000000000004</c:v>
              </c:pt>
              <c:pt idx="427">
                <c:v>698.66</c:v>
              </c:pt>
              <c:pt idx="428">
                <c:v>666.16</c:v>
              </c:pt>
              <c:pt idx="429">
                <c:v>629.29999999999995</c:v>
              </c:pt>
              <c:pt idx="430">
                <c:v>737.33</c:v>
              </c:pt>
              <c:pt idx="431">
                <c:v>664.42</c:v>
              </c:pt>
              <c:pt idx="432">
                <c:v>719.71</c:v>
              </c:pt>
              <c:pt idx="433">
                <c:v>741.11</c:v>
              </c:pt>
              <c:pt idx="434">
                <c:v>642.9</c:v>
              </c:pt>
              <c:pt idx="435">
                <c:v>756.29</c:v>
              </c:pt>
              <c:pt idx="436">
                <c:v>734.31</c:v>
              </c:pt>
              <c:pt idx="437">
                <c:v>824.57</c:v>
              </c:pt>
              <c:pt idx="438">
                <c:v>709.31</c:v>
              </c:pt>
              <c:pt idx="439">
                <c:v>680.21</c:v>
              </c:pt>
              <c:pt idx="440">
                <c:v>625</c:v>
              </c:pt>
              <c:pt idx="441">
                <c:v>619.34</c:v>
              </c:pt>
              <c:pt idx="442">
                <c:v>687.69</c:v>
              </c:pt>
              <c:pt idx="443">
                <c:v>675.31</c:v>
              </c:pt>
              <c:pt idx="444">
                <c:v>692.82500000000005</c:v>
              </c:pt>
              <c:pt idx="445">
                <c:v>701.8</c:v>
              </c:pt>
              <c:pt idx="446">
                <c:v>772.48</c:v>
              </c:pt>
              <c:pt idx="447">
                <c:v>654.44000000000005</c:v>
              </c:pt>
              <c:pt idx="448">
                <c:v>728.33</c:v>
              </c:pt>
              <c:pt idx="449">
                <c:v>644.66999999999996</c:v>
              </c:pt>
              <c:pt idx="450">
                <c:v>617.995</c:v>
              </c:pt>
              <c:pt idx="451">
                <c:v>741.14</c:v>
              </c:pt>
              <c:pt idx="452">
                <c:v>627.85</c:v>
              </c:pt>
              <c:pt idx="453">
                <c:v>734.89</c:v>
              </c:pt>
              <c:pt idx="454">
                <c:v>704.56500000000005</c:v>
              </c:pt>
              <c:pt idx="455">
                <c:v>698.55</c:v>
              </c:pt>
              <c:pt idx="456">
                <c:v>722.32999999999993</c:v>
              </c:pt>
              <c:pt idx="457">
                <c:v>697.05</c:v>
              </c:pt>
              <c:pt idx="458">
                <c:v>741.45</c:v>
              </c:pt>
              <c:pt idx="459">
                <c:v>770.24</c:v>
              </c:pt>
              <c:pt idx="460">
                <c:v>548.62</c:v>
              </c:pt>
              <c:pt idx="461">
                <c:v>646.5</c:v>
              </c:pt>
              <c:pt idx="462">
                <c:v>657.97</c:v>
              </c:pt>
              <c:pt idx="463">
                <c:v>755.62</c:v>
              </c:pt>
              <c:pt idx="464">
                <c:v>776.97</c:v>
              </c:pt>
              <c:pt idx="465">
                <c:v>669.28</c:v>
              </c:pt>
              <c:pt idx="466">
                <c:v>752.11</c:v>
              </c:pt>
              <c:pt idx="467">
                <c:v>653.37</c:v>
              </c:pt>
              <c:pt idx="468">
                <c:v>680.81</c:v>
              </c:pt>
              <c:pt idx="469">
                <c:v>707.54</c:v>
              </c:pt>
              <c:pt idx="470">
                <c:v>738.15</c:v>
              </c:pt>
              <c:pt idx="471">
                <c:v>752.83</c:v>
              </c:pt>
              <c:pt idx="472">
                <c:v>722.24</c:v>
              </c:pt>
              <c:pt idx="473">
                <c:v>685.8</c:v>
              </c:pt>
              <c:pt idx="474">
                <c:v>716.62</c:v>
              </c:pt>
              <c:pt idx="475">
                <c:v>673.39</c:v>
              </c:pt>
              <c:pt idx="476">
                <c:v>665.63</c:v>
              </c:pt>
              <c:pt idx="477">
                <c:v>708.13</c:v>
              </c:pt>
              <c:pt idx="478">
                <c:v>742.66</c:v>
              </c:pt>
              <c:pt idx="479">
                <c:v>618.6</c:v>
              </c:pt>
              <c:pt idx="480">
                <c:v>684.56</c:v>
              </c:pt>
              <c:pt idx="481">
                <c:v>514.76</c:v>
              </c:pt>
              <c:pt idx="482">
                <c:v>605.1</c:v>
              </c:pt>
              <c:pt idx="483">
                <c:v>688.09</c:v>
              </c:pt>
              <c:pt idx="484">
                <c:v>672.13</c:v>
              </c:pt>
              <c:pt idx="485">
                <c:v>727.28</c:v>
              </c:pt>
              <c:pt idx="486">
                <c:v>662.15</c:v>
              </c:pt>
              <c:pt idx="487">
                <c:v>737.24</c:v>
              </c:pt>
              <c:pt idx="488">
                <c:v>632.57000000000005</c:v>
              </c:pt>
              <c:pt idx="489">
                <c:v>715.99</c:v>
              </c:pt>
              <c:pt idx="490">
                <c:v>680.07</c:v>
              </c:pt>
              <c:pt idx="491">
                <c:v>710.53</c:v>
              </c:pt>
              <c:pt idx="492">
                <c:v>670.8</c:v>
              </c:pt>
              <c:pt idx="493">
                <c:v>814.42</c:v>
              </c:pt>
              <c:pt idx="494">
                <c:v>660.66</c:v>
              </c:pt>
              <c:pt idx="495">
                <c:v>687.7</c:v>
              </c:pt>
              <c:pt idx="496">
                <c:v>604.05999999999995</c:v>
              </c:pt>
              <c:pt idx="497">
                <c:v>657.6</c:v>
              </c:pt>
              <c:pt idx="498">
                <c:v>644.34</c:v>
              </c:pt>
              <c:pt idx="499">
                <c:v>626.98</c:v>
              </c:pt>
              <c:pt idx="500">
                <c:v>752.58</c:v>
              </c:pt>
              <c:pt idx="501">
                <c:v>671.28</c:v>
              </c:pt>
              <c:pt idx="502">
                <c:v>769.61</c:v>
              </c:pt>
              <c:pt idx="503">
                <c:v>615.57000000000005</c:v>
              </c:pt>
              <c:pt idx="504">
                <c:v>646.71</c:v>
              </c:pt>
              <c:pt idx="505">
                <c:v>615.66</c:v>
              </c:pt>
              <c:pt idx="506">
                <c:v>780.86</c:v>
              </c:pt>
              <c:pt idx="507">
                <c:v>769.29</c:v>
              </c:pt>
              <c:pt idx="508">
                <c:v>690.91</c:v>
              </c:pt>
              <c:pt idx="509">
                <c:v>707.31666666666661</c:v>
              </c:pt>
              <c:pt idx="510">
                <c:v>626.98</c:v>
              </c:pt>
              <c:pt idx="511">
                <c:v>676.61</c:v>
              </c:pt>
              <c:pt idx="512">
                <c:v>712.64</c:v>
              </c:pt>
              <c:pt idx="513">
                <c:v>649.88499999999999</c:v>
              </c:pt>
              <c:pt idx="514">
                <c:v>626.75</c:v>
              </c:pt>
              <c:pt idx="515">
                <c:v>632.32000000000005</c:v>
              </c:pt>
              <c:pt idx="516">
                <c:v>694.69</c:v>
              </c:pt>
              <c:pt idx="517">
                <c:v>688.63</c:v>
              </c:pt>
              <c:pt idx="518">
                <c:v>678.68</c:v>
              </c:pt>
              <c:pt idx="519">
                <c:v>778.43</c:v>
              </c:pt>
              <c:pt idx="520">
                <c:v>650.13</c:v>
              </c:pt>
              <c:pt idx="521">
                <c:v>760.53</c:v>
              </c:pt>
              <c:pt idx="522">
                <c:v>772.03</c:v>
              </c:pt>
              <c:pt idx="523">
                <c:v>632.86</c:v>
              </c:pt>
              <c:pt idx="524">
                <c:v>745.88</c:v>
              </c:pt>
              <c:pt idx="525">
                <c:v>648.79</c:v>
              </c:pt>
              <c:pt idx="526">
                <c:v>717.91</c:v>
              </c:pt>
              <c:pt idx="527">
                <c:v>724.71</c:v>
              </c:pt>
              <c:pt idx="528">
                <c:v>746.41</c:v>
              </c:pt>
              <c:pt idx="529">
                <c:v>657.66</c:v>
              </c:pt>
              <c:pt idx="530">
                <c:v>573.70000000000005</c:v>
              </c:pt>
              <c:pt idx="531">
                <c:v>632.75</c:v>
              </c:pt>
              <c:pt idx="532">
                <c:v>829.81</c:v>
              </c:pt>
              <c:pt idx="533">
                <c:v>664.16</c:v>
              </c:pt>
              <c:pt idx="534">
                <c:v>684.15</c:v>
              </c:pt>
              <c:pt idx="535">
                <c:v>612.96</c:v>
              </c:pt>
              <c:pt idx="536">
                <c:v>697.13</c:v>
              </c:pt>
              <c:pt idx="537">
                <c:v>648.39</c:v>
              </c:pt>
              <c:pt idx="538">
                <c:v>666.77</c:v>
              </c:pt>
              <c:pt idx="539">
                <c:v>794.63</c:v>
              </c:pt>
              <c:pt idx="540">
                <c:v>759.14499999999998</c:v>
              </c:pt>
              <c:pt idx="541">
                <c:v>670.09</c:v>
              </c:pt>
              <c:pt idx="542">
                <c:v>657.83</c:v>
              </c:pt>
              <c:pt idx="543">
                <c:v>591.72</c:v>
              </c:pt>
              <c:pt idx="544">
                <c:v>656</c:v>
              </c:pt>
              <c:pt idx="545">
                <c:v>741.05500000000006</c:v>
              </c:pt>
              <c:pt idx="546">
                <c:v>741.19</c:v>
              </c:pt>
              <c:pt idx="547">
                <c:v>729.57</c:v>
              </c:pt>
              <c:pt idx="548">
                <c:v>783.48</c:v>
              </c:pt>
              <c:pt idx="549">
                <c:v>761.87</c:v>
              </c:pt>
              <c:pt idx="550">
                <c:v>738.02333333333343</c:v>
              </c:pt>
              <c:pt idx="551">
                <c:v>676.78</c:v>
              </c:pt>
              <c:pt idx="552">
                <c:v>655.01</c:v>
              </c:pt>
              <c:pt idx="553">
                <c:v>588.49</c:v>
              </c:pt>
              <c:pt idx="554">
                <c:v>782.43</c:v>
              </c:pt>
              <c:pt idx="555">
                <c:v>706.41</c:v>
              </c:pt>
              <c:pt idx="556">
                <c:v>731.03</c:v>
              </c:pt>
              <c:pt idx="557">
                <c:v>654.64</c:v>
              </c:pt>
              <c:pt idx="558">
                <c:v>701.98</c:v>
              </c:pt>
              <c:pt idx="559">
                <c:v>657.95</c:v>
              </c:pt>
              <c:pt idx="560">
                <c:v>588.07000000000005</c:v>
              </c:pt>
              <c:pt idx="561">
                <c:v>731.78</c:v>
              </c:pt>
              <c:pt idx="562">
                <c:v>733.98500000000001</c:v>
              </c:pt>
              <c:pt idx="563">
                <c:v>693.91</c:v>
              </c:pt>
              <c:pt idx="564">
                <c:v>650.64</c:v>
              </c:pt>
              <c:pt idx="565">
                <c:v>652.02</c:v>
              </c:pt>
              <c:pt idx="566">
                <c:v>742.98</c:v>
              </c:pt>
              <c:pt idx="567">
                <c:v>642.69000000000005</c:v>
              </c:pt>
              <c:pt idx="568">
                <c:v>725.95</c:v>
              </c:pt>
              <c:pt idx="569">
                <c:v>722.3</c:v>
              </c:pt>
              <c:pt idx="570">
                <c:v>674.98</c:v>
              </c:pt>
              <c:pt idx="571">
                <c:v>700.23</c:v>
              </c:pt>
              <c:pt idx="572">
                <c:v>720.95</c:v>
              </c:pt>
              <c:pt idx="573">
                <c:v>721.37</c:v>
              </c:pt>
              <c:pt idx="574">
                <c:v>655.86500000000001</c:v>
              </c:pt>
              <c:pt idx="575">
                <c:v>680.3</c:v>
              </c:pt>
              <c:pt idx="576">
                <c:v>590.12</c:v>
              </c:pt>
              <c:pt idx="577">
                <c:v>793.94</c:v>
              </c:pt>
              <c:pt idx="578">
                <c:v>716.29</c:v>
              </c:pt>
              <c:pt idx="579">
                <c:v>612</c:v>
              </c:pt>
              <c:pt idx="580">
                <c:v>739.32</c:v>
              </c:pt>
              <c:pt idx="581">
                <c:v>709.04</c:v>
              </c:pt>
              <c:pt idx="582">
                <c:v>699.96333333333325</c:v>
              </c:pt>
              <c:pt idx="583">
                <c:v>693.53</c:v>
              </c:pt>
              <c:pt idx="584">
                <c:v>677.06</c:v>
              </c:pt>
              <c:pt idx="585">
                <c:v>576.32000000000005</c:v>
              </c:pt>
              <c:pt idx="586">
                <c:v>685.36</c:v>
              </c:pt>
              <c:pt idx="587">
                <c:v>570.13</c:v>
              </c:pt>
              <c:pt idx="588">
                <c:v>739.71500000000003</c:v>
              </c:pt>
              <c:pt idx="589">
                <c:v>607.57000000000005</c:v>
              </c:pt>
              <c:pt idx="590">
                <c:v>789.05</c:v>
              </c:pt>
              <c:pt idx="591">
                <c:v>746.82</c:v>
              </c:pt>
              <c:pt idx="592">
                <c:v>718.16</c:v>
              </c:pt>
              <c:pt idx="593">
                <c:v>685.95</c:v>
              </c:pt>
              <c:pt idx="594">
                <c:v>678.54</c:v>
              </c:pt>
              <c:pt idx="595">
                <c:v>729.19333333333327</c:v>
              </c:pt>
              <c:pt idx="596">
                <c:v>600.84</c:v>
              </c:pt>
              <c:pt idx="597">
                <c:v>683.23</c:v>
              </c:pt>
              <c:pt idx="598">
                <c:v>710.97</c:v>
              </c:pt>
              <c:pt idx="599">
                <c:v>718.47</c:v>
              </c:pt>
              <c:pt idx="600">
                <c:v>597.09</c:v>
              </c:pt>
              <c:pt idx="601">
                <c:v>553.80999999999995</c:v>
              </c:pt>
              <c:pt idx="602">
                <c:v>565.14</c:v>
              </c:pt>
              <c:pt idx="603">
                <c:v>587.39</c:v>
              </c:pt>
              <c:pt idx="604">
                <c:v>678.21</c:v>
              </c:pt>
              <c:pt idx="605">
                <c:v>648.77</c:v>
              </c:pt>
              <c:pt idx="606">
                <c:v>718.32500000000005</c:v>
              </c:pt>
              <c:pt idx="607">
                <c:v>700.02</c:v>
              </c:pt>
              <c:pt idx="608">
                <c:v>733.99</c:v>
              </c:pt>
              <c:pt idx="609">
                <c:v>759.8</c:v>
              </c:pt>
              <c:pt idx="610">
                <c:v>639.58000000000004</c:v>
              </c:pt>
              <c:pt idx="611">
                <c:v>683.88499999999999</c:v>
              </c:pt>
              <c:pt idx="612">
                <c:v>781.61</c:v>
              </c:pt>
              <c:pt idx="613">
                <c:v>658.06</c:v>
              </c:pt>
              <c:pt idx="614">
                <c:v>748.73</c:v>
              </c:pt>
              <c:pt idx="615">
                <c:v>701.39</c:v>
              </c:pt>
              <c:pt idx="616">
                <c:v>684.9</c:v>
              </c:pt>
              <c:pt idx="617">
                <c:v>697.59500000000003</c:v>
              </c:pt>
              <c:pt idx="618">
                <c:v>722.35</c:v>
              </c:pt>
              <c:pt idx="619">
                <c:v>679</c:v>
              </c:pt>
              <c:pt idx="620">
                <c:v>658.23</c:v>
              </c:pt>
              <c:pt idx="621">
                <c:v>563.72</c:v>
              </c:pt>
              <c:pt idx="622">
                <c:v>715.745</c:v>
              </c:pt>
              <c:pt idx="623">
                <c:v>694.42</c:v>
              </c:pt>
              <c:pt idx="624">
                <c:v>784.64</c:v>
              </c:pt>
              <c:pt idx="625">
                <c:v>695.57</c:v>
              </c:pt>
              <c:pt idx="626">
                <c:v>739.56</c:v>
              </c:pt>
              <c:pt idx="627">
                <c:v>655.21</c:v>
              </c:pt>
              <c:pt idx="628">
                <c:v>661</c:v>
              </c:pt>
              <c:pt idx="629">
                <c:v>683.87</c:v>
              </c:pt>
              <c:pt idx="630">
                <c:v>617.69000000000005</c:v>
              </c:pt>
              <c:pt idx="631">
                <c:v>688.64</c:v>
              </c:pt>
              <c:pt idx="632">
                <c:v>683.97</c:v>
              </c:pt>
              <c:pt idx="633">
                <c:v>752.43</c:v>
              </c:pt>
              <c:pt idx="634">
                <c:v>638.82999999999993</c:v>
              </c:pt>
              <c:pt idx="635">
                <c:v>838.51</c:v>
              </c:pt>
              <c:pt idx="636">
                <c:v>670.42</c:v>
              </c:pt>
              <c:pt idx="637">
                <c:v>526.05999999999995</c:v>
              </c:pt>
              <c:pt idx="638">
                <c:v>589.82000000000005</c:v>
              </c:pt>
              <c:pt idx="639">
                <c:v>695.06</c:v>
              </c:pt>
              <c:pt idx="640">
                <c:v>709.55</c:v>
              </c:pt>
              <c:pt idx="641">
                <c:v>728.1</c:v>
              </c:pt>
              <c:pt idx="642">
                <c:v>635.82000000000005</c:v>
              </c:pt>
              <c:pt idx="643">
                <c:v>663.35</c:v>
              </c:pt>
              <c:pt idx="644">
                <c:v>791.27</c:v>
              </c:pt>
              <c:pt idx="645">
                <c:v>658.13499999999999</c:v>
              </c:pt>
              <c:pt idx="646">
                <c:v>771.07</c:v>
              </c:pt>
              <c:pt idx="647">
                <c:v>691.15</c:v>
              </c:pt>
              <c:pt idx="648">
                <c:v>696.07500000000005</c:v>
              </c:pt>
              <c:pt idx="649">
                <c:v>604.79</c:v>
              </c:pt>
              <c:pt idx="650">
                <c:v>818.3</c:v>
              </c:pt>
              <c:pt idx="651">
                <c:v>686.95</c:v>
              </c:pt>
              <c:pt idx="652">
                <c:v>666.04</c:v>
              </c:pt>
              <c:pt idx="653">
                <c:v>690.33</c:v>
              </c:pt>
              <c:pt idx="654">
                <c:v>660.97</c:v>
              </c:pt>
              <c:pt idx="655">
                <c:v>630.28</c:v>
              </c:pt>
              <c:pt idx="656">
                <c:v>596.47</c:v>
              </c:pt>
              <c:pt idx="657">
                <c:v>843.63</c:v>
              </c:pt>
              <c:pt idx="658">
                <c:v>827.63</c:v>
              </c:pt>
              <c:pt idx="659">
                <c:v>770.36</c:v>
              </c:pt>
              <c:pt idx="660">
                <c:v>729.98</c:v>
              </c:pt>
              <c:pt idx="661">
                <c:v>690.42</c:v>
              </c:pt>
              <c:pt idx="662">
                <c:v>670.58333333333337</c:v>
              </c:pt>
              <c:pt idx="663">
                <c:v>759.98</c:v>
              </c:pt>
              <c:pt idx="664">
                <c:v>705.57</c:v>
              </c:pt>
              <c:pt idx="665">
                <c:v>728.68</c:v>
              </c:pt>
              <c:pt idx="666">
                <c:v>698.23</c:v>
              </c:pt>
              <c:pt idx="667">
                <c:v>631.6</c:v>
              </c:pt>
              <c:pt idx="668">
                <c:v>738.62</c:v>
              </c:pt>
              <c:pt idx="669">
                <c:v>736.94</c:v>
              </c:pt>
              <c:pt idx="670">
                <c:v>702.95</c:v>
              </c:pt>
              <c:pt idx="671">
                <c:v>746.94</c:v>
              </c:pt>
              <c:pt idx="672">
                <c:v>684.58</c:v>
              </c:pt>
              <c:pt idx="673">
                <c:v>715.43</c:v>
              </c:pt>
              <c:pt idx="674">
                <c:v>727.74</c:v>
              </c:pt>
              <c:pt idx="675">
                <c:v>711.75</c:v>
              </c:pt>
              <c:pt idx="676">
                <c:v>700.25</c:v>
              </c:pt>
              <c:pt idx="677">
                <c:v>680.3</c:v>
              </c:pt>
              <c:pt idx="678">
                <c:v>752.55</c:v>
              </c:pt>
              <c:pt idx="679">
                <c:v>676.06999999999994</c:v>
              </c:pt>
              <c:pt idx="680">
                <c:v>701.02</c:v>
              </c:pt>
              <c:pt idx="681">
                <c:v>672.17</c:v>
              </c:pt>
              <c:pt idx="682">
                <c:v>674.66</c:v>
              </c:pt>
              <c:pt idx="683">
                <c:v>661.63</c:v>
              </c:pt>
              <c:pt idx="684">
                <c:v>645.86</c:v>
              </c:pt>
              <c:pt idx="685">
                <c:v>728.48</c:v>
              </c:pt>
              <c:pt idx="686">
                <c:v>720.83999999999992</c:v>
              </c:pt>
              <c:pt idx="687">
                <c:v>722.03</c:v>
              </c:pt>
              <c:pt idx="688">
                <c:v>658.59999999999991</c:v>
              </c:pt>
              <c:pt idx="689">
                <c:v>727.22</c:v>
              </c:pt>
              <c:pt idx="690">
                <c:v>709.66499999999996</c:v>
              </c:pt>
              <c:pt idx="691">
                <c:v>690.73</c:v>
              </c:pt>
              <c:pt idx="692">
                <c:v>737.21</c:v>
              </c:pt>
              <c:pt idx="693">
                <c:v>606.79999999999995</c:v>
              </c:pt>
              <c:pt idx="694">
                <c:v>697.43</c:v>
              </c:pt>
              <c:pt idx="695">
                <c:v>688.19</c:v>
              </c:pt>
              <c:pt idx="696">
                <c:v>664.5</c:v>
              </c:pt>
              <c:pt idx="697">
                <c:v>740.43</c:v>
              </c:pt>
              <c:pt idx="698">
                <c:v>670.63666666666666</c:v>
              </c:pt>
              <c:pt idx="699">
                <c:v>648.47</c:v>
              </c:pt>
              <c:pt idx="700">
                <c:v>679.45</c:v>
              </c:pt>
              <c:pt idx="701">
                <c:v>727.06</c:v>
              </c:pt>
              <c:pt idx="702">
                <c:v>690.24</c:v>
              </c:pt>
              <c:pt idx="703">
                <c:v>716.64</c:v>
              </c:pt>
              <c:pt idx="704">
                <c:v>676.65</c:v>
              </c:pt>
              <c:pt idx="705">
                <c:v>748.74</c:v>
              </c:pt>
              <c:pt idx="706">
                <c:v>702.81</c:v>
              </c:pt>
              <c:pt idx="707">
                <c:v>754.55</c:v>
              </c:pt>
              <c:pt idx="708">
                <c:v>614.24</c:v>
              </c:pt>
              <c:pt idx="709">
                <c:v>615.04999999999995</c:v>
              </c:pt>
              <c:pt idx="710">
                <c:v>638.46</c:v>
              </c:pt>
              <c:pt idx="711">
                <c:v>721.16</c:v>
              </c:pt>
              <c:pt idx="712">
                <c:v>634.82000000000005</c:v>
              </c:pt>
              <c:pt idx="713">
                <c:v>613.01</c:v>
              </c:pt>
              <c:pt idx="714">
                <c:v>713.745</c:v>
              </c:pt>
              <c:pt idx="715">
                <c:v>724.98</c:v>
              </c:pt>
              <c:pt idx="716">
                <c:v>727.57</c:v>
              </c:pt>
              <c:pt idx="717">
                <c:v>686.37</c:v>
              </c:pt>
              <c:pt idx="718">
                <c:v>635.05999999999995</c:v>
              </c:pt>
              <c:pt idx="719">
                <c:v>714.34</c:v>
              </c:pt>
              <c:pt idx="720">
                <c:v>650.90000000000009</c:v>
              </c:pt>
              <c:pt idx="721">
                <c:v>689.44</c:v>
              </c:pt>
              <c:pt idx="722">
                <c:v>739.17000000000007</c:v>
              </c:pt>
              <c:pt idx="723">
                <c:v>807.42</c:v>
              </c:pt>
              <c:pt idx="724">
                <c:v>606.97</c:v>
              </c:pt>
              <c:pt idx="725">
                <c:v>734.31</c:v>
              </c:pt>
              <c:pt idx="726">
                <c:v>683.82</c:v>
              </c:pt>
              <c:pt idx="727">
                <c:v>689.66</c:v>
              </c:pt>
              <c:pt idx="728">
                <c:v>628.17999999999995</c:v>
              </c:pt>
              <c:pt idx="729">
                <c:v>684.72500000000002</c:v>
              </c:pt>
              <c:pt idx="730">
                <c:v>679.05</c:v>
              </c:pt>
              <c:pt idx="731">
                <c:v>663.99</c:v>
              </c:pt>
              <c:pt idx="732">
                <c:v>704.76</c:v>
              </c:pt>
              <c:pt idx="733">
                <c:v>686.85</c:v>
              </c:pt>
              <c:pt idx="734">
                <c:v>734.82500000000005</c:v>
              </c:pt>
              <c:pt idx="735">
                <c:v>684.47</c:v>
              </c:pt>
              <c:pt idx="736">
                <c:v>695.35</c:v>
              </c:pt>
              <c:pt idx="737">
                <c:v>604.30999999999995</c:v>
              </c:pt>
              <c:pt idx="738">
                <c:v>680.78</c:v>
              </c:pt>
              <c:pt idx="739">
                <c:v>528.58000000000004</c:v>
              </c:pt>
              <c:pt idx="740">
                <c:v>687.63</c:v>
              </c:pt>
              <c:pt idx="741">
                <c:v>683.495</c:v>
              </c:pt>
              <c:pt idx="742">
                <c:v>701.57</c:v>
              </c:pt>
              <c:pt idx="743">
                <c:v>730.14</c:v>
              </c:pt>
              <c:pt idx="744">
                <c:v>636.23</c:v>
              </c:pt>
              <c:pt idx="745">
                <c:v>850</c:v>
              </c:pt>
              <c:pt idx="746">
                <c:v>713.98500000000001</c:v>
              </c:pt>
              <c:pt idx="747">
                <c:v>592.04</c:v>
              </c:pt>
              <c:pt idx="748">
                <c:v>797.15</c:v>
              </c:pt>
              <c:pt idx="749">
                <c:v>740.45</c:v>
              </c:pt>
              <c:pt idx="750">
                <c:v>559.39</c:v>
              </c:pt>
              <c:pt idx="751">
                <c:v>664.51</c:v>
              </c:pt>
              <c:pt idx="752">
                <c:v>738.5</c:v>
              </c:pt>
              <c:pt idx="753">
                <c:v>699.06500000000005</c:v>
              </c:pt>
              <c:pt idx="754">
                <c:v>710.22</c:v>
              </c:pt>
              <c:pt idx="755">
                <c:v>567.16</c:v>
              </c:pt>
              <c:pt idx="756">
                <c:v>715.14</c:v>
              </c:pt>
              <c:pt idx="757">
                <c:v>747.48500000000001</c:v>
              </c:pt>
              <c:pt idx="758">
                <c:v>777.71</c:v>
              </c:pt>
              <c:pt idx="759">
                <c:v>739.04</c:v>
              </c:pt>
              <c:pt idx="760">
                <c:v>674.98</c:v>
              </c:pt>
              <c:pt idx="761">
                <c:v>850</c:v>
              </c:pt>
              <c:pt idx="762">
                <c:v>756.54</c:v>
              </c:pt>
              <c:pt idx="763">
                <c:v>736.58</c:v>
              </c:pt>
              <c:pt idx="764">
                <c:v>572.52</c:v>
              </c:pt>
              <c:pt idx="765">
                <c:v>628.66999999999996</c:v>
              </c:pt>
              <c:pt idx="766">
                <c:v>749.12</c:v>
              </c:pt>
              <c:pt idx="767">
                <c:v>716.58</c:v>
              </c:pt>
              <c:pt idx="768">
                <c:v>656.55</c:v>
              </c:pt>
              <c:pt idx="769">
                <c:v>729.62</c:v>
              </c:pt>
              <c:pt idx="770">
                <c:v>624.33000000000004</c:v>
              </c:pt>
              <c:pt idx="771">
                <c:v>689.11</c:v>
              </c:pt>
              <c:pt idx="772">
                <c:v>703.34</c:v>
              </c:pt>
              <c:pt idx="773">
                <c:v>755.83</c:v>
              </c:pt>
              <c:pt idx="774">
                <c:v>670.45500000000004</c:v>
              </c:pt>
              <c:pt idx="775">
                <c:v>656.86</c:v>
              </c:pt>
              <c:pt idx="776">
                <c:v>812.34</c:v>
              </c:pt>
              <c:pt idx="777">
                <c:v>663.58</c:v>
              </c:pt>
              <c:pt idx="778">
                <c:v>698.98</c:v>
              </c:pt>
              <c:pt idx="779">
                <c:v>771.73500000000001</c:v>
              </c:pt>
              <c:pt idx="780">
                <c:v>743.5</c:v>
              </c:pt>
              <c:pt idx="781">
                <c:v>701.07500000000005</c:v>
              </c:pt>
              <c:pt idx="782">
                <c:v>793.35</c:v>
              </c:pt>
              <c:pt idx="783">
                <c:v>724.17</c:v>
              </c:pt>
              <c:pt idx="784">
                <c:v>609.15</c:v>
              </c:pt>
              <c:pt idx="785">
                <c:v>669.62</c:v>
              </c:pt>
              <c:pt idx="786">
                <c:v>736.43000000000006</c:v>
              </c:pt>
              <c:pt idx="787">
                <c:v>739.56999999999994</c:v>
              </c:pt>
              <c:pt idx="788">
                <c:v>661.26</c:v>
              </c:pt>
              <c:pt idx="789">
                <c:v>785.65</c:v>
              </c:pt>
              <c:pt idx="790">
                <c:v>746.48</c:v>
              </c:pt>
              <c:pt idx="791">
                <c:v>651.95000000000005</c:v>
              </c:pt>
              <c:pt idx="792">
                <c:v>633.64</c:v>
              </c:pt>
              <c:pt idx="793">
                <c:v>732.25</c:v>
              </c:pt>
              <c:pt idx="794">
                <c:v>774.61</c:v>
              </c:pt>
              <c:pt idx="795">
                <c:v>754.07</c:v>
              </c:pt>
              <c:pt idx="796">
                <c:v>710.52</c:v>
              </c:pt>
              <c:pt idx="797">
                <c:v>689.87</c:v>
              </c:pt>
              <c:pt idx="798">
                <c:v>572.92999999999995</c:v>
              </c:pt>
              <c:pt idx="799">
                <c:v>461.41</c:v>
              </c:pt>
              <c:pt idx="800">
                <c:v>625.35</c:v>
              </c:pt>
              <c:pt idx="801">
                <c:v>662.65</c:v>
              </c:pt>
              <c:pt idx="802">
                <c:v>709.93000000000006</c:v>
              </c:pt>
              <c:pt idx="803">
                <c:v>685.86</c:v>
              </c:pt>
              <c:pt idx="804">
                <c:v>698.16</c:v>
              </c:pt>
              <c:pt idx="805">
                <c:v>713.14</c:v>
              </c:pt>
              <c:pt idx="806">
                <c:v>718.8</c:v>
              </c:pt>
              <c:pt idx="807">
                <c:v>826.89</c:v>
              </c:pt>
              <c:pt idx="808">
                <c:v>636.85</c:v>
              </c:pt>
              <c:pt idx="809">
                <c:v>735.90250000000003</c:v>
              </c:pt>
              <c:pt idx="810">
                <c:v>540.09</c:v>
              </c:pt>
              <c:pt idx="811">
                <c:v>658.38</c:v>
              </c:pt>
              <c:pt idx="812">
                <c:v>754.45</c:v>
              </c:pt>
              <c:pt idx="813">
                <c:v>703.43</c:v>
              </c:pt>
              <c:pt idx="814">
                <c:v>706.24</c:v>
              </c:pt>
              <c:pt idx="815">
                <c:v>701.55</c:v>
              </c:pt>
              <c:pt idx="816">
                <c:v>667.24</c:v>
              </c:pt>
              <c:pt idx="817">
                <c:v>605.39</c:v>
              </c:pt>
              <c:pt idx="818">
                <c:v>638.34</c:v>
              </c:pt>
              <c:pt idx="819">
                <c:v>621.15</c:v>
              </c:pt>
              <c:pt idx="820">
                <c:v>745.97</c:v>
              </c:pt>
              <c:pt idx="821">
                <c:v>722.99</c:v>
              </c:pt>
              <c:pt idx="822">
                <c:v>617.11</c:v>
              </c:pt>
              <c:pt idx="823">
                <c:v>835.18</c:v>
              </c:pt>
              <c:pt idx="824">
                <c:v>632.1</c:v>
              </c:pt>
              <c:pt idx="825">
                <c:v>707.8</c:v>
              </c:pt>
              <c:pt idx="826">
                <c:v>766.85</c:v>
              </c:pt>
              <c:pt idx="827">
                <c:v>752.14499999999998</c:v>
              </c:pt>
              <c:pt idx="828">
                <c:v>691.29</c:v>
              </c:pt>
              <c:pt idx="829">
                <c:v>736.71</c:v>
              </c:pt>
              <c:pt idx="830">
                <c:v>761.03</c:v>
              </c:pt>
              <c:pt idx="831">
                <c:v>712.72499999999991</c:v>
              </c:pt>
              <c:pt idx="832">
                <c:v>709.66</c:v>
              </c:pt>
              <c:pt idx="833">
                <c:v>812.31</c:v>
              </c:pt>
              <c:pt idx="834">
                <c:v>714.26</c:v>
              </c:pt>
              <c:pt idx="835">
                <c:v>786.16</c:v>
              </c:pt>
              <c:pt idx="836">
                <c:v>749.62</c:v>
              </c:pt>
              <c:pt idx="837">
                <c:v>725.49</c:v>
              </c:pt>
              <c:pt idx="838">
                <c:v>723.59</c:v>
              </c:pt>
              <c:pt idx="839">
                <c:v>656.21</c:v>
              </c:pt>
              <c:pt idx="840">
                <c:v>631.26</c:v>
              </c:pt>
              <c:pt idx="841">
                <c:v>757.28</c:v>
              </c:pt>
              <c:pt idx="842">
                <c:v>616.34</c:v>
              </c:pt>
              <c:pt idx="843">
                <c:v>694.4</c:v>
              </c:pt>
              <c:pt idx="844">
                <c:v>693.13</c:v>
              </c:pt>
              <c:pt idx="845">
                <c:v>643.84</c:v>
              </c:pt>
              <c:pt idx="846">
                <c:v>734.6</c:v>
              </c:pt>
              <c:pt idx="847">
                <c:v>678.86</c:v>
              </c:pt>
              <c:pt idx="848">
                <c:v>712.62</c:v>
              </c:pt>
              <c:pt idx="849">
                <c:v>751.63</c:v>
              </c:pt>
              <c:pt idx="850">
                <c:v>542.62</c:v>
              </c:pt>
              <c:pt idx="851">
                <c:v>737.95</c:v>
              </c:pt>
              <c:pt idx="852">
                <c:v>707.46</c:v>
              </c:pt>
              <c:pt idx="853">
                <c:v>740.39</c:v>
              </c:pt>
              <c:pt idx="854">
                <c:v>680.48</c:v>
              </c:pt>
              <c:pt idx="855">
                <c:v>689.13</c:v>
              </c:pt>
              <c:pt idx="856">
                <c:v>721</c:v>
              </c:pt>
              <c:pt idx="857">
                <c:v>752.26</c:v>
              </c:pt>
              <c:pt idx="858">
                <c:v>601.80999999999995</c:v>
              </c:pt>
              <c:pt idx="859">
                <c:v>726.7</c:v>
              </c:pt>
              <c:pt idx="860">
                <c:v>681.59</c:v>
              </c:pt>
              <c:pt idx="861">
                <c:v>797.24</c:v>
              </c:pt>
              <c:pt idx="862">
                <c:v>696.24000000000012</c:v>
              </c:pt>
              <c:pt idx="863">
                <c:v>606.65</c:v>
              </c:pt>
              <c:pt idx="864">
                <c:v>682.46</c:v>
              </c:pt>
              <c:pt idx="865">
                <c:v>710.01</c:v>
              </c:pt>
              <c:pt idx="866">
                <c:v>761.62</c:v>
              </c:pt>
              <c:pt idx="867">
                <c:v>850</c:v>
              </c:pt>
              <c:pt idx="868">
                <c:v>648.54333333333329</c:v>
              </c:pt>
              <c:pt idx="869">
                <c:v>733.9</c:v>
              </c:pt>
              <c:pt idx="870">
                <c:v>780.71</c:v>
              </c:pt>
              <c:pt idx="871">
                <c:v>634.19000000000005</c:v>
              </c:pt>
              <c:pt idx="872">
                <c:v>707.96</c:v>
              </c:pt>
              <c:pt idx="873">
                <c:v>693.35</c:v>
              </c:pt>
              <c:pt idx="874">
                <c:v>746.29</c:v>
              </c:pt>
              <c:pt idx="875">
                <c:v>667.73</c:v>
              </c:pt>
              <c:pt idx="876">
                <c:v>663.16</c:v>
              </c:pt>
              <c:pt idx="877">
                <c:v>730.87</c:v>
              </c:pt>
              <c:pt idx="878">
                <c:v>696.97</c:v>
              </c:pt>
              <c:pt idx="879">
                <c:v>654.91</c:v>
              </c:pt>
              <c:pt idx="880">
                <c:v>774.42</c:v>
              </c:pt>
              <c:pt idx="881">
                <c:v>750.11</c:v>
              </c:pt>
              <c:pt idx="882">
                <c:v>778.74</c:v>
              </c:pt>
              <c:pt idx="883">
                <c:v>723.09</c:v>
              </c:pt>
              <c:pt idx="884">
                <c:v>664.77</c:v>
              </c:pt>
              <c:pt idx="885">
                <c:v>734.95</c:v>
              </c:pt>
              <c:pt idx="886">
                <c:v>708.58</c:v>
              </c:pt>
              <c:pt idx="887">
                <c:v>719.38499999999999</c:v>
              </c:pt>
              <c:pt idx="888">
                <c:v>779.98</c:v>
              </c:pt>
              <c:pt idx="889">
                <c:v>678.8</c:v>
              </c:pt>
              <c:pt idx="890">
                <c:v>745.88000000000011</c:v>
              </c:pt>
              <c:pt idx="891">
                <c:v>735.6</c:v>
              </c:pt>
              <c:pt idx="892">
                <c:v>601.30999999999995</c:v>
              </c:pt>
              <c:pt idx="893">
                <c:v>801.12</c:v>
              </c:pt>
              <c:pt idx="894">
                <c:v>653.97</c:v>
              </c:pt>
              <c:pt idx="895">
                <c:v>681.48</c:v>
              </c:pt>
              <c:pt idx="896">
                <c:v>726.16499999999996</c:v>
              </c:pt>
              <c:pt idx="897">
                <c:v>666.22</c:v>
              </c:pt>
              <c:pt idx="898">
                <c:v>761.6</c:v>
              </c:pt>
              <c:pt idx="899">
                <c:v>753.86749999999995</c:v>
              </c:pt>
              <c:pt idx="900">
                <c:v>704.18</c:v>
              </c:pt>
              <c:pt idx="901">
                <c:v>672.13</c:v>
              </c:pt>
              <c:pt idx="902">
                <c:v>578.02</c:v>
              </c:pt>
              <c:pt idx="903">
                <c:v>574.08000000000004</c:v>
              </c:pt>
              <c:pt idx="904">
                <c:v>662.83</c:v>
              </c:pt>
              <c:pt idx="905">
                <c:v>707.98</c:v>
              </c:pt>
              <c:pt idx="906">
                <c:v>734.08</c:v>
              </c:pt>
              <c:pt idx="907">
                <c:v>730.84</c:v>
              </c:pt>
              <c:pt idx="908">
                <c:v>773.58</c:v>
              </c:pt>
              <c:pt idx="909">
                <c:v>543.29999999999995</c:v>
              </c:pt>
              <c:pt idx="910">
                <c:v>676.88</c:v>
              </c:pt>
              <c:pt idx="911">
                <c:v>787.61</c:v>
              </c:pt>
              <c:pt idx="912">
                <c:v>739.44</c:v>
              </c:pt>
              <c:pt idx="913">
                <c:v>680.06</c:v>
              </c:pt>
              <c:pt idx="914">
                <c:v>682.67</c:v>
              </c:pt>
              <c:pt idx="915">
                <c:v>632.59</c:v>
              </c:pt>
              <c:pt idx="916">
                <c:v>769.69</c:v>
              </c:pt>
              <c:pt idx="917">
                <c:v>659.31</c:v>
              </c:pt>
              <c:pt idx="918">
                <c:v>671.23</c:v>
              </c:pt>
              <c:pt idx="919">
                <c:v>702.25</c:v>
              </c:pt>
              <c:pt idx="920">
                <c:v>695.89</c:v>
              </c:pt>
              <c:pt idx="921">
                <c:v>715.14</c:v>
              </c:pt>
              <c:pt idx="922">
                <c:v>821.55</c:v>
              </c:pt>
              <c:pt idx="923">
                <c:v>664.95499999999993</c:v>
              </c:pt>
              <c:pt idx="924">
                <c:v>707.14</c:v>
              </c:pt>
              <c:pt idx="925">
                <c:v>708.47</c:v>
              </c:pt>
              <c:pt idx="926">
                <c:v>685.07999999999993</c:v>
              </c:pt>
              <c:pt idx="927">
                <c:v>797.99</c:v>
              </c:pt>
              <c:pt idx="928">
                <c:v>652.83000000000004</c:v>
              </c:pt>
              <c:pt idx="929">
                <c:v>653.37</c:v>
              </c:pt>
              <c:pt idx="930">
                <c:v>763.47</c:v>
              </c:pt>
              <c:pt idx="931">
                <c:v>726.73</c:v>
              </c:pt>
              <c:pt idx="932">
                <c:v>666.90000000000009</c:v>
              </c:pt>
              <c:pt idx="933">
                <c:v>680.76</c:v>
              </c:pt>
              <c:pt idx="934">
                <c:v>709.08</c:v>
              </c:pt>
              <c:pt idx="935">
                <c:v>760.79</c:v>
              </c:pt>
              <c:pt idx="936">
                <c:v>792.48</c:v>
              </c:pt>
              <c:pt idx="937">
                <c:v>758.62</c:v>
              </c:pt>
              <c:pt idx="938">
                <c:v>724.89</c:v>
              </c:pt>
              <c:pt idx="939">
                <c:v>733.07</c:v>
              </c:pt>
              <c:pt idx="940">
                <c:v>673.23</c:v>
              </c:pt>
              <c:pt idx="941">
                <c:v>739.97</c:v>
              </c:pt>
              <c:pt idx="942">
                <c:v>648.91</c:v>
              </c:pt>
              <c:pt idx="943">
                <c:v>726.61</c:v>
              </c:pt>
              <c:pt idx="944">
                <c:v>784.61</c:v>
              </c:pt>
              <c:pt idx="945">
                <c:v>641.34</c:v>
              </c:pt>
              <c:pt idx="946">
                <c:v>705.36</c:v>
              </c:pt>
              <c:pt idx="947">
                <c:v>849.16</c:v>
              </c:pt>
              <c:pt idx="948">
                <c:v>740.12</c:v>
              </c:pt>
              <c:pt idx="949">
                <c:v>683.83</c:v>
              </c:pt>
              <c:pt idx="950">
                <c:v>723.97</c:v>
              </c:pt>
              <c:pt idx="951">
                <c:v>707</c:v>
              </c:pt>
              <c:pt idx="952">
                <c:v>646.80999999999995</c:v>
              </c:pt>
              <c:pt idx="953">
                <c:v>686.54</c:v>
              </c:pt>
              <c:pt idx="954">
                <c:v>614.66999999999996</c:v>
              </c:pt>
              <c:pt idx="955">
                <c:v>691.53</c:v>
              </c:pt>
              <c:pt idx="956">
                <c:v>628.54</c:v>
              </c:pt>
              <c:pt idx="957">
                <c:v>717.56</c:v>
              </c:pt>
              <c:pt idx="958">
                <c:v>729.07</c:v>
              </c:pt>
              <c:pt idx="959">
                <c:v>688.19</c:v>
              </c:pt>
              <c:pt idx="960">
                <c:v>687.54</c:v>
              </c:pt>
              <c:pt idx="961">
                <c:v>679.3</c:v>
              </c:pt>
              <c:pt idx="962">
                <c:v>783.34999999999991</c:v>
              </c:pt>
              <c:pt idx="963">
                <c:v>714.89</c:v>
              </c:pt>
              <c:pt idx="964">
                <c:v>631.36</c:v>
              </c:pt>
              <c:pt idx="965">
                <c:v>814.10500000000002</c:v>
              </c:pt>
              <c:pt idx="966">
                <c:v>575.76</c:v>
              </c:pt>
              <c:pt idx="967">
                <c:v>741.74</c:v>
              </c:pt>
              <c:pt idx="968">
                <c:v>771.23</c:v>
              </c:pt>
              <c:pt idx="969">
                <c:v>726.28</c:v>
              </c:pt>
              <c:pt idx="970">
                <c:v>683.9</c:v>
              </c:pt>
              <c:pt idx="971">
                <c:v>640.83000000000004</c:v>
              </c:pt>
              <c:pt idx="972">
                <c:v>737.26</c:v>
              </c:pt>
              <c:pt idx="973">
                <c:v>689.16499999999996</c:v>
              </c:pt>
              <c:pt idx="974">
                <c:v>651.34</c:v>
              </c:pt>
              <c:pt idx="975">
                <c:v>676.66</c:v>
              </c:pt>
              <c:pt idx="976">
                <c:v>655.8</c:v>
              </c:pt>
              <c:pt idx="977">
                <c:v>682.49</c:v>
              </c:pt>
              <c:pt idx="978">
                <c:v>711.61</c:v>
              </c:pt>
              <c:pt idx="979">
                <c:v>809.14</c:v>
              </c:pt>
              <c:pt idx="980">
                <c:v>639.58000000000004</c:v>
              </c:pt>
              <c:pt idx="981">
                <c:v>699.76</c:v>
              </c:pt>
              <c:pt idx="982">
                <c:v>579.89</c:v>
              </c:pt>
              <c:pt idx="983">
                <c:v>752.6</c:v>
              </c:pt>
              <c:pt idx="984">
                <c:v>636.94000000000005</c:v>
              </c:pt>
              <c:pt idx="985">
                <c:v>750.27</c:v>
              </c:pt>
              <c:pt idx="986">
                <c:v>658.31</c:v>
              </c:pt>
              <c:pt idx="987">
                <c:v>676.755</c:v>
              </c:pt>
              <c:pt idx="988">
                <c:v>657.43000000000006</c:v>
              </c:pt>
              <c:pt idx="989">
                <c:v>746.16</c:v>
              </c:pt>
              <c:pt idx="990">
                <c:v>648.55999999999995</c:v>
              </c:pt>
              <c:pt idx="991">
                <c:v>664.39</c:v>
              </c:pt>
              <c:pt idx="992">
                <c:v>716.17499999999995</c:v>
              </c:pt>
              <c:pt idx="993">
                <c:v>702.72</c:v>
              </c:pt>
              <c:pt idx="994">
                <c:v>642.9</c:v>
              </c:pt>
              <c:pt idx="995">
                <c:v>744.85</c:v>
              </c:pt>
              <c:pt idx="996">
                <c:v>779.23</c:v>
              </c:pt>
              <c:pt idx="997">
                <c:v>841.64</c:v>
              </c:pt>
              <c:pt idx="998">
                <c:v>718.93</c:v>
              </c:pt>
              <c:pt idx="999">
                <c:v>785.51</c:v>
              </c:pt>
              <c:pt idx="1000">
                <c:v>651.05999999999995</c:v>
              </c:pt>
              <c:pt idx="1001">
                <c:v>657.52</c:v>
              </c:pt>
              <c:pt idx="1002">
                <c:v>609.46500000000003</c:v>
              </c:pt>
              <c:pt idx="1003">
                <c:v>850</c:v>
              </c:pt>
              <c:pt idx="1004">
                <c:v>686.74</c:v>
              </c:pt>
              <c:pt idx="1005">
                <c:v>715.82</c:v>
              </c:pt>
              <c:pt idx="1006">
                <c:v>716.74</c:v>
              </c:pt>
              <c:pt idx="1007">
                <c:v>722.94</c:v>
              </c:pt>
              <c:pt idx="1008">
                <c:v>672.49</c:v>
              </c:pt>
              <c:pt idx="1009">
                <c:v>738.33</c:v>
              </c:pt>
              <c:pt idx="1010">
                <c:v>767.70499999999993</c:v>
              </c:pt>
              <c:pt idx="1011">
                <c:v>742.85</c:v>
              </c:pt>
              <c:pt idx="1012">
                <c:v>759.48</c:v>
              </c:pt>
              <c:pt idx="1013">
                <c:v>691.58</c:v>
              </c:pt>
              <c:pt idx="1014">
                <c:v>758.35</c:v>
              </c:pt>
              <c:pt idx="1015">
                <c:v>705.77</c:v>
              </c:pt>
              <c:pt idx="1016">
                <c:v>669.3</c:v>
              </c:pt>
              <c:pt idx="1017">
                <c:v>729.88</c:v>
              </c:pt>
              <c:pt idx="1018">
                <c:v>811.19</c:v>
              </c:pt>
              <c:pt idx="1019">
                <c:v>553.26</c:v>
              </c:pt>
              <c:pt idx="1020">
                <c:v>692.93</c:v>
              </c:pt>
              <c:pt idx="1021">
                <c:v>656.41</c:v>
              </c:pt>
              <c:pt idx="1022">
                <c:v>696.21499999999992</c:v>
              </c:pt>
              <c:pt idx="1023">
                <c:v>754.56500000000005</c:v>
              </c:pt>
              <c:pt idx="1024">
                <c:v>694.75</c:v>
              </c:pt>
              <c:pt idx="1025">
                <c:v>763.47499999999991</c:v>
              </c:pt>
              <c:pt idx="1026">
                <c:v>719.02</c:v>
              </c:pt>
              <c:pt idx="1027">
                <c:v>713.72</c:v>
              </c:pt>
              <c:pt idx="1028">
                <c:v>740.1</c:v>
              </c:pt>
              <c:pt idx="1029">
                <c:v>579.13</c:v>
              </c:pt>
              <c:pt idx="1030">
                <c:v>700</c:v>
              </c:pt>
              <c:pt idx="1031">
                <c:v>730.44499999999994</c:v>
              </c:pt>
              <c:pt idx="1032">
                <c:v>819.82</c:v>
              </c:pt>
              <c:pt idx="1033">
                <c:v>782.99</c:v>
              </c:pt>
              <c:pt idx="1034">
                <c:v>747.21500000000003</c:v>
              </c:pt>
              <c:pt idx="1035">
                <c:v>721.45</c:v>
              </c:pt>
              <c:pt idx="1036">
                <c:v>733.1</c:v>
              </c:pt>
              <c:pt idx="1037">
                <c:v>728.81</c:v>
              </c:pt>
              <c:pt idx="1038">
                <c:v>670.51</c:v>
              </c:pt>
              <c:pt idx="1039">
                <c:v>772.94499999999994</c:v>
              </c:pt>
              <c:pt idx="1040">
                <c:v>711.76</c:v>
              </c:pt>
              <c:pt idx="1041">
                <c:v>704.07</c:v>
              </c:pt>
              <c:pt idx="1042">
                <c:v>723.73</c:v>
              </c:pt>
              <c:pt idx="1043">
                <c:v>702.25</c:v>
              </c:pt>
              <c:pt idx="1044">
                <c:v>617.54</c:v>
              </c:pt>
              <c:pt idx="1045">
                <c:v>649.57000000000005</c:v>
              </c:pt>
              <c:pt idx="1046">
                <c:v>645.6</c:v>
              </c:pt>
              <c:pt idx="1047">
                <c:v>644.26</c:v>
              </c:pt>
              <c:pt idx="1048">
                <c:v>669.35</c:v>
              </c:pt>
              <c:pt idx="1049">
                <c:v>722.3</c:v>
              </c:pt>
              <c:pt idx="1050">
                <c:v>794.6</c:v>
              </c:pt>
              <c:pt idx="1051">
                <c:v>734.46</c:v>
              </c:pt>
              <c:pt idx="1052">
                <c:v>651.92999999999995</c:v>
              </c:pt>
              <c:pt idx="1053">
                <c:v>673.89</c:v>
              </c:pt>
              <c:pt idx="1054">
                <c:v>758.72</c:v>
              </c:pt>
              <c:pt idx="1055">
                <c:v>849.03</c:v>
              </c:pt>
              <c:pt idx="1056">
                <c:v>697.35</c:v>
              </c:pt>
              <c:pt idx="1057">
                <c:v>731.97</c:v>
              </c:pt>
              <c:pt idx="1058">
                <c:v>715.16</c:v>
              </c:pt>
              <c:pt idx="1059">
                <c:v>672.11</c:v>
              </c:pt>
              <c:pt idx="1060">
                <c:v>699.17</c:v>
              </c:pt>
              <c:pt idx="1061">
                <c:v>783</c:v>
              </c:pt>
              <c:pt idx="1062">
                <c:v>719.41</c:v>
              </c:pt>
              <c:pt idx="1063">
                <c:v>748.35500000000002</c:v>
              </c:pt>
              <c:pt idx="1064">
                <c:v>773.8</c:v>
              </c:pt>
              <c:pt idx="1065">
                <c:v>689.70666666666659</c:v>
              </c:pt>
              <c:pt idx="1066">
                <c:v>748.65</c:v>
              </c:pt>
              <c:pt idx="1067">
                <c:v>763.17</c:v>
              </c:pt>
              <c:pt idx="1068">
                <c:v>640.25</c:v>
              </c:pt>
              <c:pt idx="1069">
                <c:v>628.58000000000004</c:v>
              </c:pt>
              <c:pt idx="1070">
                <c:v>704.99</c:v>
              </c:pt>
              <c:pt idx="1071">
                <c:v>782.43</c:v>
              </c:pt>
              <c:pt idx="1072">
                <c:v>687.65499999999997</c:v>
              </c:pt>
              <c:pt idx="1073">
                <c:v>643.57000000000005</c:v>
              </c:pt>
              <c:pt idx="1074">
                <c:v>764.6</c:v>
              </c:pt>
              <c:pt idx="1075">
                <c:v>774.92</c:v>
              </c:pt>
              <c:pt idx="1076">
                <c:v>735.3</c:v>
              </c:pt>
              <c:pt idx="1077">
                <c:v>596.16</c:v>
              </c:pt>
              <c:pt idx="1078">
                <c:v>689.61</c:v>
              </c:pt>
              <c:pt idx="1079">
                <c:v>669.24</c:v>
              </c:pt>
              <c:pt idx="1080">
                <c:v>631.95000000000005</c:v>
              </c:pt>
              <c:pt idx="1081">
                <c:v>540.85</c:v>
              </c:pt>
              <c:pt idx="1082">
                <c:v>754.42000000000007</c:v>
              </c:pt>
              <c:pt idx="1083">
                <c:v>737.95</c:v>
              </c:pt>
              <c:pt idx="1084">
                <c:v>667.49333333333334</c:v>
              </c:pt>
              <c:pt idx="1085">
                <c:v>793.58</c:v>
              </c:pt>
              <c:pt idx="1086">
                <c:v>747.28</c:v>
              </c:pt>
              <c:pt idx="1087">
                <c:v>664.36</c:v>
              </c:pt>
              <c:pt idx="1088">
                <c:v>819.42</c:v>
              </c:pt>
              <c:pt idx="1089">
                <c:v>700.52500000000009</c:v>
              </c:pt>
              <c:pt idx="1090">
                <c:v>677.97</c:v>
              </c:pt>
              <c:pt idx="1091">
                <c:v>710.67</c:v>
              </c:pt>
              <c:pt idx="1092">
                <c:v>744</c:v>
              </c:pt>
              <c:pt idx="1093">
                <c:v>800.9</c:v>
              </c:pt>
              <c:pt idx="1094">
                <c:v>664.61</c:v>
              </c:pt>
              <c:pt idx="1095">
                <c:v>691.22</c:v>
              </c:pt>
              <c:pt idx="1096">
                <c:v>775.70499999999993</c:v>
              </c:pt>
              <c:pt idx="1097">
                <c:v>750.89</c:v>
              </c:pt>
              <c:pt idx="1098">
                <c:v>669.17499999999995</c:v>
              </c:pt>
              <c:pt idx="1099">
                <c:v>709.53</c:v>
              </c:pt>
              <c:pt idx="1100">
                <c:v>719.58</c:v>
              </c:pt>
              <c:pt idx="1101">
                <c:v>742.8</c:v>
              </c:pt>
              <c:pt idx="1102">
                <c:v>697</c:v>
              </c:pt>
              <c:pt idx="1103">
                <c:v>794.24</c:v>
              </c:pt>
              <c:pt idx="1104">
                <c:v>761.51</c:v>
              </c:pt>
              <c:pt idx="1105">
                <c:v>658.66</c:v>
              </c:pt>
              <c:pt idx="1106">
                <c:v>728.74</c:v>
              </c:pt>
              <c:pt idx="1107">
                <c:v>762.25</c:v>
              </c:pt>
              <c:pt idx="1108">
                <c:v>603.62</c:v>
              </c:pt>
              <c:pt idx="1109">
                <c:v>670.89</c:v>
              </c:pt>
              <c:pt idx="1110">
                <c:v>759.41</c:v>
              </c:pt>
              <c:pt idx="1111">
                <c:v>721.15</c:v>
              </c:pt>
              <c:pt idx="1112">
                <c:v>664.22</c:v>
              </c:pt>
              <c:pt idx="1113">
                <c:v>770.72</c:v>
              </c:pt>
              <c:pt idx="1114">
                <c:v>728.32</c:v>
              </c:pt>
              <c:pt idx="1115">
                <c:v>711.80500000000006</c:v>
              </c:pt>
              <c:pt idx="1116">
                <c:v>732.48500000000001</c:v>
              </c:pt>
              <c:pt idx="1117">
                <c:v>615.80999999999995</c:v>
              </c:pt>
              <c:pt idx="1118">
                <c:v>806.04</c:v>
              </c:pt>
              <c:pt idx="1119">
                <c:v>644.59</c:v>
              </c:pt>
              <c:pt idx="1120">
                <c:v>663.87</c:v>
              </c:pt>
              <c:pt idx="1121">
                <c:v>729.48500000000001</c:v>
              </c:pt>
              <c:pt idx="1122">
                <c:v>716.07</c:v>
              </c:pt>
              <c:pt idx="1123">
                <c:v>728.23500000000001</c:v>
              </c:pt>
              <c:pt idx="1124">
                <c:v>809.76</c:v>
              </c:pt>
              <c:pt idx="1125">
                <c:v>768.81</c:v>
              </c:pt>
              <c:pt idx="1126">
                <c:v>776.80500000000006</c:v>
              </c:pt>
              <c:pt idx="1127">
                <c:v>777.45</c:v>
              </c:pt>
              <c:pt idx="1128">
                <c:v>672.93</c:v>
              </c:pt>
              <c:pt idx="1129">
                <c:v>679.32</c:v>
              </c:pt>
              <c:pt idx="1130">
                <c:v>655.89</c:v>
              </c:pt>
              <c:pt idx="1131">
                <c:v>773.96</c:v>
              </c:pt>
              <c:pt idx="1132">
                <c:v>608.25</c:v>
              </c:pt>
              <c:pt idx="1133">
                <c:v>684.72</c:v>
              </c:pt>
              <c:pt idx="1134">
                <c:v>686.37</c:v>
              </c:pt>
              <c:pt idx="1135">
                <c:v>562.72</c:v>
              </c:pt>
              <c:pt idx="1136">
                <c:v>727.41</c:v>
              </c:pt>
              <c:pt idx="1137">
                <c:v>733.21500000000003</c:v>
              </c:pt>
              <c:pt idx="1138">
                <c:v>716.125</c:v>
              </c:pt>
              <c:pt idx="1139">
                <c:v>850</c:v>
              </c:pt>
              <c:pt idx="1140">
                <c:v>651.41999999999996</c:v>
              </c:pt>
              <c:pt idx="1141">
                <c:v>718.91</c:v>
              </c:pt>
              <c:pt idx="1142">
                <c:v>630.33000000000004</c:v>
              </c:pt>
              <c:pt idx="1143">
                <c:v>688.43</c:v>
              </c:pt>
              <c:pt idx="1144">
                <c:v>699.68</c:v>
              </c:pt>
              <c:pt idx="1145">
                <c:v>683.06</c:v>
              </c:pt>
              <c:pt idx="1146">
                <c:v>701.4</c:v>
              </c:pt>
              <c:pt idx="1147">
                <c:v>686.44</c:v>
              </c:pt>
              <c:pt idx="1148">
                <c:v>698.95</c:v>
              </c:pt>
              <c:pt idx="1149">
                <c:v>660.73</c:v>
              </c:pt>
              <c:pt idx="1150">
                <c:v>724.12</c:v>
              </c:pt>
              <c:pt idx="1151">
                <c:v>713.22</c:v>
              </c:pt>
              <c:pt idx="1152">
                <c:v>719.14</c:v>
              </c:pt>
              <c:pt idx="1153">
                <c:v>732.92</c:v>
              </c:pt>
              <c:pt idx="1154">
                <c:v>691.26</c:v>
              </c:pt>
              <c:pt idx="1155">
                <c:v>726.04</c:v>
              </c:pt>
              <c:pt idx="1156">
                <c:v>820.11</c:v>
              </c:pt>
              <c:pt idx="1157">
                <c:v>777.05</c:v>
              </c:pt>
              <c:pt idx="1158">
                <c:v>754.24</c:v>
              </c:pt>
              <c:pt idx="1159">
                <c:v>633.5</c:v>
              </c:pt>
              <c:pt idx="1160">
                <c:v>581.88</c:v>
              </c:pt>
              <c:pt idx="1161">
                <c:v>850</c:v>
              </c:pt>
              <c:pt idx="1162">
                <c:v>726.34</c:v>
              </c:pt>
              <c:pt idx="1163">
                <c:v>744.85</c:v>
              </c:pt>
              <c:pt idx="1164">
                <c:v>713.05</c:v>
              </c:pt>
              <c:pt idx="1165">
                <c:v>760.61</c:v>
              </c:pt>
              <c:pt idx="1166">
                <c:v>732.14</c:v>
              </c:pt>
              <c:pt idx="1167">
                <c:v>664.03500000000008</c:v>
              </c:pt>
              <c:pt idx="1168">
                <c:v>659.9</c:v>
              </c:pt>
              <c:pt idx="1169">
                <c:v>691.95</c:v>
              </c:pt>
              <c:pt idx="1170">
                <c:v>653.33000000000004</c:v>
              </c:pt>
              <c:pt idx="1171">
                <c:v>764.62</c:v>
              </c:pt>
              <c:pt idx="1172">
                <c:v>720.26</c:v>
              </c:pt>
              <c:pt idx="1173">
                <c:v>667.95</c:v>
              </c:pt>
              <c:pt idx="1174">
                <c:v>716.96</c:v>
              </c:pt>
              <c:pt idx="1175">
                <c:v>650.42999999999995</c:v>
              </c:pt>
              <c:pt idx="1176">
                <c:v>608.62</c:v>
              </c:pt>
              <c:pt idx="1177">
                <c:v>731.23</c:v>
              </c:pt>
              <c:pt idx="1178">
                <c:v>681.38</c:v>
              </c:pt>
              <c:pt idx="1179">
                <c:v>819.57999999999993</c:v>
              </c:pt>
              <c:pt idx="1180">
                <c:v>681.16499999999996</c:v>
              </c:pt>
              <c:pt idx="1181">
                <c:v>786.94</c:v>
              </c:pt>
              <c:pt idx="1182">
                <c:v>690.26</c:v>
              </c:pt>
              <c:pt idx="1183">
                <c:v>658.81</c:v>
              </c:pt>
              <c:pt idx="1184">
                <c:v>763</c:v>
              </c:pt>
              <c:pt idx="1185">
                <c:v>590.5</c:v>
              </c:pt>
              <c:pt idx="1186">
                <c:v>702.58</c:v>
              </c:pt>
              <c:pt idx="1187">
                <c:v>715.91</c:v>
              </c:pt>
              <c:pt idx="1188">
                <c:v>684.67</c:v>
              </c:pt>
              <c:pt idx="1189">
                <c:v>850</c:v>
              </c:pt>
              <c:pt idx="1190">
                <c:v>696.63</c:v>
              </c:pt>
              <c:pt idx="1191">
                <c:v>715.01499999999999</c:v>
              </c:pt>
              <c:pt idx="1192">
                <c:v>674.89333333333332</c:v>
              </c:pt>
              <c:pt idx="1193">
                <c:v>808.36</c:v>
              </c:pt>
              <c:pt idx="1194">
                <c:v>708.68</c:v>
              </c:pt>
              <c:pt idx="1195">
                <c:v>708.68</c:v>
              </c:pt>
              <c:pt idx="1196">
                <c:v>620.97</c:v>
              </c:pt>
              <c:pt idx="1197">
                <c:v>787</c:v>
              </c:pt>
              <c:pt idx="1198">
                <c:v>654.77</c:v>
              </c:pt>
              <c:pt idx="1199">
                <c:v>812.69</c:v>
              </c:pt>
              <c:pt idx="1200">
                <c:v>567.27</c:v>
              </c:pt>
              <c:pt idx="1201">
                <c:v>842.85</c:v>
              </c:pt>
              <c:pt idx="1202">
                <c:v>728.32</c:v>
              </c:pt>
              <c:pt idx="1203">
                <c:v>687.41</c:v>
              </c:pt>
              <c:pt idx="1204">
                <c:v>734.79</c:v>
              </c:pt>
              <c:pt idx="1205">
                <c:v>750.18</c:v>
              </c:pt>
              <c:pt idx="1206">
                <c:v>721.18</c:v>
              </c:pt>
              <c:pt idx="1207">
                <c:v>756.6</c:v>
              </c:pt>
              <c:pt idx="1208">
                <c:v>767.1</c:v>
              </c:pt>
              <c:pt idx="1209">
                <c:v>720.9</c:v>
              </c:pt>
              <c:pt idx="1210">
                <c:v>658.52</c:v>
              </c:pt>
              <c:pt idx="1211">
                <c:v>697.3</c:v>
              </c:pt>
              <c:pt idx="1212">
                <c:v>666.49</c:v>
              </c:pt>
              <c:pt idx="1213">
                <c:v>644.9849999999999</c:v>
              </c:pt>
              <c:pt idx="1214">
                <c:v>810.34</c:v>
              </c:pt>
              <c:pt idx="1215">
                <c:v>696.06</c:v>
              </c:pt>
              <c:pt idx="1216">
                <c:v>760.35</c:v>
              </c:pt>
              <c:pt idx="1217">
                <c:v>618.89</c:v>
              </c:pt>
              <c:pt idx="1218">
                <c:v>688.94</c:v>
              </c:pt>
              <c:pt idx="1219">
                <c:v>652.48</c:v>
              </c:pt>
              <c:pt idx="1220">
                <c:v>560.94000000000005</c:v>
              </c:pt>
              <c:pt idx="1221">
                <c:v>675.51</c:v>
              </c:pt>
              <c:pt idx="1222">
                <c:v>668.87</c:v>
              </c:pt>
              <c:pt idx="1223">
                <c:v>679.38</c:v>
              </c:pt>
              <c:pt idx="1224">
                <c:v>629.25</c:v>
              </c:pt>
              <c:pt idx="1225">
                <c:v>685.87</c:v>
              </c:pt>
              <c:pt idx="1226">
                <c:v>714.6</c:v>
              </c:pt>
              <c:pt idx="1227">
                <c:v>676.28</c:v>
              </c:pt>
              <c:pt idx="1228">
                <c:v>725.87</c:v>
              </c:pt>
              <c:pt idx="1229">
                <c:v>735.27</c:v>
              </c:pt>
              <c:pt idx="1230">
                <c:v>633.99</c:v>
              </c:pt>
              <c:pt idx="1231">
                <c:v>811.12</c:v>
              </c:pt>
              <c:pt idx="1232">
                <c:v>775.65</c:v>
              </c:pt>
              <c:pt idx="1233">
                <c:v>739.72</c:v>
              </c:pt>
              <c:pt idx="1234">
                <c:v>702.9</c:v>
              </c:pt>
              <c:pt idx="1235">
                <c:v>658.95</c:v>
              </c:pt>
              <c:pt idx="1236">
                <c:v>663.67</c:v>
              </c:pt>
              <c:pt idx="1237">
                <c:v>694.31</c:v>
              </c:pt>
              <c:pt idx="1238">
                <c:v>771.59</c:v>
              </c:pt>
              <c:pt idx="1239">
                <c:v>642.89</c:v>
              </c:pt>
              <c:pt idx="1240">
                <c:v>720.21</c:v>
              </c:pt>
              <c:pt idx="1241">
                <c:v>680.21</c:v>
              </c:pt>
              <c:pt idx="1242">
                <c:v>840.96</c:v>
              </c:pt>
              <c:pt idx="1243">
                <c:v>657.7</c:v>
              </c:pt>
              <c:pt idx="1244">
                <c:v>728.52</c:v>
              </c:pt>
              <c:pt idx="1245">
                <c:v>741.38</c:v>
              </c:pt>
              <c:pt idx="1246">
                <c:v>727.22</c:v>
              </c:pt>
              <c:pt idx="1247">
                <c:v>733.47333333333336</c:v>
              </c:pt>
              <c:pt idx="1248">
                <c:v>761.32</c:v>
              </c:pt>
              <c:pt idx="1249">
                <c:v>616.44000000000005</c:v>
              </c:pt>
              <c:pt idx="1250">
                <c:v>584.42999999999995</c:v>
              </c:pt>
              <c:pt idx="1251">
                <c:v>719.95</c:v>
              </c:pt>
              <c:pt idx="1252">
                <c:v>774.31</c:v>
              </c:pt>
              <c:pt idx="1253">
                <c:v>685.87</c:v>
              </c:pt>
              <c:pt idx="1254">
                <c:v>657.07</c:v>
              </c:pt>
              <c:pt idx="1255">
                <c:v>730.59</c:v>
              </c:pt>
              <c:pt idx="1256">
                <c:v>716.31</c:v>
              </c:pt>
              <c:pt idx="1257">
                <c:v>768.99</c:v>
              </c:pt>
              <c:pt idx="1258">
                <c:v>757.01</c:v>
              </c:pt>
              <c:pt idx="1259">
                <c:v>649.84</c:v>
              </c:pt>
              <c:pt idx="1260">
                <c:v>786.14</c:v>
              </c:pt>
              <c:pt idx="1261">
                <c:v>715.95</c:v>
              </c:pt>
              <c:pt idx="1262">
                <c:v>828.55</c:v>
              </c:pt>
              <c:pt idx="1263">
                <c:v>665.72</c:v>
              </c:pt>
              <c:pt idx="1264">
                <c:v>735.8</c:v>
              </c:pt>
              <c:pt idx="1265">
                <c:v>774.6</c:v>
              </c:pt>
              <c:pt idx="1266">
                <c:v>659.48</c:v>
              </c:pt>
              <c:pt idx="1267">
                <c:v>642.48</c:v>
              </c:pt>
              <c:pt idx="1268">
                <c:v>795.745</c:v>
              </c:pt>
              <c:pt idx="1269">
                <c:v>742.29</c:v>
              </c:pt>
              <c:pt idx="1270">
                <c:v>674.78</c:v>
              </c:pt>
              <c:pt idx="1271">
                <c:v>824.55</c:v>
              </c:pt>
              <c:pt idx="1272">
                <c:v>722.1966666666666</c:v>
              </c:pt>
              <c:pt idx="1273">
                <c:v>735.98</c:v>
              </c:pt>
              <c:pt idx="1274">
                <c:v>645.37</c:v>
              </c:pt>
              <c:pt idx="1275">
                <c:v>733.22</c:v>
              </c:pt>
              <c:pt idx="1276">
                <c:v>637.78</c:v>
              </c:pt>
              <c:pt idx="1277">
                <c:v>701.68</c:v>
              </c:pt>
              <c:pt idx="1278">
                <c:v>745.46</c:v>
              </c:pt>
              <c:pt idx="1279">
                <c:v>768.82</c:v>
              </c:pt>
              <c:pt idx="1280">
                <c:v>733.37333333333333</c:v>
              </c:pt>
              <c:pt idx="1281">
                <c:v>694.41499999999996</c:v>
              </c:pt>
              <c:pt idx="1282">
                <c:v>662.19</c:v>
              </c:pt>
              <c:pt idx="1283">
                <c:v>696.85</c:v>
              </c:pt>
              <c:pt idx="1284">
                <c:v>734.46499999999992</c:v>
              </c:pt>
              <c:pt idx="1285">
                <c:v>768.13</c:v>
              </c:pt>
              <c:pt idx="1286">
                <c:v>685.94</c:v>
              </c:pt>
              <c:pt idx="1287">
                <c:v>630.79</c:v>
              </c:pt>
              <c:pt idx="1288">
                <c:v>792.78</c:v>
              </c:pt>
              <c:pt idx="1289">
                <c:v>686.54</c:v>
              </c:pt>
              <c:pt idx="1290">
                <c:v>798.79</c:v>
              </c:pt>
              <c:pt idx="1291">
                <c:v>634.47</c:v>
              </c:pt>
              <c:pt idx="1292">
                <c:v>728.58</c:v>
              </c:pt>
              <c:pt idx="1293">
                <c:v>719.34</c:v>
              </c:pt>
              <c:pt idx="1294">
                <c:v>712.35</c:v>
              </c:pt>
              <c:pt idx="1295">
                <c:v>638.51</c:v>
              </c:pt>
              <c:pt idx="1296">
                <c:v>726.54</c:v>
              </c:pt>
              <c:pt idx="1297">
                <c:v>740.3</c:v>
              </c:pt>
              <c:pt idx="1298">
                <c:v>600.41999999999996</c:v>
              </c:pt>
              <c:pt idx="1299">
                <c:v>680.4</c:v>
              </c:pt>
              <c:pt idx="1300">
                <c:v>666.82</c:v>
              </c:pt>
              <c:pt idx="1301">
                <c:v>800.56</c:v>
              </c:pt>
              <c:pt idx="1302">
                <c:v>635.57000000000005</c:v>
              </c:pt>
              <c:pt idx="1303">
                <c:v>714.86</c:v>
              </c:pt>
              <c:pt idx="1304">
                <c:v>615.53</c:v>
              </c:pt>
              <c:pt idx="1305">
                <c:v>674.46</c:v>
              </c:pt>
              <c:pt idx="1306">
                <c:v>669.53500000000008</c:v>
              </c:pt>
              <c:pt idx="1307">
                <c:v>621.96</c:v>
              </c:pt>
              <c:pt idx="1308">
                <c:v>704.89</c:v>
              </c:pt>
              <c:pt idx="1309">
                <c:v>668.97</c:v>
              </c:pt>
              <c:pt idx="1310">
                <c:v>592.16</c:v>
              </c:pt>
              <c:pt idx="1311">
                <c:v>660.99</c:v>
              </c:pt>
              <c:pt idx="1312">
                <c:v>688.34</c:v>
              </c:pt>
              <c:pt idx="1313">
                <c:v>727.52</c:v>
              </c:pt>
              <c:pt idx="1314">
                <c:v>701.07</c:v>
              </c:pt>
              <c:pt idx="1315">
                <c:v>622.46</c:v>
              </c:pt>
              <c:pt idx="1316">
                <c:v>693.6</c:v>
              </c:pt>
              <c:pt idx="1317">
                <c:v>767.42</c:v>
              </c:pt>
              <c:pt idx="1318">
                <c:v>836.19</c:v>
              </c:pt>
              <c:pt idx="1319">
                <c:v>706.24</c:v>
              </c:pt>
              <c:pt idx="1320">
                <c:v>809.63</c:v>
              </c:pt>
              <c:pt idx="1321">
                <c:v>754.46</c:v>
              </c:pt>
              <c:pt idx="1322">
                <c:v>758.98</c:v>
              </c:pt>
              <c:pt idx="1323">
                <c:v>685.56</c:v>
              </c:pt>
              <c:pt idx="1324">
                <c:v>694.7</c:v>
              </c:pt>
              <c:pt idx="1325">
                <c:v>572.85</c:v>
              </c:pt>
              <c:pt idx="1326">
                <c:v>754.66</c:v>
              </c:pt>
              <c:pt idx="1327">
                <c:v>724.81</c:v>
              </c:pt>
              <c:pt idx="1328">
                <c:v>740</c:v>
              </c:pt>
              <c:pt idx="1329">
                <c:v>741.25</c:v>
              </c:pt>
              <c:pt idx="1330">
                <c:v>726.91</c:v>
              </c:pt>
              <c:pt idx="1331">
                <c:v>657.94</c:v>
              </c:pt>
              <c:pt idx="1332">
                <c:v>752.58333333333337</c:v>
              </c:pt>
              <c:pt idx="1333">
                <c:v>784.69</c:v>
              </c:pt>
              <c:pt idx="1334">
                <c:v>718.69</c:v>
              </c:pt>
              <c:pt idx="1335">
                <c:v>683.09</c:v>
              </c:pt>
              <c:pt idx="1336">
                <c:v>795.25</c:v>
              </c:pt>
              <c:pt idx="1337">
                <c:v>721.07</c:v>
              </c:pt>
              <c:pt idx="1338">
                <c:v>671.77</c:v>
              </c:pt>
              <c:pt idx="1339">
                <c:v>694.54</c:v>
              </c:pt>
              <c:pt idx="1340">
                <c:v>803.81</c:v>
              </c:pt>
              <c:pt idx="1341">
                <c:v>850</c:v>
              </c:pt>
              <c:pt idx="1342">
                <c:v>728.8</c:v>
              </c:pt>
              <c:pt idx="1343">
                <c:v>737.05</c:v>
              </c:pt>
              <c:pt idx="1344">
                <c:v>684.2</c:v>
              </c:pt>
              <c:pt idx="1345">
                <c:v>726.23</c:v>
              </c:pt>
              <c:pt idx="1346">
                <c:v>631.37</c:v>
              </c:pt>
              <c:pt idx="1347">
                <c:v>724.22</c:v>
              </c:pt>
              <c:pt idx="1348">
                <c:v>773.15</c:v>
              </c:pt>
              <c:pt idx="1349">
                <c:v>751.81</c:v>
              </c:pt>
              <c:pt idx="1350">
                <c:v>792.92</c:v>
              </c:pt>
              <c:pt idx="1351">
                <c:v>661.3</c:v>
              </c:pt>
              <c:pt idx="1352">
                <c:v>706.23</c:v>
              </c:pt>
              <c:pt idx="1353">
                <c:v>824.85500000000002</c:v>
              </c:pt>
              <c:pt idx="1354">
                <c:v>682.18</c:v>
              </c:pt>
              <c:pt idx="1355">
                <c:v>688.36</c:v>
              </c:pt>
              <c:pt idx="1356">
                <c:v>733.92499999999995</c:v>
              </c:pt>
              <c:pt idx="1357">
                <c:v>688.11</c:v>
              </c:pt>
              <c:pt idx="1358">
                <c:v>686.48</c:v>
              </c:pt>
              <c:pt idx="1359">
                <c:v>788.41</c:v>
              </c:pt>
              <c:pt idx="1360">
                <c:v>719.43</c:v>
              </c:pt>
              <c:pt idx="1361">
                <c:v>677.96</c:v>
              </c:pt>
              <c:pt idx="1362">
                <c:v>850</c:v>
              </c:pt>
              <c:pt idx="1363">
                <c:v>700.42</c:v>
              </c:pt>
              <c:pt idx="1364">
                <c:v>687.67</c:v>
              </c:pt>
              <c:pt idx="1365">
                <c:v>698.47</c:v>
              </c:pt>
              <c:pt idx="1366">
                <c:v>794.3</c:v>
              </c:pt>
              <c:pt idx="1367">
                <c:v>718.45499999999993</c:v>
              </c:pt>
              <c:pt idx="1368">
                <c:v>726.69</c:v>
              </c:pt>
              <c:pt idx="1369">
                <c:v>682.62</c:v>
              </c:pt>
              <c:pt idx="1370">
                <c:v>744.28</c:v>
              </c:pt>
              <c:pt idx="1371">
                <c:v>733.4</c:v>
              </c:pt>
              <c:pt idx="1372">
                <c:v>728.29</c:v>
              </c:pt>
              <c:pt idx="1373">
                <c:v>684.39</c:v>
              </c:pt>
              <c:pt idx="1374">
                <c:v>792.43</c:v>
              </c:pt>
              <c:pt idx="1375">
                <c:v>671.29</c:v>
              </c:pt>
              <c:pt idx="1376">
                <c:v>654.83000000000004</c:v>
              </c:pt>
              <c:pt idx="1377">
                <c:v>668.36</c:v>
              </c:pt>
              <c:pt idx="1378">
                <c:v>670.26</c:v>
              </c:pt>
              <c:pt idx="1379">
                <c:v>766.98</c:v>
              </c:pt>
              <c:pt idx="1380">
                <c:v>753.35</c:v>
              </c:pt>
              <c:pt idx="1381">
                <c:v>792.22</c:v>
              </c:pt>
              <c:pt idx="1382">
                <c:v>656.38</c:v>
              </c:pt>
              <c:pt idx="1383">
                <c:v>739.42</c:v>
              </c:pt>
              <c:pt idx="1384">
                <c:v>850</c:v>
              </c:pt>
              <c:pt idx="1385">
                <c:v>628.1</c:v>
              </c:pt>
              <c:pt idx="1386">
                <c:v>772.05</c:v>
              </c:pt>
              <c:pt idx="1387">
                <c:v>757.79</c:v>
              </c:pt>
              <c:pt idx="1388">
                <c:v>749.27</c:v>
              </c:pt>
              <c:pt idx="1389">
                <c:v>828.29</c:v>
              </c:pt>
              <c:pt idx="1390">
                <c:v>698.02</c:v>
              </c:pt>
              <c:pt idx="1391">
                <c:v>690.76</c:v>
              </c:pt>
              <c:pt idx="1392">
                <c:v>730.48</c:v>
              </c:pt>
              <c:pt idx="1393">
                <c:v>669.75</c:v>
              </c:pt>
              <c:pt idx="1394">
                <c:v>804.21</c:v>
              </c:pt>
              <c:pt idx="1395">
                <c:v>699.89499999999998</c:v>
              </c:pt>
              <c:pt idx="1396">
                <c:v>817.33</c:v>
              </c:pt>
              <c:pt idx="1397">
                <c:v>648.55999999999995</c:v>
              </c:pt>
              <c:pt idx="1398">
                <c:v>661.23</c:v>
              </c:pt>
              <c:pt idx="1399">
                <c:v>647.13</c:v>
              </c:pt>
              <c:pt idx="1400">
                <c:v>716.85</c:v>
              </c:pt>
              <c:pt idx="1401">
                <c:v>746.95</c:v>
              </c:pt>
              <c:pt idx="1402">
                <c:v>819.39</c:v>
              </c:pt>
              <c:pt idx="1403">
                <c:v>664.9</c:v>
              </c:pt>
              <c:pt idx="1404">
                <c:v>737.31</c:v>
              </c:pt>
              <c:pt idx="1405">
                <c:v>725.87</c:v>
              </c:pt>
              <c:pt idx="1406">
                <c:v>698.6</c:v>
              </c:pt>
              <c:pt idx="1407">
                <c:v>805.5</c:v>
              </c:pt>
              <c:pt idx="1408">
                <c:v>750.62</c:v>
              </c:pt>
              <c:pt idx="1409">
                <c:v>734.11500000000001</c:v>
              </c:pt>
              <c:pt idx="1410">
                <c:v>612.79</c:v>
              </c:pt>
              <c:pt idx="1411">
                <c:v>710.58</c:v>
              </c:pt>
              <c:pt idx="1412">
                <c:v>820.04</c:v>
              </c:pt>
              <c:pt idx="1413">
                <c:v>701.79</c:v>
              </c:pt>
              <c:pt idx="1414">
                <c:v>783.74</c:v>
              </c:pt>
              <c:pt idx="1415">
                <c:v>705.61</c:v>
              </c:pt>
              <c:pt idx="1416">
                <c:v>762.1</c:v>
              </c:pt>
              <c:pt idx="1417">
                <c:v>757.41</c:v>
              </c:pt>
              <c:pt idx="1418">
                <c:v>704.11</c:v>
              </c:pt>
              <c:pt idx="1419">
                <c:v>727.39</c:v>
              </c:pt>
              <c:pt idx="1420">
                <c:v>780.44</c:v>
              </c:pt>
              <c:pt idx="1421">
                <c:v>729.27666666666664</c:v>
              </c:pt>
              <c:pt idx="1422">
                <c:v>657.89</c:v>
              </c:pt>
              <c:pt idx="1423">
                <c:v>723.95</c:v>
              </c:pt>
              <c:pt idx="1424">
                <c:v>589.89</c:v>
              </c:pt>
              <c:pt idx="1425">
                <c:v>672.57</c:v>
              </c:pt>
              <c:pt idx="1426">
                <c:v>726.69</c:v>
              </c:pt>
              <c:pt idx="1427">
                <c:v>775.18</c:v>
              </c:pt>
              <c:pt idx="1428">
                <c:v>734.78</c:v>
              </c:pt>
              <c:pt idx="1429">
                <c:v>681.75</c:v>
              </c:pt>
              <c:pt idx="1430">
                <c:v>783.68</c:v>
              </c:pt>
              <c:pt idx="1431">
                <c:v>699.29</c:v>
              </c:pt>
              <c:pt idx="1432">
                <c:v>780.61</c:v>
              </c:pt>
              <c:pt idx="1433">
                <c:v>719.3</c:v>
              </c:pt>
              <c:pt idx="1434">
                <c:v>810.01</c:v>
              </c:pt>
              <c:pt idx="1435">
                <c:v>788.31</c:v>
              </c:pt>
              <c:pt idx="1436">
                <c:v>805.09</c:v>
              </c:pt>
              <c:pt idx="1437">
                <c:v>708.01</c:v>
              </c:pt>
              <c:pt idx="1438">
                <c:v>717.78</c:v>
              </c:pt>
              <c:pt idx="1439">
                <c:v>739.58</c:v>
              </c:pt>
              <c:pt idx="1440">
                <c:v>757.52</c:v>
              </c:pt>
              <c:pt idx="1441">
                <c:v>732.6</c:v>
              </c:pt>
              <c:pt idx="1442">
                <c:v>809.81</c:v>
              </c:pt>
              <c:pt idx="1443">
                <c:v>672.85</c:v>
              </c:pt>
              <c:pt idx="1444">
                <c:v>633.65</c:v>
              </c:pt>
              <c:pt idx="1445">
                <c:v>746.16</c:v>
              </c:pt>
              <c:pt idx="1446">
                <c:v>626.4</c:v>
              </c:pt>
              <c:pt idx="1447">
                <c:v>732.32</c:v>
              </c:pt>
              <c:pt idx="1448">
                <c:v>675.05</c:v>
              </c:pt>
              <c:pt idx="1449">
                <c:v>623.70000000000005</c:v>
              </c:pt>
              <c:pt idx="1450">
                <c:v>678.07</c:v>
              </c:pt>
              <c:pt idx="1451">
                <c:v>817.25</c:v>
              </c:pt>
              <c:pt idx="1452">
                <c:v>733.89</c:v>
              </c:pt>
              <c:pt idx="1453">
                <c:v>690.35</c:v>
              </c:pt>
              <c:pt idx="1454">
                <c:v>702.52</c:v>
              </c:pt>
              <c:pt idx="1455">
                <c:v>672.88</c:v>
              </c:pt>
              <c:pt idx="1456">
                <c:v>724.65</c:v>
              </c:pt>
              <c:pt idx="1457">
                <c:v>752.8</c:v>
              </c:pt>
              <c:pt idx="1458">
                <c:v>749.05</c:v>
              </c:pt>
              <c:pt idx="1459">
                <c:v>785.62</c:v>
              </c:pt>
              <c:pt idx="1460">
                <c:v>730.12</c:v>
              </c:pt>
              <c:pt idx="1461">
                <c:v>762.53</c:v>
              </c:pt>
              <c:pt idx="1462">
                <c:v>785.3</c:v>
              </c:pt>
              <c:pt idx="1463">
                <c:v>700.64</c:v>
              </c:pt>
              <c:pt idx="1464">
                <c:v>697.31</c:v>
              </c:pt>
              <c:pt idx="1465">
                <c:v>761.64</c:v>
              </c:pt>
              <c:pt idx="1466">
                <c:v>794.44</c:v>
              </c:pt>
              <c:pt idx="1467">
                <c:v>723.81</c:v>
              </c:pt>
              <c:pt idx="1468">
                <c:v>786.5</c:v>
              </c:pt>
              <c:pt idx="1469">
                <c:v>650.86</c:v>
              </c:pt>
              <c:pt idx="1470">
                <c:v>731.76</c:v>
              </c:pt>
              <c:pt idx="1471">
                <c:v>684.03</c:v>
              </c:pt>
              <c:pt idx="1472">
                <c:v>804.68</c:v>
              </c:pt>
              <c:pt idx="1473">
                <c:v>623.17999999999995</c:v>
              </c:pt>
              <c:pt idx="1474">
                <c:v>770.72</c:v>
              </c:pt>
              <c:pt idx="1475">
                <c:v>761.38</c:v>
              </c:pt>
              <c:pt idx="1476">
                <c:v>797.64</c:v>
              </c:pt>
              <c:pt idx="1477">
                <c:v>749.72</c:v>
              </c:pt>
              <c:pt idx="1478">
                <c:v>773.87</c:v>
              </c:pt>
              <c:pt idx="1479">
                <c:v>811.8</c:v>
              </c:pt>
              <c:pt idx="1480">
                <c:v>626.87</c:v>
              </c:pt>
              <c:pt idx="1481">
                <c:v>781.23</c:v>
              </c:pt>
              <c:pt idx="1482">
                <c:v>796.15</c:v>
              </c:pt>
              <c:pt idx="1483">
                <c:v>694.41</c:v>
              </c:pt>
              <c:pt idx="1484">
                <c:v>684.57</c:v>
              </c:pt>
              <c:pt idx="1485">
                <c:v>733.2</c:v>
              </c:pt>
              <c:pt idx="1486">
                <c:v>715.6</c:v>
              </c:pt>
              <c:pt idx="1487">
                <c:v>626.41</c:v>
              </c:pt>
              <c:pt idx="1488">
                <c:v>850</c:v>
              </c:pt>
              <c:pt idx="1489">
                <c:v>755.28</c:v>
              </c:pt>
              <c:pt idx="1490">
                <c:v>702.86</c:v>
              </c:pt>
              <c:pt idx="1491">
                <c:v>736.64</c:v>
              </c:pt>
              <c:pt idx="1492">
                <c:v>794.19</c:v>
              </c:pt>
              <c:pt idx="1493">
                <c:v>662.74</c:v>
              </c:pt>
              <c:pt idx="1494">
                <c:v>702.32</c:v>
              </c:pt>
              <c:pt idx="1495">
                <c:v>696.41</c:v>
              </c:pt>
              <c:pt idx="1496">
                <c:v>719.35</c:v>
              </c:pt>
              <c:pt idx="1497">
                <c:v>712.95</c:v>
              </c:pt>
              <c:pt idx="1498">
                <c:v>730.2</c:v>
              </c:pt>
              <c:pt idx="1499">
                <c:v>804</c:v>
              </c:pt>
              <c:pt idx="1500">
                <c:v>652.94000000000005</c:v>
              </c:pt>
              <c:pt idx="1501">
                <c:v>764.18</c:v>
              </c:pt>
              <c:pt idx="1502">
                <c:v>627.25</c:v>
              </c:pt>
              <c:pt idx="1503">
                <c:v>610.99</c:v>
              </c:pt>
              <c:pt idx="1504">
                <c:v>849.41</c:v>
              </c:pt>
              <c:pt idx="1505">
                <c:v>792.84</c:v>
              </c:pt>
              <c:pt idx="1506">
                <c:v>748.55</c:v>
              </c:pt>
              <c:pt idx="1507">
                <c:v>653.86</c:v>
              </c:pt>
              <c:pt idx="1508">
                <c:v>663.39</c:v>
              </c:pt>
              <c:pt idx="1509">
                <c:v>737.57</c:v>
              </c:pt>
              <c:pt idx="1510">
                <c:v>720.88</c:v>
              </c:pt>
              <c:pt idx="1511">
                <c:v>746.83</c:v>
              </c:pt>
              <c:pt idx="1512">
                <c:v>701.5</c:v>
              </c:pt>
              <c:pt idx="1513">
                <c:v>789.52</c:v>
              </c:pt>
              <c:pt idx="1514">
                <c:v>850</c:v>
              </c:pt>
              <c:pt idx="1515">
                <c:v>698.9</c:v>
              </c:pt>
              <c:pt idx="1516">
                <c:v>715.08</c:v>
              </c:pt>
              <c:pt idx="1517">
                <c:v>730.25</c:v>
              </c:pt>
              <c:pt idx="1518">
                <c:v>820.88</c:v>
              </c:pt>
              <c:pt idx="1519">
                <c:v>724.77</c:v>
              </c:pt>
              <c:pt idx="1520">
                <c:v>653.71</c:v>
              </c:pt>
              <c:pt idx="1521">
                <c:v>680.61</c:v>
              </c:pt>
              <c:pt idx="1522">
                <c:v>700.5</c:v>
              </c:pt>
              <c:pt idx="1523">
                <c:v>644.29999999999995</c:v>
              </c:pt>
              <c:pt idx="1524">
                <c:v>669.83500000000004</c:v>
              </c:pt>
              <c:pt idx="1525">
                <c:v>846.06</c:v>
              </c:pt>
              <c:pt idx="1526">
                <c:v>744.15</c:v>
              </c:pt>
              <c:pt idx="1527">
                <c:v>716.73</c:v>
              </c:pt>
              <c:pt idx="1528">
                <c:v>785.32</c:v>
              </c:pt>
              <c:pt idx="1529">
                <c:v>750.32</c:v>
              </c:pt>
              <c:pt idx="1530">
                <c:v>647.39</c:v>
              </c:pt>
              <c:pt idx="1531">
                <c:v>802.09</c:v>
              </c:pt>
              <c:pt idx="1532">
                <c:v>764.37</c:v>
              </c:pt>
              <c:pt idx="1533">
                <c:v>770.63</c:v>
              </c:pt>
              <c:pt idx="1534">
                <c:v>702.71</c:v>
              </c:pt>
              <c:pt idx="1535">
                <c:v>669.17</c:v>
              </c:pt>
              <c:pt idx="1536">
                <c:v>676.92</c:v>
              </c:pt>
              <c:pt idx="1537">
                <c:v>738.82500000000005</c:v>
              </c:pt>
              <c:pt idx="1538">
                <c:v>689.66</c:v>
              </c:pt>
              <c:pt idx="1539">
                <c:v>686.92</c:v>
              </c:pt>
              <c:pt idx="1540">
                <c:v>736.57</c:v>
              </c:pt>
              <c:pt idx="1541">
                <c:v>809.53</c:v>
              </c:pt>
              <c:pt idx="1542">
                <c:v>680.68000000000006</c:v>
              </c:pt>
              <c:pt idx="1543">
                <c:v>807.74</c:v>
              </c:pt>
              <c:pt idx="1544">
                <c:v>698.12</c:v>
              </c:pt>
              <c:pt idx="1545">
                <c:v>743.62</c:v>
              </c:pt>
              <c:pt idx="1546">
                <c:v>585.6</c:v>
              </c:pt>
              <c:pt idx="1547">
                <c:v>731.17</c:v>
              </c:pt>
              <c:pt idx="1548">
                <c:v>719.45</c:v>
              </c:pt>
              <c:pt idx="1549">
                <c:v>739.22</c:v>
              </c:pt>
              <c:pt idx="1550">
                <c:v>679.21</c:v>
              </c:pt>
              <c:pt idx="1551">
                <c:v>785.91</c:v>
              </c:pt>
              <c:pt idx="1552">
                <c:v>755.625</c:v>
              </c:pt>
              <c:pt idx="1553">
                <c:v>765.2</c:v>
              </c:pt>
              <c:pt idx="1554">
                <c:v>770.12</c:v>
              </c:pt>
              <c:pt idx="1555">
                <c:v>742.68</c:v>
              </c:pt>
              <c:pt idx="1556">
                <c:v>689.02</c:v>
              </c:pt>
              <c:pt idx="1557">
                <c:v>710.7</c:v>
              </c:pt>
              <c:pt idx="1558">
                <c:v>764.78</c:v>
              </c:pt>
              <c:pt idx="1559">
                <c:v>671.78</c:v>
              </c:pt>
              <c:pt idx="1560">
                <c:v>613.20000000000005</c:v>
              </c:pt>
              <c:pt idx="1561">
                <c:v>745.25</c:v>
              </c:pt>
              <c:pt idx="1562">
                <c:v>754.42</c:v>
              </c:pt>
              <c:pt idx="1563">
                <c:v>789.28</c:v>
              </c:pt>
              <c:pt idx="1564">
                <c:v>771.69</c:v>
              </c:pt>
              <c:pt idx="1565">
                <c:v>645.9</c:v>
              </c:pt>
              <c:pt idx="1566">
                <c:v>736.46</c:v>
              </c:pt>
              <c:pt idx="1567">
                <c:v>699.22</c:v>
              </c:pt>
              <c:pt idx="1568">
                <c:v>791.26</c:v>
              </c:pt>
              <c:pt idx="1569">
                <c:v>659.95</c:v>
              </c:pt>
              <c:pt idx="1570">
                <c:v>694.31</c:v>
              </c:pt>
              <c:pt idx="1571">
                <c:v>693.57</c:v>
              </c:pt>
              <c:pt idx="1572">
                <c:v>849.53</c:v>
              </c:pt>
              <c:pt idx="1573">
                <c:v>669.16</c:v>
              </c:pt>
              <c:pt idx="1574">
                <c:v>850</c:v>
              </c:pt>
              <c:pt idx="1575">
                <c:v>596.52</c:v>
              </c:pt>
              <c:pt idx="1576">
                <c:v>702.51</c:v>
              </c:pt>
              <c:pt idx="1577">
                <c:v>845.36</c:v>
              </c:pt>
              <c:pt idx="1578">
                <c:v>829.73</c:v>
              </c:pt>
              <c:pt idx="1579">
                <c:v>679.61</c:v>
              </c:pt>
              <c:pt idx="1580">
                <c:v>769.42</c:v>
              </c:pt>
              <c:pt idx="1581">
                <c:v>706.52</c:v>
              </c:pt>
              <c:pt idx="1582">
                <c:v>708.88</c:v>
              </c:pt>
              <c:pt idx="1583">
                <c:v>697.36</c:v>
              </c:pt>
              <c:pt idx="1584">
                <c:v>703.06</c:v>
              </c:pt>
              <c:pt idx="1585">
                <c:v>673.7</c:v>
              </c:pt>
              <c:pt idx="1586">
                <c:v>719.72</c:v>
              </c:pt>
              <c:pt idx="1587">
                <c:v>734.59</c:v>
              </c:pt>
              <c:pt idx="1588">
                <c:v>725.92</c:v>
              </c:pt>
              <c:pt idx="1589">
                <c:v>726.19</c:v>
              </c:pt>
              <c:pt idx="1590">
                <c:v>805.56</c:v>
              </c:pt>
              <c:pt idx="1591">
                <c:v>744.33</c:v>
              </c:pt>
              <c:pt idx="1592">
                <c:v>696.18</c:v>
              </c:pt>
              <c:pt idx="1593">
                <c:v>716.34999999999991</c:v>
              </c:pt>
              <c:pt idx="1594">
                <c:v>696.4</c:v>
              </c:pt>
              <c:pt idx="1595">
                <c:v>727.08</c:v>
              </c:pt>
              <c:pt idx="1596">
                <c:v>813.71</c:v>
              </c:pt>
              <c:pt idx="1597">
                <c:v>697.55</c:v>
              </c:pt>
              <c:pt idx="1598">
                <c:v>632.36</c:v>
              </c:pt>
              <c:pt idx="1599">
                <c:v>779.61</c:v>
              </c:pt>
              <c:pt idx="1600">
                <c:v>742.09</c:v>
              </c:pt>
              <c:pt idx="1601">
                <c:v>798.53</c:v>
              </c:pt>
              <c:pt idx="1602">
                <c:v>806.42</c:v>
              </c:pt>
              <c:pt idx="1603">
                <c:v>741.72</c:v>
              </c:pt>
              <c:pt idx="1604">
                <c:v>726.76</c:v>
              </c:pt>
              <c:pt idx="1605">
                <c:v>726.27</c:v>
              </c:pt>
              <c:pt idx="1606">
                <c:v>786.52</c:v>
              </c:pt>
              <c:pt idx="1607">
                <c:v>729.21</c:v>
              </c:pt>
              <c:pt idx="1608">
                <c:v>784.29</c:v>
              </c:pt>
              <c:pt idx="1609">
                <c:v>831.17</c:v>
              </c:pt>
              <c:pt idx="1610">
                <c:v>733.79207407407387</c:v>
              </c:pt>
            </c:numLit>
          </c:val>
          <c:extLst>
            <c:ext xmlns:c16="http://schemas.microsoft.com/office/drawing/2014/chart" uri="{C3380CC4-5D6E-409C-BE32-E72D297353CC}">
              <c16:uniqueId val="{00000000-9D7A-4E40-AEB3-20AB99C26142}"/>
            </c:ext>
          </c:extLst>
        </c:ser>
        <c:dLbls>
          <c:showLegendKey val="0"/>
          <c:showVal val="0"/>
          <c:showCatName val="0"/>
          <c:showSerName val="0"/>
          <c:showPercent val="0"/>
          <c:showBubbleSize val="0"/>
        </c:dLbls>
        <c:axId val="551361583"/>
        <c:axId val="551358703"/>
      </c:areaChart>
      <c:catAx>
        <c:axId val="55136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58703"/>
        <c:crosses val="autoZero"/>
        <c:auto val="1"/>
        <c:lblAlgn val="ctr"/>
        <c:lblOffset val="100"/>
        <c:noMultiLvlLbl val="0"/>
      </c:catAx>
      <c:valAx>
        <c:axId val="55135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61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alpha val="74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90488</xdr:colOff>
      <xdr:row>0</xdr:row>
      <xdr:rowOff>47625</xdr:rowOff>
    </xdr:from>
    <xdr:to>
      <xdr:col>20</xdr:col>
      <xdr:colOff>247650</xdr:colOff>
      <xdr:row>62</xdr:row>
      <xdr:rowOff>161925</xdr:rowOff>
    </xdr:to>
    <xdr:sp macro="" textlink="">
      <xdr:nvSpPr>
        <xdr:cNvPr id="2" name="Rectangle 1">
          <a:extLst>
            <a:ext uri="{FF2B5EF4-FFF2-40B4-BE49-F238E27FC236}">
              <a16:creationId xmlns:a16="http://schemas.microsoft.com/office/drawing/2014/main" id="{189BC9B1-0CAC-CDEA-2638-DF75F61D8F0F}"/>
            </a:ext>
          </a:extLst>
        </xdr:cNvPr>
        <xdr:cNvSpPr/>
      </xdr:nvSpPr>
      <xdr:spPr>
        <a:xfrm>
          <a:off x="90488" y="47625"/>
          <a:ext cx="13111162" cy="11334750"/>
        </a:xfrm>
        <a:prstGeom prst="rect">
          <a:avLst/>
        </a:prstGeom>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161926</xdr:colOff>
      <xdr:row>0</xdr:row>
      <xdr:rowOff>128588</xdr:rowOff>
    </xdr:from>
    <xdr:to>
      <xdr:col>6</xdr:col>
      <xdr:colOff>542926</xdr:colOff>
      <xdr:row>14</xdr:row>
      <xdr:rowOff>33338</xdr:rowOff>
    </xdr:to>
    <xdr:graphicFrame macro="">
      <xdr:nvGraphicFramePr>
        <xdr:cNvPr id="3" name="Chart 2">
          <a:extLst>
            <a:ext uri="{FF2B5EF4-FFF2-40B4-BE49-F238E27FC236}">
              <a16:creationId xmlns:a16="http://schemas.microsoft.com/office/drawing/2014/main" id="{E5AA9BDF-CD99-42E6-8A27-209E8CF88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642938</xdr:colOff>
      <xdr:row>0</xdr:row>
      <xdr:rowOff>138113</xdr:rowOff>
    </xdr:from>
    <xdr:to>
      <xdr:col>14</xdr:col>
      <xdr:colOff>33338</xdr:colOff>
      <xdr:row>14</xdr:row>
      <xdr:rowOff>33339</xdr:rowOff>
    </xdr:to>
    <xdr:graphicFrame macro="">
      <xdr:nvGraphicFramePr>
        <xdr:cNvPr id="4" name="Chart 3">
          <a:extLst>
            <a:ext uri="{FF2B5EF4-FFF2-40B4-BE49-F238E27FC236}">
              <a16:creationId xmlns:a16="http://schemas.microsoft.com/office/drawing/2014/main" id="{855CAA6D-71DA-4A4F-B785-203B38D6A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142875</xdr:colOff>
      <xdr:row>0</xdr:row>
      <xdr:rowOff>133350</xdr:rowOff>
    </xdr:from>
    <xdr:to>
      <xdr:col>20</xdr:col>
      <xdr:colOff>161925</xdr:colOff>
      <xdr:row>14</xdr:row>
      <xdr:rowOff>38100</xdr:rowOff>
    </xdr:to>
    <xdr:graphicFrame macro="">
      <xdr:nvGraphicFramePr>
        <xdr:cNvPr id="5" name="Chart 4">
          <a:extLst>
            <a:ext uri="{FF2B5EF4-FFF2-40B4-BE49-F238E27FC236}">
              <a16:creationId xmlns:a16="http://schemas.microsoft.com/office/drawing/2014/main" id="{10AA1984-5574-40EB-AEEB-B09954286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157163</xdr:colOff>
      <xdr:row>14</xdr:row>
      <xdr:rowOff>133350</xdr:rowOff>
    </xdr:from>
    <xdr:to>
      <xdr:col>6</xdr:col>
      <xdr:colOff>547688</xdr:colOff>
      <xdr:row>29</xdr:row>
      <xdr:rowOff>142875</xdr:rowOff>
    </xdr:to>
    <xdr:graphicFrame macro="">
      <xdr:nvGraphicFramePr>
        <xdr:cNvPr id="6" name="Chart 5">
          <a:extLst>
            <a:ext uri="{FF2B5EF4-FFF2-40B4-BE49-F238E27FC236}">
              <a16:creationId xmlns:a16="http://schemas.microsoft.com/office/drawing/2014/main" id="{4E0A3410-9AB0-4860-9D4C-39CA118AA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4763</xdr:colOff>
      <xdr:row>14</xdr:row>
      <xdr:rowOff>138113</xdr:rowOff>
    </xdr:from>
    <xdr:to>
      <xdr:col>14</xdr:col>
      <xdr:colOff>42863</xdr:colOff>
      <xdr:row>29</xdr:row>
      <xdr:rowOff>152400</xdr:rowOff>
    </xdr:to>
    <xdr:graphicFrame macro="">
      <xdr:nvGraphicFramePr>
        <xdr:cNvPr id="7" name="Chart 6">
          <a:extLst>
            <a:ext uri="{FF2B5EF4-FFF2-40B4-BE49-F238E27FC236}">
              <a16:creationId xmlns:a16="http://schemas.microsoft.com/office/drawing/2014/main" id="{50EAE70E-F228-40E1-954D-B50BBF669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142875</xdr:colOff>
      <xdr:row>14</xdr:row>
      <xdr:rowOff>128587</xdr:rowOff>
    </xdr:from>
    <xdr:to>
      <xdr:col>20</xdr:col>
      <xdr:colOff>171450</xdr:colOff>
      <xdr:row>29</xdr:row>
      <xdr:rowOff>157162</xdr:rowOff>
    </xdr:to>
    <xdr:graphicFrame macro="">
      <xdr:nvGraphicFramePr>
        <xdr:cNvPr id="8" name="Chart 7">
          <a:extLst>
            <a:ext uri="{FF2B5EF4-FFF2-40B4-BE49-F238E27FC236}">
              <a16:creationId xmlns:a16="http://schemas.microsoft.com/office/drawing/2014/main" id="{3F5215B8-A38C-4121-9D0C-383E51105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157164</xdr:colOff>
      <xdr:row>30</xdr:row>
      <xdr:rowOff>42863</xdr:rowOff>
    </xdr:from>
    <xdr:to>
      <xdr:col>6</xdr:col>
      <xdr:colOff>552450</xdr:colOff>
      <xdr:row>45</xdr:row>
      <xdr:rowOff>71438</xdr:rowOff>
    </xdr:to>
    <xdr:graphicFrame macro="">
      <xdr:nvGraphicFramePr>
        <xdr:cNvPr id="9" name="Chart 8">
          <a:extLst>
            <a:ext uri="{FF2B5EF4-FFF2-40B4-BE49-F238E27FC236}">
              <a16:creationId xmlns:a16="http://schemas.microsoft.com/office/drawing/2014/main" id="{E01BF51F-EE2D-4DB6-9D6F-51BC761C1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4763</xdr:colOff>
      <xdr:row>30</xdr:row>
      <xdr:rowOff>52387</xdr:rowOff>
    </xdr:from>
    <xdr:to>
      <xdr:col>14</xdr:col>
      <xdr:colOff>42863</xdr:colOff>
      <xdr:row>45</xdr:row>
      <xdr:rowOff>80962</xdr:rowOff>
    </xdr:to>
    <xdr:graphicFrame macro="">
      <xdr:nvGraphicFramePr>
        <xdr:cNvPr id="10" name="Chart 9">
          <a:extLst>
            <a:ext uri="{FF2B5EF4-FFF2-40B4-BE49-F238E27FC236}">
              <a16:creationId xmlns:a16="http://schemas.microsoft.com/office/drawing/2014/main" id="{FBB3CE54-E1B1-4F0E-A0A7-7A20FE0DB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147638</xdr:colOff>
      <xdr:row>30</xdr:row>
      <xdr:rowOff>61914</xdr:rowOff>
    </xdr:from>
    <xdr:to>
      <xdr:col>20</xdr:col>
      <xdr:colOff>171450</xdr:colOff>
      <xdr:row>45</xdr:row>
      <xdr:rowOff>90489</xdr:rowOff>
    </xdr:to>
    <xdr:graphicFrame macro="">
      <xdr:nvGraphicFramePr>
        <xdr:cNvPr id="11" name="Chart 10">
          <a:extLst>
            <a:ext uri="{FF2B5EF4-FFF2-40B4-BE49-F238E27FC236}">
              <a16:creationId xmlns:a16="http://schemas.microsoft.com/office/drawing/2014/main" id="{ACC1654E-E1E7-4EF1-AAC2-83688F9AB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4762</xdr:colOff>
      <xdr:row>45</xdr:row>
      <xdr:rowOff>161925</xdr:rowOff>
    </xdr:from>
    <xdr:to>
      <xdr:col>14</xdr:col>
      <xdr:colOff>42862</xdr:colOff>
      <xdr:row>61</xdr:row>
      <xdr:rowOff>9525</xdr:rowOff>
    </xdr:to>
    <xdr:graphicFrame macro="">
      <xdr:nvGraphicFramePr>
        <xdr:cNvPr id="12" name="Chart 11">
          <a:extLst>
            <a:ext uri="{FF2B5EF4-FFF2-40B4-BE49-F238E27FC236}">
              <a16:creationId xmlns:a16="http://schemas.microsoft.com/office/drawing/2014/main" id="{4558AC6E-2EE0-4FA1-9BAD-74DEC1D9C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259080</xdr:colOff>
      <xdr:row>12</xdr:row>
      <xdr:rowOff>45720</xdr:rowOff>
    </xdr:from>
    <xdr:to>
      <xdr:col>23</xdr:col>
      <xdr:colOff>259080</xdr:colOff>
      <xdr:row>25</xdr:row>
      <xdr:rowOff>135255</xdr:rowOff>
    </xdr:to>
    <mc:AlternateContent xmlns:mc="http://schemas.openxmlformats.org/markup-compatibility/2006">
      <mc:Choice xmlns:a14="http://schemas.microsoft.com/office/drawing/2010/main" Requires="a14">
        <xdr:graphicFrame macro="">
          <xdr:nvGraphicFramePr>
            <xdr:cNvPr id="13" name="Marrital_Status">
              <a:extLst>
                <a:ext uri="{FF2B5EF4-FFF2-40B4-BE49-F238E27FC236}">
                  <a16:creationId xmlns:a16="http://schemas.microsoft.com/office/drawing/2014/main" id="{C831BA47-B599-A097-1417-B39B07840BA9}"/>
                </a:ext>
              </a:extLst>
            </xdr:cNvPr>
            <xdr:cNvGraphicFramePr/>
          </xdr:nvGraphicFramePr>
          <xdr:xfrm>
            <a:off x="0" y="0"/>
            <a:ext cx="0" cy="0"/>
          </xdr:xfrm>
          <a:graphic>
            <a:graphicData uri="http://schemas.microsoft.com/office/drawing/2010/slicer">
              <sle:slicer xmlns:sle="http://schemas.microsoft.com/office/drawing/2010/slicer" name="Marrital_Status"/>
            </a:graphicData>
          </a:graphic>
        </xdr:graphicFrame>
      </mc:Choice>
      <mc:Fallback>
        <xdr:sp macro="" textlink="">
          <xdr:nvSpPr>
            <xdr:cNvPr id="0" name=""/>
            <xdr:cNvSpPr>
              <a:spLocks noTextEdit="1"/>
            </xdr:cNvSpPr>
          </xdr:nvSpPr>
          <xdr:spPr>
            <a:xfrm>
              <a:off x="12451080" y="2240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274320</xdr:colOff>
      <xdr:row>1</xdr:row>
      <xdr:rowOff>144781</xdr:rowOff>
    </xdr:from>
    <xdr:to>
      <xdr:col>23</xdr:col>
      <xdr:colOff>274320</xdr:colOff>
      <xdr:row>11</xdr:row>
      <xdr:rowOff>76201</xdr:rowOff>
    </xdr:to>
    <mc:AlternateContent xmlns:mc="http://schemas.openxmlformats.org/markup-compatibility/2006">
      <mc:Choice xmlns:a14="http://schemas.microsoft.com/office/drawing/2010/main" Requires="a14">
        <xdr:graphicFrame macro="">
          <xdr:nvGraphicFramePr>
            <xdr:cNvPr id="14" name="Utilization_Rate">
              <a:extLst>
                <a:ext uri="{FF2B5EF4-FFF2-40B4-BE49-F238E27FC236}">
                  <a16:creationId xmlns:a16="http://schemas.microsoft.com/office/drawing/2014/main" id="{305CB840-CB9B-BE40-3D88-667BCEA5D513}"/>
                </a:ext>
              </a:extLst>
            </xdr:cNvPr>
            <xdr:cNvGraphicFramePr/>
          </xdr:nvGraphicFramePr>
          <xdr:xfrm>
            <a:off x="0" y="0"/>
            <a:ext cx="0" cy="0"/>
          </xdr:xfrm>
          <a:graphic>
            <a:graphicData uri="http://schemas.microsoft.com/office/drawing/2010/slicer">
              <sle:slicer xmlns:sle="http://schemas.microsoft.com/office/drawing/2010/slicer" name="Utilization_Rate"/>
            </a:graphicData>
          </a:graphic>
        </xdr:graphicFrame>
      </mc:Choice>
      <mc:Fallback>
        <xdr:sp macro="" textlink="">
          <xdr:nvSpPr>
            <xdr:cNvPr id="0" name=""/>
            <xdr:cNvSpPr>
              <a:spLocks noTextEdit="1"/>
            </xdr:cNvSpPr>
          </xdr:nvSpPr>
          <xdr:spPr>
            <a:xfrm>
              <a:off x="12466320" y="327661"/>
              <a:ext cx="1828800" cy="176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8.812538078702" createdVersion="8" refreshedVersion="8" minRefreshableVersion="3" recordCount="2000" xr:uid="{6B16F1F5-238F-4A75-9A4D-E65FC0D17FB9}">
  <cacheSource type="worksheet">
    <worksheetSource name="Table1"/>
  </cacheSource>
  <cacheFields count="16">
    <cacheField name="Name" numFmtId="0">
      <sharedItems count="1972">
        <s v="Allison Hill"/>
        <s v="Noah Rhodes"/>
        <s v="Angie Henderson"/>
        <s v="Daniel Wagner"/>
        <s v="Cristian Santos"/>
        <s v="Connie Lawrence"/>
        <s v="Abigail Shaffer"/>
        <s v="Gina Moore"/>
        <s v="Gabrielle Davis"/>
        <s v="Ryan Munoz"/>
        <s v="Monica Herrera"/>
        <s v="Jamie Arnold"/>
        <s v="Lisa Hensley"/>
        <s v="Michele Williams"/>
        <s v="Dylan Miller"/>
        <s v="Brian Ramirez"/>
        <s v="Holly Wood"/>
        <s v="Derek Zuniga"/>
        <s v="Lisa Jackson"/>
        <s v="Carla Gray"/>
        <s v="Margaret Hawkins DDS"/>
        <s v="Patty Perez"/>
        <s v="Ethan Adams"/>
        <s v="Tommy Walter"/>
        <s v="Matthew Foster"/>
        <s v="Judy Baker"/>
        <s v="Justin Baker"/>
        <s v="Stephanie Ross"/>
        <s v="Zachary Hicks"/>
        <s v="Anthony Rodriguez"/>
        <s v="Rebecca Henderson"/>
        <s v="James Ferrell"/>
        <s v="Tricia Valencia"/>
        <s v="Nathan Maldonado"/>
        <s v="Debra Davidson"/>
        <s v="Jeffrey Chavez"/>
        <s v="Sherri Baker"/>
        <s v="Cassandra Gaines"/>
        <s v="Elizabeth Fowler"/>
        <s v="Brittany Farmer"/>
        <s v="Paula Moreno"/>
        <s v="Fred Smith"/>
        <s v="Sherry Decker"/>
        <s v="Anthony Humphrey"/>
        <s v="Angelica Tucker"/>
        <s v="Philip Cannon"/>
        <s v="John Pierce"/>
        <s v="Shane Henderson"/>
        <s v="Joshua Blair"/>
        <s v="Eric Carney"/>
        <s v="Jessica Holmes"/>
        <s v="Danny Morgan"/>
        <s v="Crystal Robinson"/>
        <s v="Mark Perez"/>
        <s v="Shannon Jones"/>
        <s v="Michael Lewis"/>
        <s v="Timothy Duncan"/>
        <s v="Richard Aguirre"/>
        <s v="Brent Jordan"/>
        <s v="John Daniel"/>
        <s v="Victoria Garcia"/>
        <s v="Gerald Hensley"/>
        <s v="Connor West"/>
        <s v="Donald Wright"/>
        <s v="Jessica Callahan"/>
        <s v="Amber Kidd"/>
        <s v="Tracy House"/>
        <s v="Carol Tucker"/>
        <s v="James Brown"/>
        <s v="William Baker"/>
        <s v="Jordan Henderson"/>
        <s v="Whitney Peters"/>
        <s v="Brittney Phillips"/>
        <s v="Lauren Daniels"/>
        <s v="Amy Silva"/>
        <s v="Sarah Moore"/>
        <s v="Angela Lopez"/>
        <s v="Megan Young"/>
        <s v="Steve Sanchez"/>
        <s v="Lisa Barnes"/>
        <s v="Kelly Donovan"/>
        <s v="Mike Allen"/>
        <s v="Michael Evans"/>
        <s v="Paul Jones"/>
        <s v="Zachary Ferrell"/>
        <s v="Daniel Baker"/>
        <s v="Shirley Suarez"/>
        <s v="Christopher Bass"/>
        <s v="Lisa Archer"/>
        <s v="Aimee Montoya"/>
        <s v="Matthew Mcmillan"/>
        <s v="Brian Rodriguez"/>
        <s v="Denise Jacobs"/>
        <s v="Christina Walters"/>
        <s v="John Whitehead"/>
        <s v="Anna Henderson"/>
        <s v="Aaron Wise"/>
        <s v="Deborah Figueroa"/>
        <s v="Jessica Smith"/>
        <s v="Stephen Mckee"/>
        <s v="Sandra Aguilar"/>
        <s v="Cameron Parker"/>
        <s v="Rebecca Valencia"/>
        <s v="Christine Wright"/>
        <s v="Richard Henson"/>
        <s v="Marc Moore"/>
        <s v="Sharon Cherry"/>
        <s v="Sierra Johnson"/>
        <s v="Evelyn Galvan"/>
        <s v="Sharon Cochran"/>
        <s v="Richard Rodriguez"/>
        <s v="Shannon Walker"/>
        <s v="Julia Torres"/>
        <s v="Crystal Johnson"/>
        <s v="Garrett Lin"/>
        <s v="Diana May"/>
        <s v="William Herrera"/>
        <s v="Ashley Waller"/>
        <s v="Victor Baker"/>
        <s v="Jeffrey Chandler"/>
        <s v="Larry Dixon"/>
        <s v="Kenneth Scott"/>
        <s v="April Frost"/>
        <s v="Michelle Harmon"/>
        <s v="Helen Jones"/>
        <s v="Erin Edwards"/>
        <s v="Michelle Evans"/>
        <s v="Jason Powell"/>
        <s v="Cameron Fisher"/>
        <s v="Megan Orr"/>
        <s v="Elizabeth Kelley"/>
        <s v="Dustin Jordan"/>
        <s v="Mary Marshall"/>
        <s v="Daniel Kennedy"/>
        <s v="Rebecca Jackson"/>
        <s v="Jose Schultz"/>
        <s v="Robert Potter"/>
        <s v="Courtney Gonzalez"/>
        <s v="David Alvarez"/>
        <s v="Angel Perry"/>
        <s v="Cheyenne Horton"/>
        <s v="David Douglas Jr."/>
        <s v="Patricia Rodriguez"/>
        <s v="Christopher Rubio"/>
        <s v="Amber Wright"/>
        <s v="Joyce Solis"/>
        <s v="Victoria Larson"/>
        <s v="Stephanie Salazar"/>
        <s v="Kathy Rivas"/>
        <s v="Stephanie Manning"/>
        <s v="David Wright"/>
        <s v="Pamela Boyd"/>
        <s v="Denise Jones"/>
        <s v="Devon Flores"/>
        <s v="Brenda Hall"/>
        <s v="Michelle Brown"/>
        <s v="Joshua Perry"/>
        <s v="Jason Stein"/>
        <s v="Melissa Gates"/>
        <s v="Jamie Smith"/>
        <s v="Paul Castaneda"/>
        <s v="Jennifer Adkins"/>
        <s v="Lindsey Walker"/>
        <s v="Jeffrey Johnson"/>
        <s v="Michael Powell"/>
        <s v="John Anderson"/>
        <s v="Alyssa Long"/>
        <s v="Alyssa Day"/>
        <s v="Joel Williams"/>
        <s v="Daniel Murphy"/>
        <s v="Jamie Walton"/>
        <s v="Darlene Miller"/>
        <s v="Joshua Cooke"/>
        <s v="Matthew Harrington"/>
        <s v="Nicole Herring"/>
        <s v="Alex Hernandez"/>
        <s v="Michael Elliott"/>
        <s v="Michael Wang"/>
        <s v="Lawrence Adkins"/>
        <s v="Robert Oconnell"/>
        <s v="Alexander Collins"/>
        <s v="Tina Sanders"/>
        <s v="Angela Vaughn"/>
        <s v="Ashley Barton"/>
        <s v="Lindsay Martinez"/>
        <s v="Dr. Hannah Patterson"/>
        <s v="Jonathan Peterson"/>
        <s v="Samantha Garcia"/>
        <s v="Madison Poole"/>
        <s v="Jessica Gross"/>
        <s v="Debra Morton"/>
        <s v="Karen Graham"/>
        <s v="Debra Christian"/>
        <s v="Angelica Keith"/>
        <s v="John Bishop"/>
        <s v="Allen Rosales"/>
        <s v="Daniel Salinas"/>
        <s v="Spencer Haynes"/>
        <s v="Adam Vaughan"/>
        <s v="Nathan Freeman"/>
        <s v="Melissa Brewer"/>
        <s v="Ricky Davis II"/>
        <s v="Elizabeth Perkins"/>
        <s v="Joseph Coleman"/>
        <s v="Erin Warner"/>
        <s v="David Martinez"/>
        <s v="Bryan Herrera"/>
        <s v="Cathy Robinson"/>
        <s v="Dr. William Warren"/>
        <s v="Brian Lee"/>
        <s v="Christopher Smith"/>
        <s v="Denise Mccann"/>
        <s v="Melissa Martinez"/>
        <s v="Katherine Salas"/>
        <s v="Julie Alexander"/>
        <s v="Anthony Everett"/>
        <s v="Rodney Morales"/>
        <s v="Mark Brown"/>
        <s v="Justin Torres"/>
        <s v="Bailey Duran DDS"/>
        <s v="Courtney Mills"/>
        <s v="Jeremy Dalton"/>
        <s v="Elizabeth Oliver DDS"/>
        <s v="Theresa Clark"/>
        <s v="Matthew Moore"/>
        <s v="Benjamin Smith"/>
        <s v="Kirk Carter"/>
        <s v="Michael Warner"/>
        <s v="Michael Bradshaw"/>
        <s v="Lori Guerrero"/>
        <s v="Jessica Stephens"/>
        <s v="Susan Serrano"/>
        <s v="Christopher Parker"/>
        <s v="Laura Roberts"/>
        <s v="Michael Lyons"/>
        <s v="Kathryn Snyder"/>
        <s v="Andrew Reynolds"/>
        <s v="David Davis"/>
        <s v="Sara Johnston"/>
        <s v="Yvonne Chambers"/>
        <s v="Andrew Avila"/>
        <s v="Matthew Moon"/>
        <s v="Kevin Walters"/>
        <s v="Brandon Bailey MD"/>
        <s v="Shannon Rivera"/>
        <s v="Donna Landry"/>
        <s v="Krista Gibson"/>
        <s v="Frank Cordova"/>
        <s v="Jose Travis"/>
        <s v="Kimberly Gutierrez"/>
        <s v="Isaiah Avila"/>
        <s v="Olivia Harris"/>
        <s v="Tanya Kim"/>
        <s v="Barbara Dudley"/>
        <s v="Cynthia Moore"/>
        <s v="Kristen Davis"/>
        <s v="Susan Murray MD"/>
        <s v="Kathleen Moran"/>
        <s v="Denise Davenport"/>
        <s v="Mrs. Kristen Reyes"/>
        <s v="Katie Suarez"/>
        <s v="Desiree Tyler"/>
        <s v="Timothy Romero"/>
        <s v="Diane Evans"/>
        <s v="Yvonne Burns"/>
        <s v="Joshua Reed"/>
        <s v="Kimberly Gibson"/>
        <s v="Colin Terry"/>
        <s v="Cynthia Rowe"/>
        <s v="Patrick Thornton"/>
        <s v="Jasmin Alvarado"/>
        <s v="Veronica Simpson"/>
        <s v="Jonathan Lawrence"/>
        <s v="Shelly Alexander"/>
        <s v="Joyce Bowen"/>
        <s v="Wayne Morgan"/>
        <s v="Marie Christian"/>
        <s v="Shannon James"/>
        <s v="Nathan Malone"/>
        <s v="Amanda Jones"/>
        <s v="Tammie Bright"/>
        <s v="Jessica Garcia"/>
        <s v="Shelia Wallace"/>
        <s v="Stephanie Williams"/>
        <s v="Elaine Brooks"/>
        <s v="Joseph Knight"/>
        <s v="Carolyn Miller"/>
        <s v="Lisa Allen"/>
        <s v="Briana Murray"/>
        <s v="David Smith"/>
        <s v="Stephanie Byrd"/>
        <s v="Jeremy Reed"/>
        <s v="Margaret Coleman"/>
        <s v="Ryan Gonzalez"/>
        <s v="John Young"/>
        <s v="Laura Haney"/>
        <s v="William Barrett"/>
        <s v="Keith Jennings"/>
        <s v="Amber Obrien"/>
        <s v="Tanner Mitchell DDS"/>
        <s v="Heather Fields"/>
        <s v="Megan Le"/>
        <s v="Sara Fuller"/>
        <s v="Maria Parker"/>
        <s v="Kevin Oconnor"/>
        <s v="Edward Burgess"/>
        <s v="Carlos Ryan"/>
        <s v="Kiara Mcintyre"/>
        <s v="Dawn Summers"/>
        <s v="Dr. Paul Morgan"/>
        <s v="Victor Taylor"/>
        <s v="Shannon Ramsey"/>
        <s v="Tracy Ballard"/>
        <s v="Richard Smith"/>
        <s v="Jordan Chambers"/>
        <s v="Lauren Carson"/>
        <s v="Ashley Hall"/>
        <s v="Stephen Hoffman"/>
        <s v="Connie Brown"/>
        <s v="Susan Turner"/>
        <s v="Charles Shah"/>
        <s v="Johnathan Davis"/>
        <s v="Brandy Chavez"/>
        <s v="Natalie Bautista"/>
        <s v="Patrick Moore"/>
        <s v="Brett Burns"/>
        <s v="Trevor Johnson"/>
        <s v="Jeremy Sampson"/>
        <s v="Ariana Jennings"/>
        <s v="Vanessa Howard"/>
        <s v="Colton Martinez"/>
        <s v="Jordan Bates"/>
        <s v="Linda Smith"/>
        <s v="Dana Martinez"/>
        <s v="Andrea Hubbard"/>
        <s v="Daniel Kane"/>
        <s v="Charles Lester"/>
        <s v="Scott Thomas"/>
        <s v="David Thompson"/>
        <s v="Allison Smith"/>
        <s v="Cynthia Morris"/>
        <s v="Anthony Harmon"/>
        <s v="Nichole Alvarez"/>
        <s v="Kayla Rodriguez"/>
        <s v="Theresa Williams"/>
        <s v="Sharon Boyd"/>
        <s v="Victor Brown"/>
        <s v="James Parks"/>
        <s v="Theodore Jones Jr."/>
        <s v="Ana Hill"/>
        <s v="Kimberly Nguyen"/>
        <s v="Kerry Chavez DDS"/>
        <s v="Michael Farrell"/>
        <s v="Patricia Le"/>
        <s v="Jesse Perez"/>
        <s v="Jesse Perry"/>
        <s v="Jeffery Ortega"/>
        <s v="Christian Leblanc"/>
        <s v="Ronald Davis"/>
        <s v="Parker Cain"/>
        <s v="Laurie Hoffman"/>
        <s v="Bryan Gomez"/>
        <s v="Nicole Parrish"/>
        <s v="Tracy Burke"/>
        <s v="Kenneth Lewis"/>
        <s v="Courtney Rodriguez"/>
        <s v="Holly Farmer"/>
        <s v="Renee Bruce"/>
        <s v="Sabrina Austin"/>
        <s v="Allison Hickman"/>
        <s v="Debra White"/>
        <s v="Ellen Morgan"/>
        <s v="Sergio Knight"/>
        <s v="Charles Schultz"/>
        <s v="Paul Lewis"/>
        <s v="Glen Wood"/>
        <s v="Paula Bradley"/>
        <s v="Anthony Moore"/>
        <s v="Megan Nelson"/>
        <s v="Karla Ramos"/>
        <s v="Paul Wilson"/>
        <s v="Douglas Gregory"/>
        <s v="Mr. Andrew Foster"/>
        <s v="Aimee Turner"/>
        <s v="Chad Scott"/>
        <s v="Adam Burgess"/>
        <s v="James Padilla"/>
        <s v="Sandra Drake"/>
        <s v="Scott Williams"/>
        <s v="Thomas Atkins"/>
        <s v="Laura Mckinney"/>
        <s v="Brian Smith"/>
        <s v="Robert Montgomery"/>
        <s v="Tamara Davis"/>
        <s v="Dana Chapman"/>
        <s v="Jennifer Collins"/>
        <s v="Gary Jackson"/>
        <s v="Ashley Hicks"/>
        <s v="Hannah Luna"/>
        <s v="Robin Young"/>
        <s v="Craig Morrison"/>
        <s v="Mary Thompson"/>
        <s v="Kathleen Webster"/>
        <s v="Joann Glass"/>
        <s v="Madison Weber"/>
        <s v="Lori Hernandez"/>
        <s v="Jeremy Turner"/>
        <s v="Anthony Romero"/>
        <s v="Jesse Brown"/>
        <s v="Angela Lin"/>
        <s v="Lisa Hunter"/>
        <s v="Julian Conner"/>
        <s v="Joanna Pacheco"/>
        <s v="Erica Alvarez"/>
        <s v="Antonio Garcia"/>
        <s v="Gwendolyn Klein"/>
        <s v="Carrie Wright"/>
        <s v="Jeffrey Mills"/>
        <s v="Jake Campbell"/>
        <s v="George Harper"/>
        <s v="Maria Jones"/>
        <s v="Michael Mitchell"/>
        <s v="Mary Escobar"/>
        <s v="Felicia Aguilar"/>
        <s v="Gregory Ponce"/>
        <s v="Jenna Larson"/>
        <s v="Emily Bennett"/>
        <s v="Robin Santiago"/>
        <s v="Nancy Jennings"/>
        <s v="Maria Henderson"/>
        <s v="Jack White"/>
        <s v="Travis Tucker"/>
        <s v="Chad Jones"/>
        <s v="Ashley Wise"/>
        <s v="Sophia Johnson"/>
        <s v="Ralph Anderson"/>
        <s v="Christopher Guerra"/>
        <s v="Rhonda Martin"/>
        <s v="Jason Rhodes"/>
        <s v="Jeremy Mitchell"/>
        <s v="Joann Ferguson"/>
        <s v="Robert Harrison"/>
        <s v="Holly Valentine"/>
        <s v="Mrs. Diane Reyes"/>
        <s v="Tracy Montoya"/>
        <s v="Brenda Wright"/>
        <s v="Shelly Spencer"/>
        <s v="Ryan Rosales"/>
        <s v="Phillip Nelson"/>
        <s v="Brittany Kim"/>
        <s v="Courtney Hayes"/>
        <s v="Alexander Brown"/>
        <s v="Cynthia Vang"/>
        <s v="Alfred Galvan"/>
        <s v="Marie Moody"/>
        <s v="Dustin Gallegos"/>
        <s v="Brenda Thornton"/>
        <s v="Aaron Miller"/>
        <s v="Ruben Dunn"/>
        <s v="Kelsey Rodriguez"/>
        <s v="Eric Williams"/>
        <s v="Riley Bryant"/>
        <s v="Taylor Carlson"/>
        <s v="Jose Allen"/>
        <s v="Jeffrey Mendez"/>
        <s v="Jason Beck"/>
        <s v="William Jones"/>
        <s v="Katie Mcneil"/>
        <s v="Jeanette Harrison"/>
        <s v="Veronica King"/>
        <s v="Richard Cooper"/>
        <s v="Lori Ingram"/>
        <s v="Evelyn Williams"/>
        <s v="Robin Thompson"/>
        <s v="Julie Dominguez"/>
        <s v="Robin Brown"/>
        <s v="Judith Carter"/>
        <s v="Curtis Williams"/>
        <s v="Kaylee Hays"/>
        <s v="Dawn Mullins"/>
        <s v="Howard Norman"/>
        <s v="Evelyn Martinez"/>
        <s v="Steve Paul"/>
        <s v="Jasmine Beltran"/>
        <s v="Jonathan Glass MD"/>
        <s v="Monica Miller"/>
        <s v="Samantha Gardner"/>
        <s v="Bobby Guerrero"/>
        <s v="Lance Simmons"/>
        <s v="Heather Williams"/>
        <s v="Heather Bolton"/>
        <s v="William Gould"/>
        <s v="Mark Cox"/>
        <s v="Meghan Cisneros"/>
        <s v="Lawrence Harrington"/>
        <s v="Austin Osborne"/>
        <s v="James Bradley"/>
        <s v="Meghan Rush"/>
        <s v="Phillip Berry"/>
        <s v="Jennifer Banks"/>
        <s v="Brian Fitzgerald"/>
        <s v="Mr. Justin Green III"/>
        <s v="Zachary Mitchell"/>
        <s v="Katherine Martinez"/>
        <s v="Jodi Roach"/>
        <s v="Brandon Fleming"/>
        <s v="Emma Reed"/>
        <s v="Joshua Vance"/>
        <s v="Michelle Ho"/>
        <s v="Rebecca Hicks"/>
        <s v="Curtis Taylor"/>
        <s v="Allison Spencer"/>
        <s v="Robert Arnold"/>
        <s v="Angelica Parker"/>
        <s v="Dr. Kelly Hammond DVM"/>
        <s v="William Day"/>
        <s v="Michael Cooper"/>
        <s v="Penny Bowman"/>
        <s v="Vincent Reynolds"/>
        <s v="Amy Martinez"/>
        <s v="Christopher Morris"/>
        <s v="Hannah Everett"/>
        <s v="Sarah King"/>
        <s v="Krista Martinez"/>
        <s v="Joseph Shaw"/>
        <s v="Todd Moore"/>
        <s v="Michelle Jacobs"/>
        <s v="Kristy Bryan"/>
        <s v="Angel May"/>
        <s v="Marilyn Wang"/>
        <s v="Mark Jimenez"/>
        <s v="Donna Frye"/>
        <s v="Dr. Michael Evans"/>
        <s v="Anthony Gonzales"/>
        <s v="Mr. Lawrence Edwards"/>
        <s v="Morgan Valencia"/>
        <s v="Bianca Wood"/>
        <s v="Emma Owens"/>
        <s v="James Gilbert"/>
        <s v="Sean Moore"/>
        <s v="Kenneth Edwards"/>
        <s v="Kathleen Robertson"/>
        <s v="Mr. Alexander Landry MD"/>
        <s v="Cindy Gomez"/>
        <s v="Johnny Khan"/>
        <s v="Julie Herrera"/>
        <s v="Jessica Khan"/>
        <s v="Pamela Diaz"/>
        <s v="Kelly Lee"/>
        <s v="Angel Gordon"/>
        <s v="Diana Hays"/>
        <s v="Barbara Hester"/>
        <s v="Robert Morgan"/>
        <s v="Nicole Gonzalez"/>
        <s v="Kathryn Williams"/>
        <s v="Gary Wells"/>
        <s v="Larry Robertson"/>
        <s v="Louis Martin"/>
        <s v="Nancy Evans MD"/>
        <s v="Kim Erickson"/>
        <s v="Robert Richardson"/>
        <s v="Veronica Silva"/>
        <s v="Molly Watts"/>
        <s v="John Coffey"/>
        <s v="Paula Lane"/>
        <s v="Lauren Jackson"/>
        <s v="Lisa Randall"/>
        <s v="Michael Johnson"/>
        <s v="Ashley Smith"/>
        <s v="Christian Vaughn"/>
        <s v="Reginald Knapp"/>
        <s v="Nancy Brown"/>
        <s v="Daniel Nguyen"/>
        <s v="Kelly Edwards"/>
        <s v="Thomas Peterson"/>
        <s v="Raymond Le"/>
        <s v="Melissa Bishop"/>
        <s v="David Grant"/>
        <s v="William Evans"/>
        <s v="Daniel Bush"/>
        <s v="Gregory Peck"/>
        <s v="Denise Martinez"/>
        <s v="Jamie Baird"/>
        <s v="Tina Ballard"/>
        <s v="Dwayne Klein"/>
        <s v="Jeremy Scott"/>
        <s v="Dale Ryan"/>
        <s v="Melissa Taylor"/>
        <s v="Laurie Sanchez"/>
        <s v="Kiara Little"/>
        <s v="Jason Love"/>
        <s v="Randy Smith"/>
        <s v="Tanya Russell"/>
        <s v="Sherry Woods"/>
        <s v="Victor Morris"/>
        <s v="Susan Davis"/>
        <s v="Kimberly Sharp"/>
        <s v="Susan Thompson"/>
        <s v="Casey Gillespie"/>
        <s v="Jennifer Simpson DVM"/>
        <s v="Tammy Mcdowell"/>
        <s v="Keith Rodriguez"/>
        <s v="Mrs. Virginia Daniels"/>
        <s v="Todd Rosales MD"/>
        <s v="Brian Martin"/>
        <s v="David Lopez"/>
        <s v="Rachel Bradley"/>
        <s v="Casey Chase"/>
        <s v="Samantha Robertson"/>
        <s v="Michael Lopez"/>
        <s v="Franklin Wright"/>
        <s v="David Molina"/>
        <s v="Elizabeth Sharp"/>
        <s v="Matthew Schwartz"/>
        <s v="Bryan Parker"/>
        <s v="Jonathan Jacobson"/>
        <s v="Emily Wilson"/>
        <s v="Elizabeth Mendez"/>
        <s v="Casey Hernandez"/>
        <s v="Lisa Perry"/>
        <s v="Kaitlin Medina"/>
        <s v="Colleen Wright"/>
        <s v="Shelley Miller"/>
        <s v="Michael Miller"/>
        <s v="Amy Kelley"/>
        <s v="Laura Hernandez"/>
        <s v="Joseph Wilson"/>
        <s v="Kevin Davis"/>
        <s v="Rhonda Chavez"/>
        <s v="Joyce Brown"/>
        <s v="Robert Cummings"/>
        <s v="Robert Reese"/>
        <s v="Amber Cooper"/>
        <s v="Zachary Michael"/>
        <s v="Timothy Johnson"/>
        <s v="Randy Cannon"/>
        <s v="Maria Fisher"/>
        <s v="Janet Kane DVM"/>
        <s v="Michael Stanley"/>
        <s v="Martha Bailey"/>
        <s v="Joshua Rice"/>
        <s v="Courtney Smith"/>
        <s v="Edwin Nunez"/>
        <s v="Kim Morrow"/>
        <s v="Gregory Hill"/>
        <s v="Molly Rodriguez"/>
        <s v="Jennifer Miranda"/>
        <s v="Alexis Harris"/>
        <s v="Andrew Harper"/>
        <s v="Amber Yang"/>
        <s v="David Robinson"/>
        <s v="Amy Gordon"/>
        <s v="Robert Dennis"/>
        <s v="Kyle Chambers"/>
        <s v="Eric Thomas"/>
        <s v="Connie Turner"/>
        <s v="Travis Hobbs"/>
        <s v="Lori Simmons"/>
        <s v="William David DDS"/>
        <s v="Emma Butler"/>
        <s v="James Webster"/>
        <s v="Samuel Turner"/>
        <s v="Renee Melendez"/>
        <s v="Tracy Grant"/>
        <s v="David Harris"/>
        <s v="Tammy Boone"/>
        <s v="Nathaniel Lee"/>
        <s v="Michael Morrison"/>
        <s v="Chelsea Gill"/>
        <s v="Kristin Mendoza"/>
        <s v="Felicia Krueger"/>
        <s v="Timothy Hayden"/>
        <s v="Zachary Mendoza"/>
        <s v="Larry Harris"/>
        <s v="Kristen Rowe"/>
        <s v="Joseph Howard"/>
        <s v="Jose Crawford"/>
        <s v="William Harrison"/>
        <s v="Suzanne Wood"/>
        <s v="Justin Walker"/>
        <s v="Dean Donovan"/>
        <s v="Jennifer Hernandez"/>
        <s v="James Whitaker"/>
        <s v="Mr. Michael Scott PhD"/>
        <s v="Maria Henry"/>
        <s v="Robert Jackson"/>
        <s v="Katherine Stark"/>
        <s v="Maria Brown"/>
        <s v="Ryan Landry"/>
        <s v="Pamela Gutierrez"/>
        <s v="Crystal Mann"/>
        <s v="Jonathan Brooks"/>
        <s v="Mary Jensen"/>
        <s v="Mr. Aaron Arnold"/>
        <s v="Joseph Hill"/>
        <s v="Alicia Li"/>
        <s v="Renee Browning"/>
        <s v="Brent Hernandez"/>
        <s v="Joseph Ochoa"/>
        <s v="James Watson"/>
        <s v="Karl Branch"/>
        <s v="Michael Abbott"/>
        <s v="Shannon Malone"/>
        <s v="James Tran"/>
        <s v="Adam Jackson"/>
        <s v="Mr. Richard Knight PhD"/>
        <s v="Joseph Williams"/>
        <s v="Sean Clay"/>
        <s v="Anthony Jones"/>
        <s v="Stephanie Elliott"/>
        <s v="Timothy Edwards"/>
        <s v="Laurie Goodwin"/>
        <s v="Jennifer Jones"/>
        <s v="David Davenport"/>
        <s v="Steven Rivera"/>
        <s v="Brenda Hinton"/>
        <s v="Kathryn Mccann"/>
        <s v="Jeffrey Roberson"/>
        <s v="Randy Friedman"/>
        <s v="Raymond Johnson"/>
        <s v="Willie Henry"/>
        <s v="Todd Reynolds"/>
        <s v="Mary Miller"/>
        <s v="Rebecca Marquez"/>
        <s v="Christian Dawson"/>
        <s v="Nancy Stewart"/>
        <s v="Aaron Parker"/>
        <s v="Derrick Anderson"/>
        <s v="Jerry Peters"/>
        <s v="Alexander Gomez"/>
        <s v="Kyle Nguyen"/>
        <s v="Edgar Hughes"/>
        <s v="Steven Stein"/>
        <s v="Laura Jackson"/>
        <s v="Charles Turner"/>
        <s v="Arthur Hamilton MD"/>
        <s v="Mr. David Wright"/>
        <s v="Linda Gonzalez"/>
        <s v="Eric Rush"/>
        <s v="Manuel Brock"/>
        <s v="George Ochoa"/>
        <s v="Valerie Taylor"/>
        <s v="Travis Harris"/>
        <s v="Vincent Novak"/>
        <s v="Michael Henry"/>
        <s v="Dana Bennett"/>
        <s v="Jenna Wilson"/>
        <s v="Leslie Gardner"/>
        <s v="Krista Benton"/>
        <s v="Michael Gonzales"/>
        <s v="Michael Fuentes"/>
        <s v="Jennifer Porter"/>
        <s v="Dana Hopkins"/>
        <s v="Rachel Jones"/>
        <s v="Karen Morales DDS"/>
        <s v="Melissa Stephens"/>
        <s v="Heather Woodard"/>
        <s v="Margaret Miller"/>
        <s v="Mary Kelly"/>
        <s v="Amanda Terrell"/>
        <s v="Jennifer Goodwin"/>
        <s v="Jorge Stone"/>
        <s v="Laura Griffin"/>
        <s v="Raymond Chapman"/>
        <s v="Haley Johnson"/>
        <s v="Jason Nixon"/>
        <s v="Todd Thomas"/>
        <s v="Jesse Clark"/>
        <s v="Mr. Jeffrey Horton"/>
        <s v="Eric Patrick"/>
        <s v="Samuel Wong"/>
        <s v="Carly Riggs"/>
        <s v="Christopher Moore"/>
        <s v="Tina Hall"/>
        <s v="Cody Davidson"/>
        <s v="Allen Mendez"/>
        <s v="Kevin Price"/>
        <s v="Christine Goodwin"/>
        <s v="Amy Garcia"/>
        <s v="Chelsea Nguyen"/>
        <s v="Dennis Huffman"/>
        <s v="Margaret Harper"/>
        <s v="Laurie Bailey"/>
        <s v="Lisa Cervantes"/>
        <s v="Cesar Wilson"/>
        <s v="Clayton Steele"/>
        <s v="Jennifer Taylor"/>
        <s v="Cody Reid"/>
        <s v="Maria Cooke"/>
        <s v="Katherine Taylor"/>
        <s v="Jerry Brown"/>
        <s v="Adam Taylor"/>
        <s v="Tracey Wagner"/>
        <s v="Michael Perry PhD"/>
        <s v="Bradley Johnson DDS"/>
        <s v="Donald Medina"/>
        <s v="Jim Newton"/>
        <s v="Krista Wilson"/>
        <s v="Reginald Morrow"/>
        <s v="Rodney Williams"/>
        <s v="Kimberly Fritz"/>
        <s v="Ronald Potter"/>
        <s v="Zachary Cole"/>
        <s v="Robert Gonzales"/>
        <s v="Patricia Young PhD"/>
        <s v="Heather Page"/>
        <s v="Carol Taylor"/>
        <s v="Daniel Brown"/>
        <s v="Douglas Ryan"/>
        <s v="Michael Roberts"/>
        <s v="Scott Duke"/>
        <s v="Anna Estes"/>
        <s v="Tamara Riddle"/>
        <s v="Beth Cline"/>
        <s v="Michael Poole"/>
        <s v="Megan Burns"/>
        <s v="Debra Perry"/>
        <s v="Mark Beard"/>
        <s v="Jose Ramirez"/>
        <s v="Jackie Clements"/>
        <s v="Aaron Schroeder"/>
        <s v="Monica Ellis"/>
        <s v="Heather Brown"/>
        <s v="Claudia Jordan"/>
        <s v="Derrick Clayton"/>
        <s v="Kenneth Knight"/>
        <s v="Mr. Michael Williams"/>
        <s v="Richard Stevens"/>
        <s v="Scott Alexander"/>
        <s v="Tyler Harris"/>
        <s v="Bonnie Santos"/>
        <s v="Timothy Hill"/>
        <s v="Danielle Watson"/>
        <s v="Carol Sanders"/>
        <s v="Michael Young"/>
        <s v="Michele Smith"/>
        <s v="Casey Perez"/>
        <s v="Alexandra Dominguez"/>
        <s v="Virginia Henderson"/>
        <s v="Benjamin Reyes"/>
        <s v="Ashley Edwards"/>
        <s v="Breanna Ayala"/>
        <s v="Brandi Haney"/>
        <s v="Joseph Smith"/>
        <s v="Jessica Bowen"/>
        <s v="Brittany Jenkins"/>
        <s v="Shannon Miller"/>
        <s v="Paul Lawrence"/>
        <s v="Victor Edwards"/>
        <s v="Donald Miller"/>
        <s v="Lindsay Lawson"/>
        <s v="Melissa Abbott"/>
        <s v="Elizabeth Holmes"/>
        <s v="Nicole Phillips"/>
        <s v="Steven Blevins"/>
        <s v="Brian Porter MD"/>
        <s v="Vanessa Hatfield"/>
        <s v="Bonnie Valencia"/>
        <s v="Holly Vega"/>
        <s v="Tiffany Townsend"/>
        <s v="Austin Baker"/>
        <s v="Antonio Mccormick"/>
        <s v="Lori Mason"/>
        <s v="Lisa Ramirez"/>
        <s v="Jorge Harris"/>
        <s v="Kimberly Myers"/>
        <s v="Sandra Becker"/>
        <s v="Michael Blair"/>
        <s v="Amy Miller"/>
        <s v="Jesse Lynch"/>
        <s v="Patrick Yang"/>
        <s v="Michael Miles"/>
        <s v="Troy Mills"/>
        <s v="Michelle Jackson"/>
        <s v="Richard Adams"/>
        <s v="Patricia Johnson"/>
        <s v="Denise Brown"/>
        <s v="Laura Jones"/>
        <s v="Ian Porter"/>
        <s v="Holly Scott"/>
        <s v="Kenneth Sharp"/>
        <s v="Jordan Williams"/>
        <s v="Dana Ruiz"/>
        <s v="Chris Velazquez"/>
        <s v="Kristen Sloan"/>
        <s v="Jennifer Morris"/>
        <s v="Nathan Nelson"/>
        <s v="Jake Shaw"/>
        <s v="Cassie Brock"/>
        <s v="Dr. Andrea Marshall"/>
        <s v="Ryan Murphy"/>
        <s v="Aimee Gonzalez"/>
        <s v="Elizabeth Dean"/>
        <s v="Kevin Snyder"/>
        <s v="Christie Mccullough"/>
        <s v="Danielle Smith"/>
        <s v="David Reed"/>
        <s v="Sherry Tapia"/>
        <s v="Matthew Sweeney"/>
        <s v="Ashley Moreno"/>
        <s v="Johnathan Brown"/>
        <s v="Michelle Davis DVM"/>
        <s v="Kelly Haynes"/>
        <s v="William Miller"/>
        <s v="Casey Wilkins"/>
        <s v="Keith Graham"/>
        <s v="Cynthia Green"/>
        <s v="Robert Haynes"/>
        <s v="Emily Nelson"/>
        <s v="Dale Chan"/>
        <s v="Brittney Martin"/>
        <s v="Jason Herrera"/>
        <s v="Christine Parker"/>
        <s v="Bryan Moore"/>
        <s v="Samantha Terry"/>
        <s v="Russell Murphy"/>
        <s v="David Kelly"/>
        <s v="Megan Green"/>
        <s v="Amanda Sullivan MD"/>
        <s v="Danielle Murray"/>
        <s v="Brenda Smith"/>
        <s v="Vickie Anderson"/>
        <s v="Jacqueline Mccoy"/>
        <s v="Lauren Green"/>
        <s v="Alison Brown"/>
        <s v="Jill Anderson"/>
        <s v="Sandra Rivera"/>
        <s v="Joel Jackson"/>
        <s v="Samantha Foster"/>
        <s v="Michael Thompson"/>
        <s v="Cody Ramirez"/>
        <s v="Amanda Harvey"/>
        <s v="Edward Jenkins"/>
        <s v="Amy Ramirez"/>
        <s v="Curtis Wilkerson"/>
        <s v="Lydia Pham"/>
        <s v="Virginia Casey"/>
        <s v="Joshua Washington"/>
        <s v="Kathryn Price"/>
        <s v="Francis Robinson"/>
        <s v="Paula Brown"/>
        <s v="Kendra Wang DVM"/>
        <s v="Ariel Sandoval"/>
        <s v="Robert Stark"/>
        <s v="Zachary Robinson"/>
        <s v="Rebecca Kelly"/>
        <s v="Sarah Thompson"/>
        <s v="Renee Wolfe"/>
        <s v="Alyssa Haynes"/>
        <s v="Kristy Hart"/>
        <s v="William Keith"/>
        <s v="Eric Henry Jr."/>
        <s v="Daniel Fox"/>
        <s v="Thomas Harris"/>
        <s v="Mitchell Sellers"/>
        <s v="Erica Johnson"/>
        <s v="Sylvia Schroeder"/>
        <s v="Shannon Yu"/>
        <s v="Tom Foster"/>
        <s v="Eric Taylor"/>
        <s v="Travis Conner"/>
        <s v="Marie Thompson"/>
        <s v="Melissa Mcfarland"/>
        <s v="Courtney Chapman"/>
        <s v="Eric Barker"/>
        <s v="Nicholas Rush"/>
        <s v="Jenna Gamble"/>
        <s v="Amanda Guzman"/>
        <s v="Tracy Walker"/>
        <s v="Taylor Taylor"/>
        <s v="Cynthia Haas"/>
        <s v="Stephen Davis"/>
        <s v="Margaret Tanner"/>
        <s v="Derek Wright"/>
        <s v="David Rodriguez"/>
        <s v="James Oconnor"/>
        <s v="Stacey Snyder"/>
        <s v="Joshua Garcia"/>
        <s v="Sean Curtis"/>
        <s v="Carla Jones"/>
        <s v="Elizabeth Flores"/>
        <s v="Angela Jackson"/>
        <s v="Nicholas Payne"/>
        <s v="Anna Wheeler"/>
        <s v="Karen Johnson"/>
        <s v="Carmen Preston"/>
        <s v="Brian Harris"/>
        <s v="Michael Bowen"/>
        <s v="Deborah Campbell"/>
        <s v="Anthony Armstrong"/>
        <s v="Brittany Ward"/>
        <s v="Edward Stanley"/>
        <s v="Christina Johnson"/>
        <s v="Edgar Miller"/>
        <s v="Elizabeth Sanders"/>
        <s v="Matthew Davis MD"/>
        <s v="Stephen Wood"/>
        <s v="Dennis Marshall"/>
        <s v="Derrick Brown"/>
        <s v="Joshua Arellano"/>
        <s v="Kristen Randall"/>
        <s v="Jennifer Nichols"/>
        <s v="Karen Keith"/>
        <s v="Blake Orr"/>
        <s v="Kathryn Lester"/>
        <s v="Megan Oliver"/>
        <s v="Peter Thompson"/>
        <s v="Dr. Rhonda Martinez"/>
        <s v="William Graham"/>
        <s v="Lori Flowers MD"/>
        <s v="Suzanne Jones"/>
        <s v="James Nguyen"/>
        <s v="Jimmy Marks"/>
        <s v="Lisa Mills"/>
        <s v="Jason Hernandez"/>
        <s v="Olivia Ayers"/>
        <s v="Kristine Garcia"/>
        <s v="Joseph Cooper"/>
        <s v="James Washington"/>
        <s v="Amanda Hill"/>
        <s v="Lee Steele"/>
        <s v="Steve Rivera"/>
        <s v="Patrick Mccall"/>
        <s v="Alicia Roth"/>
        <s v="Douglas Vasquez"/>
        <s v="Annette Melton"/>
        <s v="William Ramos"/>
        <s v="Debra Butler"/>
        <s v="Chelsea Lewis"/>
        <s v="Natalie Malone"/>
        <s v="Eric Hunter"/>
        <s v="Samuel Suarez"/>
        <s v="Corey Whitaker"/>
        <s v="Danielle Bryant"/>
        <s v="Michele Hill"/>
        <s v="Kathy Reid"/>
        <s v="Andre Watson"/>
        <s v="Cassandra Harrell"/>
        <s v="Hannah Martin"/>
        <s v="Nicole Barker"/>
        <s v="James Martin"/>
        <s v="Traci Vincent"/>
        <s v="Megan Adams"/>
        <s v="Alejandro Deleon"/>
        <s v="Alexa Buck"/>
        <s v="Lindsay Smith"/>
        <s v="Robert Torres"/>
        <s v="Maria Coleman"/>
        <s v="Gregory King"/>
        <s v="Michael Holloway"/>
        <s v="Brian Hunt"/>
        <s v="Sarah Brooks"/>
        <s v="Lisa Evans"/>
        <s v="Arthur Mcneil"/>
        <s v="Shannon Green"/>
        <s v="Stephanie Evans"/>
        <s v="Ralph Yoder"/>
        <s v="Rebekah Greene"/>
        <s v="Melanie Griffith"/>
        <s v="Yolanda Green"/>
        <s v="James Johnson"/>
        <s v="Laura Lee"/>
        <s v="Courtney Nichols"/>
        <s v="Susan Powers"/>
        <s v="Sarah Pittman"/>
        <s v="Catherine Davis"/>
        <s v="David Stokes"/>
        <s v="Catherine Frazier"/>
        <s v="Brandon Kelly"/>
        <s v="Elizabeth French"/>
        <s v="David Carter"/>
        <s v="Julie Delacruz"/>
        <s v="Terry Jones"/>
        <s v="Kathryn Dillon"/>
        <s v="Edwin Brown"/>
        <s v="Brenda Gonzalez"/>
        <s v="Keith Knox"/>
        <s v="Eugene Baldwin"/>
        <s v="Katherine Welch"/>
        <s v="Mark Smith"/>
        <s v="Philip Jackson"/>
        <s v="Katherine Gallagher"/>
        <s v="Lucas Schultz"/>
        <s v="Vincent Reyes"/>
        <s v="Curtis Watson"/>
        <s v="Frank Whitaker"/>
        <s v="Michael Sims"/>
        <s v="James Chapman"/>
        <s v="Rodney Evans"/>
        <s v="Nicholas Carlson"/>
        <s v="Stephen Cowan"/>
        <s v="Steven Howard"/>
        <s v="Travis Hull"/>
        <s v="Darryl Acosta"/>
        <s v="Nicholas Lawrence"/>
        <s v="Jacob Santos"/>
        <s v="Shawn Scott"/>
        <s v="Amber Vang"/>
        <s v="Martha Smith"/>
        <s v="Jennifer James"/>
        <s v="Kara Hernandez"/>
        <s v="Lorraine Turner"/>
        <s v="Mary Nelson"/>
        <s v="Breanna Rivas"/>
        <s v="Nathan Wilson"/>
        <s v="Brian Gonzalez"/>
        <s v="Dennis Mills"/>
        <s v="Michael Phillips"/>
        <s v="Jon Clark"/>
        <s v="Erin Smith"/>
        <s v="Susan Conley"/>
        <s v="Brittany Davis"/>
        <s v="Misty Garcia"/>
        <s v="David Hinton"/>
        <s v="John Garcia"/>
        <s v="Andrew Roberts"/>
        <s v="Emily Rodgers"/>
        <s v="Peter Williams"/>
        <s v="Mary Jackson"/>
        <s v="Jeffrey Howell"/>
        <s v="Anna Briggs"/>
        <s v="James Rivers"/>
        <s v="James Jefferson"/>
        <s v="Mariah Robles"/>
        <s v="Michael Brown"/>
        <s v="Caitlin Perry"/>
        <s v="Rebekah Gregory"/>
        <s v="James Howard"/>
        <s v="Michael Roberson"/>
        <s v="Bianca Knapp"/>
        <s v="Jason Williams"/>
        <s v="Ernest Bush"/>
        <s v="Patricia Ray"/>
        <s v="Vanessa Santiago"/>
        <s v="Joseph Haynes"/>
        <s v="Matthew Wright"/>
        <s v="Michael Cruz"/>
        <s v="Kristin Huerta"/>
        <s v="Mason Moore"/>
        <s v="Sarah Booth"/>
        <s v="John Allen"/>
        <s v="Amber Walker"/>
        <s v="Jennifer Young"/>
        <s v="Robert West"/>
        <s v="Jillian Wilson"/>
        <s v="Matthew Garcia MD"/>
        <s v="April Davis"/>
        <s v="Lisa Torres"/>
        <s v="Christine Powers"/>
        <s v="Heidi Brown"/>
        <s v="Jesse Castro"/>
        <s v="Kara Sandoval"/>
        <s v="Ashley Malone"/>
        <s v="Glenn Gallegos"/>
        <s v="Dorothy Boyd"/>
        <s v="Amber Martin"/>
        <s v="Mitchell Griffith"/>
        <s v="Levi Lopez"/>
        <s v="Jenna Bryant"/>
        <s v="Michelle Rodriguez"/>
        <s v="Timothy Monroe"/>
        <s v="Patricia Hayes"/>
        <s v="Tina Taylor"/>
        <s v="Mr. Anthony Mcconnell PhD"/>
        <s v="Mr. Thomas Thompson"/>
        <s v="Monica Anderson"/>
        <s v="Kyle Andrade"/>
        <s v="Janice Petty"/>
        <s v="Pamela Hill"/>
        <s v="Tracy Chavez"/>
        <s v="Jason Graves"/>
        <s v="Elizabeth Miles"/>
        <s v="Michelle Walls"/>
        <s v="Christina Weber"/>
        <s v="Gregory Chambers"/>
        <s v="Miss Tina Gordon"/>
        <s v="Erica Wilson"/>
        <s v="John Duncan"/>
        <s v="Donna Boone"/>
        <s v="Kelly Johnson"/>
        <s v="Michael Gonzalez"/>
        <s v="Candace Mitchell"/>
        <s v="Ryan Vaughn"/>
        <s v="Paul Johnson"/>
        <s v="Ashley Parrish"/>
        <s v="Sharon Newton"/>
        <s v="Cynthia Mueller"/>
        <s v="Donna Beck"/>
        <s v="Jasmine Frye"/>
        <s v="Emily Arnold"/>
        <s v="David Oliver"/>
        <s v="Sheila Greer"/>
        <s v="Michele Holland"/>
        <s v="Kimberly Morrison"/>
        <s v="Tracey Phillips"/>
        <s v="Jose Bennett"/>
        <s v="Justin Anderson"/>
        <s v="Dawn Rivera"/>
        <s v="Brittney Hernandez"/>
        <s v="Anthony Randolph"/>
        <s v="Mary Henry"/>
        <s v="Heather Bowers"/>
        <s v="Daniel White"/>
        <s v="Jonathan Perry"/>
        <s v="Anna Walker"/>
        <s v="Gary Ward"/>
        <s v="Paul Moreno"/>
        <s v="Samantha Zavala MD"/>
        <s v="Jill Conway"/>
        <s v="Lisa Haley"/>
        <s v="Erica Moon"/>
        <s v="Janice Fernandez"/>
        <s v="Thomas Short"/>
        <s v="Robert Griffin"/>
        <s v="Steven Lee"/>
        <s v="Tiffany Jackson"/>
        <s v="Kimberly Smith"/>
        <s v="Michael Ayala"/>
        <s v="Michele Cherry"/>
        <s v="Maria Case"/>
        <s v="Brittany Stevens"/>
        <s v="Brandon Brown"/>
        <s v="Kristin Andrews"/>
        <s v="David Hughes"/>
        <s v="Kimberly May"/>
        <s v="Nicole Richards"/>
        <s v="Angel Reilly"/>
        <s v="Richard Turner"/>
        <s v="Preston Kim"/>
        <s v="Matthew Wells"/>
        <s v="Brandy Myers"/>
        <s v="Kimberly Choi"/>
        <s v="Michael Sloan"/>
        <s v="Monica Brooks"/>
        <s v="Kristen Peters"/>
        <s v="Aaron Carlson"/>
        <s v="Theresa Torres"/>
        <s v="Stephanie Cooper"/>
        <s v="Matthew Hunt"/>
        <s v="Daniel Davenport"/>
        <s v="Christopher Marsh"/>
        <s v="Sarah Randolph"/>
        <s v="Julia Dunn MD"/>
        <s v="Brett Swanson"/>
        <s v="Mr. Carl Rios"/>
        <s v="Manuel Mccullough"/>
        <s v="Jerry Jensen"/>
        <s v="Kevin Cunningham"/>
        <s v="Eugene Patterson"/>
        <s v="David Walker"/>
        <s v="Jessica Larsen"/>
        <s v="Nicholas Humphrey"/>
        <s v="Ian Torres"/>
        <s v="Casey Obrien"/>
        <s v="Shannon Taylor"/>
        <s v="Deborah Mercado"/>
        <s v="Bernard Smith"/>
        <s v="Amanda Perkins"/>
        <s v="Kevin Escobar"/>
        <s v="Kimberly Lutz"/>
        <s v="Reginald Diaz"/>
        <s v="Raymond Quinn"/>
        <s v="John Dixon"/>
        <s v="Jonathan Bates"/>
        <s v="Renee Mendez"/>
        <s v="Jose Griffin"/>
        <s v="Travis Hopkins"/>
        <s v="Nancy Webb"/>
        <s v="Daniel Freeman"/>
        <s v="Jacob Williams"/>
        <s v="Terry Ward"/>
        <s v="Jesse Williams"/>
        <s v="Mrs. Michele Boyd"/>
        <s v="Sandy Baker"/>
        <s v="Carrie Valdez"/>
        <s v="Matthew Houston"/>
        <s v="Jamie Solomon"/>
        <s v="Heather Parrish"/>
        <s v="Mr. Larry Shaw"/>
        <s v="Christopher Jones"/>
        <s v="Christine Lopez"/>
        <s v="Mitchell Wilson"/>
        <s v="Robert Cortez"/>
        <s v="Mr. Daniel Martin"/>
        <s v="Alison Williams"/>
        <s v="Candace Soto"/>
        <s v="Kenneth Brown"/>
        <s v="Christopher Mullen"/>
        <s v="Kristy Smith"/>
        <s v="Mary Campbell"/>
        <s v="Jerry Haney"/>
        <s v="Carolyn Greer"/>
        <s v="Rebecca Hoover"/>
        <s v="Matthew Baker"/>
        <s v="Grace Chavez"/>
        <s v="Crystal Cruz"/>
        <s v="Dale Heath"/>
        <s v="John Mendez"/>
        <s v="Richard Gordon"/>
        <s v="Samantha Prince"/>
        <s v="Marie Boyd"/>
        <s v="Andrew Moreno"/>
        <s v="Robert Clarke"/>
        <s v="Kevin Figueroa"/>
        <s v="Melissa Davis"/>
        <s v="John Hall"/>
        <s v="Diane Mcdowell"/>
        <s v="Colin Fletcher"/>
        <s v="Laura Wilson"/>
        <s v="Matthew Watts"/>
        <s v="Jack Moore"/>
        <s v="Dawn Wyatt"/>
        <s v="Jacob Hill"/>
        <s v="Nicole Gutierrez"/>
        <s v="Karen Wood"/>
        <s v="Dawn Parker"/>
        <s v="Michael Fitzgerald"/>
        <s v="Mary Adkins"/>
        <s v="Michael Martin"/>
        <s v="James Morgan"/>
        <s v="Melissa Mann"/>
        <s v="Vincent Smith"/>
        <s v="Charles Frost"/>
        <s v="Austin Walker"/>
        <s v="Andrew Cruz"/>
        <s v="Miss Kelly Dawson"/>
        <s v="Theresa Wilkins"/>
        <s v="Jessica Harris"/>
        <s v="Regina Mitchell"/>
        <s v="Kyle Black"/>
        <s v="Christopher Johnson"/>
        <s v="Aaron Moore"/>
        <s v="Penny Gomez MD"/>
        <s v="Kelly Mclaughlin"/>
        <s v="Brandon Mitchell"/>
        <s v="Suzanne Bailey"/>
        <s v="Destiny Obrien"/>
        <s v="Timothy Andrews"/>
        <s v="Jason Rodriguez"/>
        <s v="Edward Arroyo"/>
        <s v="Tina Walter"/>
        <s v="Laura Benson"/>
        <s v="Kristine Carrillo"/>
        <s v="Tonya Ellis"/>
        <s v="Kevin Johnson"/>
        <s v="Austin Schultz"/>
        <s v="Megan Hall MD"/>
        <s v="Kelli Smith"/>
        <s v="Danielle Davis"/>
        <s v="Samantha Jones"/>
        <s v="Karen Gomez"/>
        <s v="Debra Valentine"/>
        <s v="Susan Porter"/>
        <s v="Nicolas Salas"/>
        <s v="Dale Wright"/>
        <s v="Brittney Rodriguez"/>
        <s v="Megan Alvarado"/>
        <s v="Pamela Weaver"/>
        <s v="John Oliver"/>
        <s v="William Prince PhD"/>
        <s v="William Moon IV"/>
        <s v="Karen Fernandez"/>
        <s v="Jennifer Parks"/>
        <s v="William Wolfe"/>
        <s v="Michael Smith"/>
        <s v="Kevin Nguyen"/>
        <s v="Debbie Dunn"/>
        <s v="John Austin"/>
        <s v="Jonathan Clark"/>
        <s v="Jacqueline Dickerson"/>
        <s v="Christopher Anderson"/>
        <s v="Crystal Garcia"/>
        <s v="David Reynolds"/>
        <s v="Charles Haley"/>
        <s v="Robert Thompson"/>
        <s v="Dr. Samuel Holmes DDS"/>
        <s v="Elizabeth Hart"/>
        <s v="Jennifer Vaughn"/>
        <s v="Robert Woods"/>
        <s v="Joanna Cook"/>
        <s v="Justin Frederick"/>
        <s v="Alejandro Martinez"/>
        <s v="Tracey Gonzalez"/>
        <s v="Mariah Thompson"/>
        <s v="Heather Nunez"/>
        <s v="Dr. Steve James"/>
        <s v="Mark Thomas"/>
        <s v="Robert Rogers"/>
        <s v="Laura Sweeney"/>
        <s v="Christopher Perez"/>
        <s v="Eddie Adams"/>
        <s v="Denise Wallace"/>
        <s v="Heidi Matthews"/>
        <s v="Jennifer White"/>
        <s v="Nicholas Stanley"/>
        <s v="Mercedes Miller"/>
        <s v="Brian Brown"/>
        <s v="Kimberly Johnson"/>
        <s v="Phillip Miller"/>
        <s v="Christopher Pena"/>
        <s v="Ellen Wright"/>
        <s v="Mark Anderson"/>
        <s v="Alyssa Alvarado"/>
        <s v="Erika Alvarez"/>
        <s v="Kimberly Nelson"/>
        <s v="Wayne Wolfe"/>
        <s v="Kyle Welch"/>
        <s v="Kristy Mills"/>
        <s v="Emily Reed"/>
        <s v="Regina Ramos"/>
        <s v="David Torres"/>
        <s v="Robert Charles"/>
        <s v="John Smith"/>
        <s v="Theresa Woods"/>
        <s v="Jeffrey Carter"/>
        <s v="Adam Brooks"/>
        <s v="Justin Foster"/>
        <s v="Omar Price"/>
        <s v="Dennis Henderson"/>
        <s v="Phillip Kent"/>
        <s v="Melinda Mitchell"/>
        <s v="Rhonda Gutierrez"/>
        <s v="Catherine Roberts"/>
        <s v="Lisa Nelson"/>
        <s v="Chelsea Smith"/>
        <s v="Joseph Lopez"/>
        <s v="Derrick Espinoza"/>
        <s v="Crystal Hernandez"/>
        <s v="Glenn Collins DDS"/>
        <s v="Mrs. Raven Rivera DVM"/>
        <s v="Amy Rowe"/>
        <s v="John Lee"/>
        <s v="Ruth Clayton"/>
        <s v="Randy Wright"/>
        <s v="Jessica Rojas"/>
        <s v="Joel Wise"/>
        <s v="Vickie Kennedy"/>
        <s v="Emily Morris"/>
        <s v="Amanda Pineda"/>
        <s v="Dawn Little"/>
        <s v="Stephen Boyer"/>
        <s v="Brian Chen"/>
        <s v="Christopher Hill"/>
        <s v="Richard Alvarez"/>
        <s v="Jacqueline Davis"/>
        <s v="Brandon Montgomery"/>
        <s v="Yolanda Garrett"/>
        <s v="Matthew Miles"/>
        <s v="Beth Hall"/>
        <s v="Dr. Nicole Trujillo"/>
        <s v="Corey Norris"/>
        <s v="Chad Roach"/>
        <s v="Mr. Edward Terry"/>
        <s v="Cody Bailey"/>
        <s v="Denise Guerra"/>
        <s v="Kristen Jones"/>
        <s v="Edward Baker"/>
        <s v="Aaron Little"/>
        <s v="Cody Smith"/>
        <s v="Patty Allen"/>
        <s v="Mary Ryan"/>
        <s v="Joseph Jimenez"/>
        <s v="Lisa Morris"/>
        <s v="Ashley Mills"/>
        <s v="Russell Anderson"/>
        <s v="Christina Washington"/>
        <s v="Kenneth Huff"/>
        <s v="Kelly Miles"/>
        <s v="Jacob Obrien"/>
        <s v="Timothy Clark"/>
        <s v="Steve Miller PhD"/>
        <s v="Justin Hurley"/>
        <s v="Jacob Erickson"/>
        <s v="Deborah Williams"/>
        <s v="Eric Blackburn"/>
        <s v="Anne Hardy"/>
        <s v="Chelsey Fox"/>
        <s v="Mario White"/>
        <s v="Jennifer Garcia"/>
        <s v="Heather Ellis"/>
        <s v="Sonya Jackson"/>
        <s v="Zachary Ramos"/>
        <s v="Ethan Frey"/>
        <s v="Jacob Duran"/>
        <s v="Nicholas Franklin"/>
        <s v="Cindy Cannon"/>
        <s v="Dawn Nixon"/>
        <s v="James Barber"/>
        <s v="Ms. Kelly Holder"/>
        <s v="Eric Walker"/>
        <s v="Alison Short"/>
        <s v="Desiree Spencer"/>
        <s v="Tammy Moore"/>
        <s v="Henry Taylor"/>
        <s v="Kevin Hall"/>
        <s v="Anna Ross"/>
        <s v="Morgan Cummings"/>
        <s v="Carrie Petersen"/>
        <s v="Laura Velez"/>
        <s v="Elizabeth Cross"/>
        <s v="Angela Brown"/>
        <s v="Hannah Montoya"/>
        <s v="Sean Kane"/>
        <s v="Matthew Guzman"/>
        <s v="Richard Reyes"/>
        <s v="Andrew Fernandez"/>
        <s v="Jonathan Walker"/>
        <s v="Nicholas Long"/>
        <s v="Kurt Wagner"/>
        <s v="Dylan Foster"/>
        <s v="Bradley Duncan"/>
        <s v="James Miller"/>
        <s v="Patricia Anderson"/>
        <s v="Justin Freeman"/>
        <s v="Christina Gilbert"/>
        <s v="Danielle Jones"/>
        <s v="Erica Glass"/>
        <s v="Michael Henderson"/>
        <s v="Frank Wheeler"/>
        <s v="Eric Huerta"/>
        <s v="Wanda Ramos"/>
        <s v="Andrew Meyers"/>
        <s v="James Todd"/>
        <s v="Ashley Brown"/>
        <s v="Tammy Melton"/>
        <s v="Alexis Benson"/>
        <s v="Jerry Johnson"/>
        <s v="Joshua Harris"/>
        <s v="Deanna Webb"/>
        <s v="Brenda Hale"/>
        <s v="Kevin Alvarado"/>
        <s v="Christopher Campbell"/>
        <s v="Lisa Brown"/>
        <s v="Alejandra Price"/>
        <s v="Samuel Keller"/>
        <s v="Alicia Dillon"/>
        <s v="Crystal James"/>
        <s v="Ariana Stewart"/>
        <s v="Kim Lopez"/>
        <s v="Judith House"/>
        <s v="David Moreno"/>
        <s v="James Moore"/>
        <s v="Harold Garrett"/>
        <s v="William Mason"/>
        <s v="Lori Johns"/>
        <s v="Robin Johnson"/>
        <s v="Diana Hernandez"/>
        <s v="Tyler Salazar"/>
        <s v="Crystal Allen"/>
        <s v="Wesley Browning"/>
        <s v="Joshua Clark"/>
        <s v="Joshua Mcbride"/>
        <s v="Ellen Thornton"/>
        <s v="Brandy Forbes"/>
        <s v="Brianna Fitzpatrick"/>
        <s v="Emily Grant"/>
        <s v="Bailey Stewart"/>
        <s v="Monica Cannon"/>
        <s v="Jennifer Jenkins"/>
        <s v="Timothy Shannon"/>
        <s v="Denise Maxwell"/>
        <s v="Cody Farmer"/>
        <s v="Debra Bradley"/>
        <s v="David Mcdaniel"/>
        <s v="Michael Woods"/>
        <s v="Lisa Joseph"/>
        <s v="Samuel Henry"/>
        <s v="Corey Johnson"/>
        <s v="Alexis Nelson"/>
        <s v="Patrick Mcneil"/>
        <s v="Andrea Ho"/>
        <s v="Dr. Katherine Nguyen"/>
        <s v="David Sullivan"/>
        <s v="Nicolas James"/>
        <s v="Logan Newton"/>
        <s v="Kelly Liu"/>
        <s v="Kelly Hayes"/>
        <s v="Amanda Forbes"/>
        <s v="Jennifer Moss"/>
        <s v="Kelli Mccoy"/>
        <s v="Eddie Sanders"/>
        <s v="Ronald Murray"/>
        <s v="Louis Brown"/>
        <s v="Brenda Gallegos"/>
        <s v="Teresa Horton"/>
        <s v="Jason Hayes"/>
        <s v="Kevin Marquez"/>
        <s v="Jesse Wright"/>
        <s v="Susan Hogan"/>
        <s v="Becky Wilson"/>
        <s v="Jack Mills"/>
        <s v="Richard Hunt"/>
        <s v="Jamie James"/>
        <s v="Susan Cunningham"/>
        <s v="Brittany Melton"/>
        <s v="Michael Barnes"/>
        <s v="Randy Griffin"/>
        <s v="Autumn Anderson"/>
        <s v="Marcus King"/>
        <s v="Scott Stephens"/>
        <s v="Stephen Young"/>
        <s v="Karen Ortiz"/>
        <s v="Kyle Sanchez"/>
        <s v="Lisa Grant"/>
        <s v="Amber Hernandez"/>
        <s v="Amanda Nash"/>
        <s v="Sara Evans"/>
        <s v="Amber Butler"/>
        <s v="Michael Carr"/>
        <s v="Linda Cobb"/>
        <s v="Jesse Riley"/>
        <s v="Anna Evans"/>
        <s v="James Jones"/>
        <s v="Joshua Carter"/>
        <s v="Michael Hill"/>
        <s v="Kelly Dominguez"/>
        <s v="Ashley Blair"/>
        <s v="Victoria Webb"/>
        <s v="Taylor Andersen"/>
        <s v="Lee Stewart"/>
        <s v="Whitney Gomez"/>
        <s v="Justin Stone"/>
        <s v="Katherine White"/>
        <s v="Michelle Krause"/>
        <s v="Alexander Garrett"/>
        <s v="Ryan Marsh"/>
        <s v="Mrs. Felicia Castro DDS"/>
        <s v="Curtis Campbell"/>
        <s v="Elizabeth Hunter"/>
        <s v="Aaron Jennings"/>
        <s v="Nathaniel Gilbert"/>
        <s v="Christopher Rivera"/>
        <s v="Michael Hendricks"/>
        <s v="Maria Olson"/>
        <s v="Stephanie Herrera"/>
        <s v="Richard Gutierrez"/>
        <s v="Sandy Evans"/>
        <s v="Emily Herrera"/>
        <s v="Michael Marsh"/>
        <s v="Heather Montes"/>
        <s v="Andre Terrell"/>
        <s v="Sarah Duncan"/>
        <s v="Kurt Hancock"/>
        <s v="Michele Edwards"/>
        <s v="Jason Crawford"/>
        <s v="Jesse Sampson"/>
        <s v="Eric Rodriguez"/>
        <s v="Paula Gentry"/>
        <s v="Alexander Webb"/>
        <s v="Cheryl Mclean"/>
        <s v="Kelly Rowe"/>
        <s v="Shane Short"/>
        <s v="Megan Anderson"/>
        <s v="Julia Reeves"/>
        <s v="April Randolph"/>
        <s v="Linda Miller"/>
        <s v="Angel Meyer"/>
        <s v="Emily Lane"/>
        <s v="Steven Flores"/>
        <s v="Donald Flores"/>
        <s v="Bruce Hernandez"/>
        <s v="Adrian Dean"/>
        <s v="Christine Bell"/>
        <s v="Charles Bush"/>
        <s v="David Jones"/>
        <s v="Gina Wallace"/>
        <s v="John Lowe"/>
        <s v="Anthony Simmons"/>
        <s v="Kyle Watkins"/>
        <s v="Melissa Jensen"/>
        <s v="Robert Marquez"/>
        <s v="Kim Beltran"/>
        <s v="Julie Anderson"/>
        <s v="Tamara Mcdonald"/>
        <s v="Michael Mckinney"/>
        <s v="Lisa Durham"/>
        <s v="Michael Ortega"/>
        <s v="Sonya Chavez"/>
        <s v="John Bell"/>
        <s v="Christopher Tate"/>
        <s v="Bethany Garcia"/>
        <s v="Rebecca Nguyen"/>
        <s v="Rebecca Patel"/>
        <s v="Jason Oliver"/>
        <s v="Valerie Reyes"/>
        <s v="Robert Garza"/>
        <s v="Jessica Cobb"/>
        <s v="Cynthia Bates"/>
        <s v="Mr. Joel Peters"/>
        <s v="Casey Blanchard"/>
        <s v="Brian Cervantes"/>
        <s v="Jamie Snyder"/>
        <s v="Ann Montoya"/>
        <s v="Stephanie Fields"/>
        <s v="Charles Hernandez"/>
        <s v="Jean Lane"/>
        <s v="Michael Stewart"/>
        <s v="Susan Torres"/>
        <s v="Jessica Haas"/>
        <s v="Brandon Smith"/>
        <s v="Mrs. Bethany Phillips"/>
        <s v="Joshua Brown"/>
        <s v="Samantha Howard"/>
        <s v="Sharon Young"/>
        <s v="Jennifer Flores"/>
        <s v="James Gardner"/>
        <s v="Karen Lopez"/>
        <s v="Tim Larsen"/>
        <s v="Zachary Santiago"/>
        <s v="Katelyn Kim"/>
        <s v="Angela May MD"/>
        <s v="Richard Munoz"/>
        <s v="Christopher Hicks"/>
        <s v="Joanna Kelly"/>
        <s v="Larry Lane"/>
        <s v="Cynthia Shaw"/>
        <s v="Joshua Richardson"/>
        <s v="Laura Bush"/>
        <s v="John Vaughn"/>
        <s v="Nicholas Terrell"/>
        <s v="Dr. Julie Miller"/>
        <s v="Ann Kennedy"/>
        <s v="Toni Miller"/>
        <s v="Rebecca Edwards"/>
        <s v="Greg Osborne"/>
        <s v="Jose Harrison"/>
        <s v="Jennifer Yu"/>
        <s v="Donna Johnson"/>
        <s v="Nicole Acosta"/>
        <s v="Amy Kennedy"/>
        <s v="Anthony Mooney"/>
        <s v="Lori Mitchell"/>
        <s v="Jonathan York"/>
        <s v="Casey Campbell"/>
        <s v="Alexis Rodriguez"/>
        <s v="Kevin Hernandez"/>
        <s v="Robert Green"/>
        <s v="Kari Lloyd"/>
        <s v="Grace Miller"/>
        <s v="Timothy Moore"/>
        <s v="Wyatt Townsend II"/>
        <s v="Mark Clark"/>
        <s v="Haley May"/>
        <s v="Audrey Jackson"/>
        <s v="Eric Reese"/>
        <s v="Kim James"/>
        <s v="Karen Thomas"/>
        <s v="Alexandra Ho"/>
        <s v="Michael Nixon"/>
        <s v="Amanda Hardin"/>
        <s v="Tina Reynolds"/>
        <s v="Shannon Rogers"/>
        <s v="Brett Pena"/>
        <s v="Raymond Curry"/>
        <s v="Leah Lee"/>
        <s v="Michael White"/>
        <s v="Megan Decker"/>
        <s v="Brent Garcia"/>
        <s v="Daniel Campbell"/>
        <s v="Alexander Davis"/>
        <s v="Mary Houston"/>
        <s v="Margaret Erickson"/>
        <s v="Scott Anderson"/>
        <s v="Stephanie Knight"/>
        <s v="Stephanie Dominguez"/>
        <s v="John Mayer"/>
        <s v="Tammy Hill"/>
        <s v="Steven Carrillo"/>
        <s v="Janet Cook"/>
        <s v="Tyler Baker"/>
        <s v="John Mcfarland"/>
        <s v="Cassandra Vasquez"/>
        <s v="Randy Robinson"/>
        <s v="Susan Baldwin"/>
        <s v="Benjamin Duncan"/>
        <s v="Jeremy Mosley"/>
        <s v="Martin Fitzpatrick"/>
        <s v="Deborah Graves"/>
        <s v="Laura Robertson"/>
        <s v="Katherine Graham"/>
        <s v="Priscilla Floyd"/>
        <s v="April Finley"/>
        <s v="Karen Bradley"/>
        <s v="Heather Maldonado"/>
        <s v="Mark Benjamin"/>
        <s v="Joseph Woodward"/>
        <s v="Joe Miranda"/>
        <s v="Cassandra Williams"/>
        <s v="Connor Dominguez"/>
        <s v="Lydia Howard"/>
        <s v="Mark Moss"/>
        <s v="Corey Cortez"/>
        <s v="Katherine Brown"/>
        <s v="Elizabeth Ferguson"/>
        <s v="Joann Forbes"/>
        <s v="Anthony French"/>
        <s v="Bruce Roman"/>
        <s v="Judy Gregory"/>
        <s v="Brittany Riley"/>
        <s v="Amanda Thomas"/>
        <s v="Kaitlin Hardin"/>
        <s v="Michael Anderson"/>
        <s v="Anthony Parker"/>
        <s v="Joy Jackson"/>
        <s v="Sabrina Rodriguez"/>
        <s v="Robert Walker PhD"/>
        <s v="Robert Hendrix"/>
        <s v="Erika Daugherty"/>
        <s v="Brenda Copeland"/>
        <s v="Pamela Watkins"/>
        <s v="Bryan Thomas"/>
        <s v="Michael Tran"/>
        <s v="Timothy Williams"/>
        <s v="Ryan Salazar"/>
        <s v="Alexis Tucker"/>
        <s v="Christopher Davis"/>
        <s v="Stacie Butler"/>
        <s v="Patricia Schwartz"/>
        <s v="Mark Mills"/>
        <s v="Todd Bishop"/>
        <s v="Christopher Porter"/>
        <s v="Lori Patton"/>
        <s v="Aaron Young"/>
        <s v="Joseph Davis"/>
        <s v="Philip Fernandez"/>
        <s v="Randy Hopkins"/>
        <s v="Cory Hogan"/>
        <s v="Tracy Wells"/>
        <s v="Michael Williams"/>
        <s v="Dominique Hamilton"/>
        <s v="Robert Chang"/>
        <s v="Patrick Buckley"/>
        <s v="Richard Washington"/>
        <s v="Steven Griffith"/>
        <s v="Erika Gonzalez"/>
        <s v="Erika Maxwell"/>
        <s v="Brent Rojas"/>
        <s v="Jaime Walker"/>
        <s v="John Zamora"/>
        <s v="Timothy Gibson"/>
        <s v="Chad Cortez"/>
        <s v="Vanessa Harris"/>
        <s v="Samuel Ellis"/>
        <s v="Greg Tanner"/>
        <s v="Rachel Little"/>
        <s v="Carolyn Cordova"/>
        <s v="Angelica Vincent"/>
        <s v="Zachary Vargas PhD"/>
        <s v="Nicholas Fitzgerald"/>
        <s v="Garrett Riley"/>
        <s v="Leslie Hernandez"/>
        <s v="Abigail Baird"/>
        <s v="John Mack"/>
        <s v="Joseph Mendoza"/>
        <s v="Samantha Chavez"/>
        <s v="Justin Smith"/>
        <s v="Tiffany Anderson"/>
        <s v="Matthew Davis"/>
        <s v="Eric Warner"/>
        <s v="Nicole Johnson"/>
        <s v="Raymond Sawyer"/>
        <s v="Richard Wood"/>
        <s v="Mark Dalton"/>
        <s v="Steven Cook"/>
        <s v="Jeffery Nelson"/>
        <s v="Kimberly Norton"/>
        <s v="Angela Gilmore"/>
        <s v="Amy Dougherty"/>
        <s v="Stacy Rodriguez"/>
        <s v="Manuel Diaz"/>
        <s v="Justin Jones"/>
        <s v="Christine Zavala"/>
        <s v="Brian Mendoza"/>
        <s v="Lauren Haley"/>
        <s v="Patrick Perez"/>
        <s v="Derek Frazier"/>
        <s v="Arthur Reed"/>
        <s v="Mr. Bryan Mckinney"/>
        <s v="Kim Carter"/>
        <s v="Rebecca Dougherty"/>
        <s v="Teresa Jones"/>
        <s v="Judith Miller"/>
        <s v="Donald Terry"/>
        <s v="Shaun Meyer DDS"/>
        <s v="Wayne Weaver"/>
        <s v="Gregory Wallace"/>
        <s v="Dorothy Brown"/>
        <s v="Crystal Meza"/>
        <s v="Jennifer Cooper"/>
        <s v="Erin Watkins"/>
        <s v="Sarah Wallace"/>
        <s v="Carlos Clarke"/>
        <s v="David Washington"/>
        <s v="Patricia Williams"/>
        <s v="Jesus Jackson"/>
        <s v="Michelle Mitchell"/>
        <s v="Sara Schwartz"/>
        <s v="Brittany Young"/>
        <s v="Eugene Martinez"/>
        <s v="Cody Hart"/>
        <s v="Evan Cooper"/>
        <s v="Joshua Martin"/>
        <s v="Thomas Sullivan"/>
        <s v="Mr. Jimmy Flores Jr."/>
        <s v="Vanessa Rivera"/>
        <s v="Kara Roberts"/>
        <s v="Veronica Berry"/>
        <s v="Keith Meadows"/>
        <s v="Michael Dennis"/>
        <s v="Brenda Pierce"/>
        <s v="James Randall"/>
        <s v="Lauren Walker"/>
        <s v="Diana Johnson"/>
        <s v="Jill Powers"/>
        <s v="Jorge Lee"/>
        <s v="Larry Harding"/>
        <s v="Heather Hernandez"/>
        <s v="Jaclyn Watson"/>
        <s v="Gregory Madden"/>
        <s v="Anita Luna"/>
        <s v="Willie Lara"/>
        <s v="Robert Waller"/>
        <s v="Steven Taylor"/>
        <s v="Angelica Clark"/>
        <s v="Sean Hatfield"/>
        <s v="Tyler Avila"/>
        <s v="Jason Rocha"/>
        <s v="Justin Page"/>
        <s v="Breanna Lopez"/>
        <s v="Julian Williams"/>
        <s v="Sandra Torres"/>
        <s v="Julie Johnson"/>
        <s v="Dennis Blanchard"/>
        <s v="Kaitlyn Valdez"/>
        <s v="Jennifer Vasquez"/>
        <s v="Danielle Wilson"/>
        <s v="Zachary Jones"/>
        <s v="Lauren Cunningham"/>
        <s v="Lori Alvarez"/>
        <s v="Barbara Hunt"/>
        <s v="Sarah Martin"/>
        <s v="Francisco Johns"/>
        <s v="Christopher Nelson"/>
        <s v="Thomas Kelly"/>
        <s v="Joseph Mayer"/>
        <s v="Pamela White"/>
        <s v="Paul Stephens"/>
        <s v="Samantha Cohen"/>
        <s v="Michael Barker"/>
        <s v="Kevin Morrow"/>
        <s v="Joseph Watson"/>
        <s v="Mr. Thomas Garcia"/>
        <s v="Daniel Lopez"/>
        <s v="Lisa Guerra"/>
        <s v="Kim Arnold"/>
        <s v="Ashley Stevens"/>
        <s v="Robert Mclean"/>
        <s v="Eric Cox"/>
        <s v="Stacy Harper"/>
        <s v="Gloria Mckinney"/>
        <s v="Robert Walker"/>
        <s v="Brenda Perez"/>
        <s v="Carlos Miller"/>
        <s v="Nicole Williams"/>
        <s v="Ricky Palmer"/>
        <s v="Bryan King"/>
        <s v="Michael Webster"/>
        <s v="Tamara Harris"/>
        <s v="Cathy Bell"/>
        <s v="Ryan Mcmahon"/>
        <s v="Monica Allen"/>
        <s v="Annette Lane"/>
      </sharedItems>
    </cacheField>
    <cacheField name="Occupation" numFmtId="0">
      <sharedItems count="6">
        <s v="Software Engineer"/>
        <s v="Nurse"/>
        <s v="Sales Representative"/>
        <s v="Teacher"/>
        <s v="Graphic Designer"/>
        <s v="Data Analyst"/>
      </sharedItems>
    </cacheField>
    <cacheField name="Limit_Balance" numFmtId="0">
      <sharedItems containsSemiMixedTypes="0" containsString="0" containsNumber="1" minValue="2000" maxValue="221766.25"/>
    </cacheField>
    <cacheField name="Age" numFmtId="0">
      <sharedItems containsSemiMixedTypes="0" containsString="0" containsNumber="1" containsInteger="1" minValue="21" maxValue="70" count="50">
        <n v="38"/>
        <n v="33"/>
        <n v="27"/>
        <n v="44"/>
        <n v="63"/>
        <n v="35"/>
        <n v="62"/>
        <n v="52"/>
        <n v="64"/>
        <n v="53"/>
        <n v="41"/>
        <n v="69"/>
        <n v="24"/>
        <n v="47"/>
        <n v="26"/>
        <n v="50"/>
        <n v="58"/>
        <n v="57"/>
        <n v="36"/>
        <n v="37"/>
        <n v="65"/>
        <n v="43"/>
        <n v="51"/>
        <n v="68"/>
        <n v="61"/>
        <n v="32"/>
        <n v="60"/>
        <n v="70"/>
        <n v="25"/>
        <n v="48"/>
        <n v="40"/>
        <n v="59"/>
        <n v="67"/>
        <n v="42"/>
        <n v="39"/>
        <n v="34"/>
        <n v="30"/>
        <n v="46"/>
        <n v="28"/>
        <n v="23"/>
        <n v="56"/>
        <n v="29"/>
        <n v="54"/>
        <n v="22"/>
        <n v="31"/>
        <n v="21"/>
        <n v="49"/>
        <n v="66"/>
        <n v="45"/>
        <n v="55"/>
      </sharedItems>
    </cacheField>
    <cacheField name="Married_Flag" numFmtId="0">
      <sharedItems containsSemiMixedTypes="0" containsString="0" containsNumber="1" containsInteger="1" minValue="0" maxValue="1"/>
    </cacheField>
    <cacheField name="Income_Stability" numFmtId="0">
      <sharedItems containsSemiMixedTypes="0" containsString="0" containsNumber="1" minValue="6.6600000000000006E-2" maxValue="1" count="1611">
        <n v="0.66539999999999999"/>
        <n v="0.6341"/>
        <n v="0.77549999999999997"/>
        <n v="0.42380000000000001"/>
        <n v="0.8599"/>
        <n v="0.54630000000000001"/>
        <n v="0.92879999999999996"/>
        <n v="0.75229999999999997"/>
        <n v="0.54310000000000003"/>
        <n v="0.71789999999999998"/>
        <n v="0.69869999999999999"/>
        <n v="0.59850000000000003"/>
        <n v="0.86480000000000001"/>
        <n v="0.75729999999999997"/>
        <n v="0.92610000000000003"/>
        <n v="0.70109999999999995"/>
        <n v="0.69830000000000003"/>
        <n v="0.6321"/>
        <n v="0.63139999999999996"/>
        <n v="0.70640000000000003"/>
        <n v="0.55110000000000003"/>
        <n v="0.62"/>
        <n v="0.9486"/>
        <n v="0.87560000000000004"/>
        <n v="1"/>
        <n v="0.73760000000000003"/>
        <n v="0.58120000000000005"/>
        <n v="0.76349999999999996"/>
        <n v="0.51600000000000001"/>
        <n v="0.67669999999999997"/>
        <n v="0.2621"/>
        <n v="0.56310000000000004"/>
        <n v="0.90629999999999999"/>
        <n v="0.63519999999999999"/>
        <n v="0.79139999999999999"/>
        <n v="0.80289999999999995"/>
        <n v="0.56989999999999996"/>
        <n v="0.73980000000000001"/>
        <n v="0.40610000000000002"/>
        <n v="0.8861"/>
        <n v="0.84650000000000003"/>
        <n v="0.76170000000000004"/>
        <n v="0.57509999999999994"/>
        <n v="0.94389999999999996"/>
        <n v="0.82199999999999995"/>
        <n v="0.55249999999999999"/>
        <n v="0.90610000000000002"/>
        <n v="0.59489999999999998"/>
        <n v="0.84940000000000004"/>
        <n v="0.61280000000000001"/>
        <n v="0.71889999999999998"/>
        <n v="0.75539999999999996"/>
        <n v="0.83540000000000003"/>
        <n v="0.58950000000000002"/>
        <n v="0.3997"/>
        <n v="0.80859999999999999"/>
        <n v="0.64659999999999995"/>
        <n v="0.39879999999999999"/>
        <n v="0.79579999999999995"/>
        <n v="0.94679999999999997"/>
        <n v="0.94179999999999997"/>
        <n v="0.60289999999999999"/>
        <n v="0.80259999999999998"/>
        <n v="0.93200000000000005"/>
        <n v="0.89610000000000001"/>
        <n v="0.87539999999999996"/>
        <n v="0.80049999999999999"/>
        <n v="0.59179999999999999"/>
        <n v="0.74619999999999997"/>
        <n v="0.72540000000000004"/>
        <n v="0.91579999999999995"/>
        <n v="0.54510000000000003"/>
        <n v="0.55720000000000003"/>
        <n v="0.41499999999999998"/>
        <n v="0.81869999999999998"/>
        <n v="0.46479999999999999"/>
        <n v="0.49890000000000001"/>
        <n v="0.622"/>
        <n v="0.28820000000000001"/>
        <n v="0.16930000000000001"/>
        <n v="0.75629999999999997"/>
        <n v="0.80640000000000001"/>
        <n v="0.60850000000000004"/>
        <n v="0.65359999999999996"/>
        <n v="0.8821"/>
        <n v="0.83440000000000003"/>
        <n v="0.58130000000000004"/>
        <n v="0.47310000000000002"/>
        <n v="0.83919999999999995"/>
        <n v="0.70179999999999998"/>
        <n v="0.99470000000000003"/>
        <n v="0.48780000000000001"/>
        <n v="0.753"/>
        <n v="0.51729999999999998"/>
        <n v="0.96819999999999995"/>
        <n v="0.89700000000000002"/>
        <n v="0.52159999999999995"/>
        <n v="0.69569999999999999"/>
        <n v="0.58620000000000005"/>
        <n v="0.44690000000000002"/>
        <n v="0.5232"/>
        <n v="0.56820000000000004"/>
        <n v="0.54200000000000004"/>
        <n v="0.66869999999999996"/>
        <n v="0.52710000000000001"/>
        <n v="0.82509999999999994"/>
        <n v="0.82630000000000003"/>
        <n v="0.5071"/>
        <n v="0.51239999999999997"/>
        <n v="0.86009999999999998"/>
        <n v="0.73619999999999997"/>
        <n v="0.56979999999999997"/>
        <n v="0.24560000000000001"/>
        <n v="0.8478"/>
        <n v="0.95379999999999998"/>
        <n v="0.98680000000000001"/>
        <n v="0.74439999999999995"/>
        <n v="0.69879999999999998"/>
        <n v="0.70709999999999995"/>
        <n v="0.66410000000000002"/>
        <n v="0.65710000000000002"/>
        <n v="0.48480000000000001"/>
        <n v="0.34060000000000001"/>
        <n v="0.56589999999999996"/>
        <n v="0.2535"/>
        <n v="0.74039999999999995"/>
        <n v="0.32450000000000001"/>
        <n v="0.77759999999999996"/>
        <n v="0.81730000000000003"/>
        <n v="0.47570000000000001"/>
        <n v="0.51449999999999996"/>
        <n v="0.43780000000000002"/>
        <n v="0.92759999999999998"/>
        <n v="0.64800000000000002"/>
        <n v="0.66690000000000005"/>
        <n v="0.81320000000000003"/>
        <n v="0.66390000000000005"/>
        <n v="0.75219999999999998"/>
        <n v="0.61619999999999997"/>
        <n v="0.84099999999999997"/>
        <n v="0.83330000000000004"/>
        <n v="0.58350000000000002"/>
        <n v="0.73040000000000005"/>
        <n v="0.95679999999999998"/>
        <n v="0.56859999999999999"/>
        <n v="0.62270000000000003"/>
        <n v="0.87480000000000002"/>
        <n v="0.39739999999999998"/>
        <n v="0.49630000000000002"/>
        <n v="0.54800000000000004"/>
        <n v="0.70289999999999997"/>
        <n v="0.78879999999999995"/>
        <n v="0.74429999999999996"/>
        <n v="0.76739999999999997"/>
        <n v="0.81499999999999995"/>
        <n v="0.66220000000000001"/>
        <n v="0.82830000000000004"/>
        <n v="0.36890000000000001"/>
        <n v="0.86599999999999999"/>
        <n v="0.82340000000000002"/>
        <n v="0.98019999999999996"/>
        <n v="0.84279999999999999"/>
        <n v="0.70730000000000004"/>
        <n v="0.77529999999999999"/>
        <n v="0.28499999999999998"/>
        <n v="0.90229999999999999"/>
        <n v="0.74399999999999999"/>
        <n v="0.81240000000000001"/>
        <n v="0.69269999999999998"/>
        <n v="0.59030000000000005"/>
        <n v="0.85850000000000004"/>
        <n v="0.41810000000000003"/>
        <n v="0.39510000000000001"/>
        <n v="0.87290000000000001"/>
        <n v="0.33139999999999997"/>
        <n v="0.18060000000000001"/>
        <n v="0.77390000000000003"/>
        <n v="0.754"/>
        <n v="0.55349999999999999"/>
        <n v="0.85929999999999995"/>
        <n v="0.27439999999999998"/>
        <n v="0.49730000000000002"/>
        <n v="0.8397"/>
        <n v="0.52869999999999995"/>
        <n v="0.107"/>
        <n v="0.3422"/>
        <n v="0.79969999999999997"/>
        <n v="0.76910000000000001"/>
        <n v="0.49170000000000003"/>
        <n v="0.98060000000000003"/>
        <n v="0.80469999999999997"/>
        <n v="0.79630000000000001"/>
        <n v="0.61240000000000006"/>
        <n v="0.65149999999999997"/>
        <n v="0.87019999999999997"/>
        <n v="0.36859999999999998"/>
        <n v="0.67989999999999995"/>
        <n v="0.6956"/>
        <n v="0.67300000000000004"/>
        <n v="0.65139999999999998"/>
        <n v="0.70860000000000001"/>
        <n v="0.59219999999999995"/>
        <n v="0.81340000000000001"/>
        <n v="0.28120000000000001"/>
        <n v="0.62729999999999997"/>
        <n v="0.69020000000000004"/>
        <n v="0.88339999999999996"/>
        <n v="0.68879999999999997"/>
        <n v="0.62860000000000005"/>
        <n v="0.92500000000000004"/>
        <n v="0.80059999999999998"/>
        <n v="0.58809999999999996"/>
        <n v="0.72829999999999995"/>
        <n v="0.60150000000000003"/>
        <n v="0.70479999999999998"/>
        <n v="0.86739999999999995"/>
        <n v="0.63639999999999997"/>
        <n v="0.58009999999999995"/>
        <n v="0.26150000000000001"/>
        <n v="0.60870000000000002"/>
        <n v="0.54790000000000005"/>
        <n v="0.96599999999999997"/>
        <n v="0.50690000000000002"/>
        <n v="0.59"/>
        <n v="0.98740000000000006"/>
        <n v="0.82550000000000001"/>
        <n v="0.60370000000000001"/>
        <n v="0.65800000000000003"/>
        <n v="0.26679999999999998"/>
        <n v="0.23680000000000001"/>
        <n v="0.56659999999999999"/>
        <n v="0.78659999999999997"/>
        <n v="0.871"/>
        <n v="0.9163"/>
        <n v="0.62119999999999997"/>
        <n v="0.80389999999999995"/>
        <n v="0.57050000000000001"/>
        <n v="0.92"/>
        <n v="0.61370000000000002"/>
        <n v="0.62709999999999999"/>
        <n v="0.84350000000000003"/>
        <n v="0.42570000000000002"/>
        <n v="0.41010000000000002"/>
        <n v="0.79469999999999996"/>
        <n v="0.38319999999999999"/>
        <n v="0.30559999999999998"/>
        <n v="0.61709999999999998"/>
        <n v="0.90500000000000003"/>
        <n v="0.70269999999999999"/>
        <n v="0.88900000000000001"/>
        <n v="0.69479999999999997"/>
        <n v="0.50600000000000001"/>
        <n v="0.72960000000000003"/>
        <n v="0.74570000000000003"/>
        <n v="0.71460000000000001"/>
        <n v="0.54869999999999997"/>
        <n v="0.76380000000000003"/>
        <n v="0.62070000000000003"/>
        <n v="0.99880000000000002"/>
        <n v="0.73119999999999996"/>
        <n v="0.53"/>
        <n v="0.70309999999999995"/>
        <n v="0.83520000000000005"/>
        <n v="0.63470000000000004"/>
        <n v="0.67910000000000004"/>
        <n v="0.7177"/>
        <n v="0.83930000000000005"/>
        <n v="0.80869999999999997"/>
        <n v="0.99280000000000002"/>
        <n v="0.4899"/>
        <n v="0.39219999999999999"/>
        <n v="0.61339999999999995"/>
        <n v="0.63900000000000001"/>
        <n v="0.91210000000000002"/>
        <n v="0.69179999999999997"/>
        <n v="0.94289999999999996"/>
        <n v="0.63529999999999998"/>
        <n v="0.95169999999999999"/>
        <n v="0.94189999999999996"/>
        <n v="0.81469999999999998"/>
        <n v="0.57189999999999996"/>
        <n v="0.82809999999999995"/>
        <n v="0.59409999999999996"/>
        <n v="0.2974"/>
        <n v="0.4541"/>
        <n v="9.2499999999999999E-2"/>
        <n v="0.38619999999999999"/>
        <n v="0.85119999999999996"/>
        <n v="0.64949999999999997"/>
        <n v="0.75139999999999996"/>
        <n v="0.85719999999999996"/>
        <n v="0.59540000000000004"/>
        <n v="0.48370000000000002"/>
        <n v="0.61699999999999999"/>
        <n v="0.78720000000000001"/>
        <n v="0.65449999999999997"/>
        <n v="0.57909999999999995"/>
        <n v="0.62309999999999999"/>
        <n v="0.5101"/>
        <n v="0.39190000000000003"/>
        <n v="0.4602"/>
        <n v="0.78820000000000001"/>
        <n v="0.61260000000000003"/>
        <n v="0.50049999999999994"/>
        <n v="0.26869999999999999"/>
        <n v="0.54520000000000002"/>
        <n v="0.60140000000000005"/>
        <n v="0.66320000000000001"/>
        <n v="0.96079999999999999"/>
        <n v="0.67559999999999998"/>
        <n v="0.9496"/>
        <n v="0.64490000000000003"/>
        <n v="0.67700000000000005"/>
        <n v="0.73329999999999995"/>
        <n v="0.62909999999999999"/>
        <n v="0.63419999999999999"/>
        <n v="0.52459999999999996"/>
        <n v="0.52829999999999999"/>
        <n v="0.5655"/>
        <n v="0.40839999999999999"/>
        <n v="0.98599999999999999"/>
        <n v="0.67510000000000003"/>
        <n v="0.86860000000000004"/>
        <n v="0.84760000000000002"/>
        <n v="0.60470000000000002"/>
        <n v="0.57479999999999998"/>
        <n v="0.66139999999999999"/>
        <n v="0.63460000000000005"/>
        <n v="0.47839999999999999"/>
        <n v="0.60560000000000003"/>
        <n v="0.85660000000000003"/>
        <n v="0.3669"/>
        <n v="0.70650000000000002"/>
        <n v="0.65210000000000001"/>
        <n v="0.60709999999999997"/>
        <n v="0.70389999999999997"/>
        <n v="0.98089999999999999"/>
        <n v="0.92479999999999996"/>
        <n v="0.82310000000000005"/>
        <n v="0.49280000000000002"/>
        <n v="0.52539999999999998"/>
        <n v="0.73809999999999998"/>
        <n v="0.78600000000000003"/>
        <n v="0.59199999999999997"/>
        <n v="0.51060000000000005"/>
        <n v="0.55869999999999997"/>
        <n v="0.84509999999999996"/>
        <n v="0.79190000000000005"/>
        <n v="0.7974"/>
        <n v="0.46360000000000001"/>
        <n v="0.84079999999999999"/>
        <n v="0.54859999999999998"/>
        <n v="0.46460000000000001"/>
        <n v="0.47860000000000003"/>
        <n v="0.83379999999999999"/>
        <n v="0.32440000000000002"/>
        <n v="0.91420000000000001"/>
        <n v="0.86329999999999996"/>
        <n v="0.62770000000000004"/>
        <n v="0.748"/>
        <n v="0.54720000000000002"/>
        <n v="0.63549999999999995"/>
        <n v="0.65669999999999995"/>
        <n v="0.57299999999999995"/>
        <n v="0.76429999999999998"/>
        <n v="0.38929999999999998"/>
        <n v="0.86280000000000001"/>
        <n v="0.70350000000000001"/>
        <n v="0.75819999999999999"/>
        <n v="0.76300000000000001"/>
        <n v="0.51139999999999997"/>
        <n v="0.65239999999999998"/>
        <n v="0.68410000000000004"/>
        <n v="0.82699999999999996"/>
        <n v="0.64359999999999995"/>
        <n v="0.72260000000000002"/>
        <n v="0.76100000000000001"/>
        <n v="0.6603"/>
        <n v="0.26440000000000002"/>
        <n v="0.65259999999999996"/>
        <n v="0.78410000000000002"/>
        <n v="0.4536"/>
        <n v="0.4793"/>
        <n v="0.47620000000000001"/>
        <n v="0.69040000000000001"/>
        <n v="0.72950000000000004"/>
        <n v="0.70469999999999999"/>
        <n v="0.99370000000000003"/>
        <n v="0.59379999999999999"/>
        <n v="0.70009999999999994"/>
        <n v="0.61070000000000002"/>
        <n v="0.70140000000000002"/>
        <n v="0.86350000000000005"/>
        <n v="0.50609999999999999"/>
        <n v="0.80700000000000005"/>
        <n v="0.72009999999999996"/>
        <n v="0.95"/>
        <n v="0.94220000000000004"/>
        <n v="0.58320000000000005"/>
        <n v="0.4335"/>
        <n v="0.87490000000000001"/>
        <n v="0.60070000000000001"/>
        <n v="0.89590000000000003"/>
        <n v="0.55959999999999999"/>
        <n v="0.68869999999999998"/>
        <n v="0.65329999999999999"/>
        <n v="0.94489999999999996"/>
        <n v="0.91169999999999995"/>
        <n v="0.72760000000000002"/>
        <n v="0.76780000000000004"/>
        <n v="0.76370000000000005"/>
        <n v="0.55789999999999995"/>
        <n v="0.70489999999999997"/>
        <n v="0.23050000000000001"/>
        <n v="0.66979999999999995"/>
        <n v="0.76639999999999997"/>
        <n v="0.66949999999999998"/>
        <n v="0.43619999999999998"/>
        <n v="0.48060000000000003"/>
        <n v="0.68899999999999995"/>
        <n v="0.60250000000000004"/>
        <n v="0.51719999999999999"/>
        <n v="0.91600000000000004"/>
        <n v="0.64249999999999996"/>
        <n v="0.91790000000000005"/>
        <n v="0.55000000000000004"/>
        <n v="0.47589999999999999"/>
        <n v="0.81489999999999996"/>
        <n v="0.4819"/>
        <n v="0.60629999999999995"/>
        <n v="0.63049999999999995"/>
        <n v="0.38"/>
        <n v="0.59260000000000002"/>
        <n v="0.41310000000000002"/>
        <n v="0.93810000000000004"/>
        <n v="0.59279999999999999"/>
        <n v="0.75780000000000003"/>
        <n v="0.87870000000000004"/>
        <n v="0.38750000000000001"/>
        <n v="0.89510000000000001"/>
        <n v="0.56810000000000005"/>
        <n v="0.74229999999999996"/>
        <n v="0.70330000000000004"/>
        <n v="0.68049999999999999"/>
        <n v="0.86229999999999996"/>
        <n v="0.72619999999999996"/>
        <n v="0.77869999999999995"/>
        <n v="0.45490000000000003"/>
        <n v="0.50800000000000001"/>
        <n v="0.2414"/>
        <n v="0.90759999999999996"/>
        <n v="0.77490000000000003"/>
        <n v="0.74990000000000001"/>
        <n v="0.90880000000000005"/>
        <n v="0.81969999999999998"/>
        <n v="0.61550000000000005"/>
        <n v="0.90290000000000004"/>
        <n v="0.36759999999999998"/>
        <n v="0.54039999999999999"/>
        <n v="0.81830000000000003"/>
        <n v="0.59130000000000005"/>
        <n v="0.22720000000000001"/>
        <n v="0.40710000000000002"/>
        <n v="0.50090000000000001"/>
        <n v="0.9677"/>
        <n v="0.85629999999999995"/>
        <n v="0.39369999999999999"/>
        <n v="0.78480000000000005"/>
        <n v="0.61219999999999997"/>
        <n v="0.70150000000000001"/>
        <n v="0.63319999999999999"/>
        <n v="0.56459999999999999"/>
        <n v="0.68100000000000005"/>
        <n v="0.76919999999999999"/>
        <n v="0.83850000000000002"/>
        <n v="0.64470000000000005"/>
        <n v="0.6361"/>
        <n v="0.72919999999999996"/>
        <n v="0.4158"/>
        <n v="0.86439999999999995"/>
        <n v="0.78249999999999997"/>
        <n v="0.82450000000000001"/>
        <n v="0.55500000000000005"/>
        <n v="0.37769999999999998"/>
        <n v="0.84030000000000005"/>
        <n v="0.93689999999999996"/>
        <n v="0.89039999999999997"/>
        <n v="0.44309999999999999"/>
        <n v="0.63690000000000002"/>
        <n v="0.60570000000000002"/>
        <n v="0.53190000000000004"/>
        <n v="0.48970000000000002"/>
        <n v="0.75260000000000005"/>
        <n v="0.8871"/>
        <n v="0.30309999999999998"/>
        <n v="0.87109999999999999"/>
        <n v="0.64980000000000004"/>
        <n v="0.3402"/>
        <n v="0.51190000000000002"/>
        <n v="0.51090000000000002"/>
        <n v="0.51280000000000003"/>
        <n v="0.9798"/>
        <n v="0.48309999999999997"/>
        <n v="0.65"/>
        <n v="0.73640000000000005"/>
        <n v="0.74629999999999996"/>
        <n v="0.79669999999999996"/>
        <n v="0.77110000000000001"/>
        <n v="0.55069999999999997"/>
        <n v="0.72609999999999997"/>
        <n v="0.61580000000000001"/>
        <n v="0.4667"/>
        <n v="0.40560000000000002"/>
        <n v="0.503"/>
        <n v="0.29609999999999997"/>
        <n v="0.63029999999999997"/>
        <n v="0.55169999999999997"/>
        <n v="0.81520000000000004"/>
        <n v="0.91049999999999998"/>
        <n v="0.92030000000000001"/>
        <n v="0.62419999999999998"/>
        <n v="0.82869999999999999"/>
        <n v="0.64349999999999996"/>
        <n v="0.49199999999999999"/>
        <n v="0.93420000000000003"/>
        <n v="0.29799999999999999"/>
        <n v="0.74180000000000001"/>
        <n v="0.46339999999999998"/>
        <n v="0.74960000000000004"/>
        <n v="0.86670000000000003"/>
        <n v="0.61890000000000001"/>
        <n v="0.28089999999999998"/>
        <n v="0.94340000000000002"/>
        <n v="0.47"/>
        <n v="0.56699999999999995"/>
        <n v="0.63480000000000003"/>
        <n v="0.56140000000000001"/>
        <n v="0.54120000000000001"/>
        <n v="0.1053"/>
        <n v="0.66639999999999999"/>
        <n v="0.79590000000000005"/>
        <n v="0.86060000000000003"/>
        <n v="0.52900000000000003"/>
        <n v="0.73250000000000004"/>
        <n v="0.63390000000000002"/>
        <n v="0.36659999999999998"/>
        <n v="0.74719999999999998"/>
        <n v="0.79210000000000003"/>
        <n v="0.35980000000000001"/>
        <n v="0.72089999999999999"/>
        <n v="0.46250000000000002"/>
        <n v="0.8992"/>
        <n v="0.68610000000000004"/>
        <n v="0.41360000000000002"/>
        <n v="0.35799999999999998"/>
        <n v="0.84699999999999998"/>
        <n v="0.60740000000000005"/>
        <n v="0.54290000000000005"/>
        <n v="0.48520000000000002"/>
        <n v="0.23169999999999999"/>
        <n v="0.7429"/>
        <n v="0.86119999999999997"/>
        <n v="0.3513"/>
        <n v="0.88380000000000003"/>
        <n v="0.4632"/>
        <n v="0.67659999999999998"/>
        <n v="0.78610000000000002"/>
        <n v="0.80889999999999995"/>
        <n v="0.66920000000000002"/>
        <n v="0.49980000000000002"/>
        <n v="0.58709999999999996"/>
        <n v="0.78920000000000001"/>
        <n v="0.3644"/>
        <n v="0.81620000000000004"/>
        <n v="0.7641"/>
        <n v="0.62660000000000005"/>
        <n v="0.45750000000000002"/>
        <n v="0.64119999999999999"/>
        <n v="0.67620000000000002"/>
        <n v="0.80900000000000005"/>
        <n v="0.7046"/>
        <n v="0.97140000000000004"/>
        <n v="0.69689999999999996"/>
        <n v="0.54249999999999998"/>
        <n v="0.64929999999999999"/>
        <n v="0.746"/>
        <n v="0.50419999999999998"/>
        <n v="0.51249999999999996"/>
        <n v="0.6008"/>
        <n v="0.71650000000000003"/>
        <n v="0.88800000000000001"/>
        <n v="0.52200000000000002"/>
        <n v="0.94789999999999996"/>
        <n v="0.82220000000000004"/>
        <n v="0.4708"/>
        <n v="0.92200000000000004"/>
        <n v="0.6966"/>
        <n v="0.65190000000000003"/>
        <n v="0.69379999999999997"/>
        <n v="0.65939999999999999"/>
        <n v="0.80610000000000004"/>
        <n v="0.88460000000000005"/>
        <n v="0.54569999999999996"/>
        <n v="0.98760000000000003"/>
        <n v="0.99229999999999996"/>
        <n v="0.58340000000000003"/>
        <n v="0.8054"/>
        <n v="0.8296"/>
        <n v="0.57889999999999997"/>
        <n v="0.99"/>
        <n v="0.56489999999999996"/>
        <n v="0.55740000000000001"/>
        <n v="0.83679999999999999"/>
        <n v="0.85289999999999999"/>
        <n v="0.17599999999999999"/>
        <n v="0.94889999999999997"/>
        <n v="0.90849999999999997"/>
        <n v="0.62519999999999998"/>
        <n v="0.42399999999999999"/>
        <n v="0.67630000000000001"/>
        <n v="0.77359999999999995"/>
        <n v="0.57279999999999998"/>
        <n v="0.70820000000000005"/>
        <n v="0.74080000000000001"/>
        <n v="0.5222"/>
        <n v="0.92849999999999999"/>
        <n v="0.41760000000000003"/>
        <n v="0.90749999999999997"/>
        <n v="0.69550000000000001"/>
        <n v="0.1026"/>
        <n v="0.61029999999999995"/>
        <n v="0.68059999999999998"/>
        <n v="0.70450000000000002"/>
        <n v="0.83699999999999997"/>
        <n v="0.8498"/>
        <n v="0.64770000000000005"/>
        <n v="0.38729999999999998"/>
        <n v="0.76890000000000003"/>
        <n v="0.68300000000000005"/>
        <n v="0.73160000000000003"/>
        <n v="0.85670000000000002"/>
        <n v="0.4526"/>
        <n v="0.82320000000000004"/>
        <n v="0.70089999999999997"/>
        <n v="0.86"/>
        <n v="0.5302"/>
        <n v="0.42849999999999999"/>
        <n v="0.6"/>
        <n v="0.66720000000000002"/>
        <n v="0.79679999999999995"/>
        <n v="0.57440000000000002"/>
        <n v="0.94030000000000002"/>
        <n v="0.59519999999999995"/>
        <n v="0.83750000000000002"/>
        <n v="0.82769999999999999"/>
        <n v="0.45889999999999997"/>
        <n v="0.52880000000000005"/>
        <n v="0.77829999999999999"/>
        <n v="0.82420000000000004"/>
        <n v="0.38979999999999998"/>
        <n v="0.629"/>
        <n v="0.6552"/>
        <n v="0.58450000000000002"/>
        <n v="0.81920000000000004"/>
        <n v="0.75"/>
        <n v="0.78220000000000001"/>
        <n v="0.38490000000000002"/>
        <n v="0.74519999999999997"/>
        <n v="0.67830000000000001"/>
        <n v="0.49519999999999997"/>
        <n v="0.7258"/>
        <n v="0.71719999999999995"/>
        <n v="0.53900000000000003"/>
        <n v="0.78939999999999999"/>
        <n v="0.5575"/>
        <n v="0.50360000000000005"/>
        <n v="0.75439999999999996"/>
        <n v="0.73780000000000001"/>
        <n v="0.79959999999999998"/>
        <n v="0.78490000000000004"/>
        <n v="0.75049999999999994"/>
        <n v="0.81279999999999997"/>
        <n v="0.77629999999999999"/>
        <n v="0.78690000000000004"/>
        <n v="0.72309999999999997"/>
        <n v="0.46179999999999999"/>
        <n v="0.54890000000000005"/>
        <n v="0.65749999999999997"/>
        <n v="0.71530000000000005"/>
        <n v="0.52190000000000003"/>
        <n v="0.85399999999999998"/>
        <n v="0.64459999999999995"/>
        <n v="0.72340000000000004"/>
        <n v="0.67359999999999998"/>
        <n v="0.376"/>
        <n v="0.55389999999999995"/>
        <n v="0.60389999999999999"/>
        <n v="0.61850000000000005"/>
        <n v="0.62380000000000002"/>
        <n v="0.73080000000000001"/>
        <n v="0.40479999999999999"/>
        <n v="0.61419999999999997"/>
        <n v="0.52180000000000004"/>
        <n v="0.81089999999999995"/>
        <n v="0.57310000000000005"/>
        <n v="0.5363"/>
        <n v="0.83099999999999996"/>
        <n v="0.81720000000000004"/>
        <n v="0.52129999999999999"/>
        <n v="0.55559999999999998"/>
        <n v="0.62480000000000002"/>
        <n v="0.68179999999999996"/>
        <n v="0.80489999999999995"/>
        <n v="0.67710000000000004"/>
        <n v="0.73399999999999999"/>
        <n v="0.67069999999999996"/>
        <n v="0.85"/>
        <n v="0.3054"/>
        <n v="0.33689999999999998"/>
        <n v="0.53210000000000002"/>
        <n v="0.61950000000000005"/>
        <n v="0.65720000000000001"/>
        <n v="0.89500000000000002"/>
        <n v="0.74450000000000005"/>
        <n v="0.78959999999999997"/>
        <n v="0.86709999999999998"/>
        <n v="0.67600000000000005"/>
        <n v="0.68230000000000002"/>
        <n v="0.69089999999999996"/>
        <n v="0.65290000000000004"/>
        <n v="0.74380000000000002"/>
        <n v="0.97060000000000002"/>
        <n v="0.6048"/>
        <n v="0.78149999999999997"/>
        <n v="0.86829999999999996"/>
        <n v="0.73270000000000002"/>
        <n v="0.69530000000000003"/>
        <n v="0.92190000000000005"/>
        <n v="0.4763"/>
        <n v="0.59340000000000004"/>
        <n v="0.24179999999999999"/>
        <n v="0.66859999999999997"/>
        <n v="0.61480000000000001"/>
        <n v="0.97670000000000001"/>
        <n v="0.70220000000000005"/>
        <n v="0.50660000000000005"/>
        <n v="0.50319999999999998"/>
        <n v="0.93369999999999997"/>
        <n v="0.77170000000000005"/>
        <n v="0.57879999999999998"/>
        <n v="0.79179999999999995"/>
        <n v="0.82099999999999995"/>
        <n v="0.75160000000000005"/>
        <n v="0.95630000000000004"/>
        <n v="0.48680000000000001"/>
        <n v="0.3911"/>
        <n v="0.90429999999999999"/>
        <n v="0.72399999999999998"/>
        <n v="0.65110000000000001"/>
        <n v="0.72789999999999999"/>
        <n v="0.88639999999999997"/>
        <n v="0.38090000000000002"/>
        <n v="0.84950000000000003"/>
        <n v="0.64859999999999995"/>
        <n v="0.42580000000000001"/>
        <n v="0.94069999999999998"/>
        <n v="0.47889999999999999"/>
        <n v="0.95920000000000005"/>
        <n v="0.37680000000000002"/>
        <n v="0.93779999999999997"/>
        <n v="0.73699999999999999"/>
        <n v="0.37259999999999999"/>
        <n v="0.67879999999999996"/>
        <n v="0.91520000000000001"/>
        <n v="0.76559999999999995"/>
        <n v="0.81779999999999997"/>
        <n v="0.75939999999999996"/>
        <n v="0.7984"/>
        <n v="0.50629999999999997"/>
        <n v="0.61099999999999999"/>
        <n v="0.7611"/>
        <n v="0.55649999999999999"/>
        <n v="0.59350000000000003"/>
        <n v="0.5675"/>
        <n v="0.77049999999999996"/>
        <n v="0.35289999999999999"/>
        <n v="0.77100000000000002"/>
        <n v="0.56620000000000004"/>
        <n v="0.39560000000000001"/>
        <n v="0.64229999999999998"/>
        <n v="0.84789999999999999"/>
        <n v="0.44790000000000002"/>
        <n v="0.86699999999999999"/>
        <n v="0.69069999999999998"/>
        <n v="0.56040000000000001"/>
        <n v="0.84119999999999995"/>
        <n v="0.65280000000000005"/>
        <n v="0.74470000000000003"/>
        <n v="0.65080000000000005"/>
        <n v="0.75329999999999997"/>
        <n v="0.60819999999999996"/>
        <n v="0.71440000000000003"/>
        <n v="0.35249999999999998"/>
        <n v="0.97470000000000001"/>
        <n v="0.8538"/>
        <n v="0.78859999999999997"/>
        <n v="0.53339999999999999"/>
        <n v="0.65620000000000001"/>
        <n v="0.5827"/>
        <n v="0.79169999999999996"/>
        <n v="0.86460000000000004"/>
        <n v="0.56640000000000001"/>
        <n v="0.6331"/>
        <n v="0.73880000000000001"/>
        <n v="0.39550000000000002"/>
        <n v="0.96360000000000001"/>
        <n v="0.52980000000000005"/>
        <n v="0.5726"/>
        <n v="0.94259999999999999"/>
        <n v="0.81079999999999997"/>
        <n v="0.56110000000000004"/>
        <n v="0.44400000000000001"/>
        <n v="0.62680000000000002"/>
        <n v="0.68540000000000001"/>
        <n v="0.58140000000000003"/>
        <n v="0.7329"/>
        <n v="0.94779999999999998"/>
        <n v="0.71409999999999996"/>
        <n v="0.68159999999999998"/>
        <n v="0.66669999999999996"/>
        <n v="0.7127"/>
        <n v="0.82679999999999998"/>
        <n v="0.87739999999999996"/>
        <n v="0.97570000000000001"/>
        <n v="0.72160000000000002"/>
        <n v="0.60860000000000003"/>
        <n v="0.2203"/>
        <n v="0.8095"/>
        <n v="0.98070000000000002"/>
        <n v="0.3891"/>
        <n v="0.88780000000000003"/>
        <n v="0.52800000000000002"/>
        <n v="0.9294"/>
        <n v="0.30249999999999999"/>
        <n v="0.504"/>
        <n v="0.71519999999999995"/>
        <n v="0.5746"/>
        <n v="0.29780000000000001"/>
        <n v="0.68420000000000003"/>
        <n v="0.85219999999999996"/>
        <n v="0.63219999999999998"/>
        <n v="0.55900000000000005"/>
        <n v="0.75309999999999999"/>
        <n v="0.54049999999999998"/>
        <n v="0.97309999999999997"/>
        <n v="0.56030000000000002"/>
        <n v="0.59089999999999998"/>
        <n v="0.7349"/>
        <n v="0.82430000000000003"/>
        <n v="0.30380000000000001"/>
        <n v="0.8024"/>
        <n v="0.73199999999999998"/>
        <n v="0.59940000000000004"/>
        <n v="0.57240000000000002"/>
        <n v="0.4461"/>
        <n v="0.67459999999999998"/>
        <n v="0.74419999999999997"/>
        <n v="0.80620000000000003"/>
        <n v="0.33639999999999998"/>
        <n v="0.91090000000000004"/>
        <n v="0.28079999999999999"/>
        <n v="0.92490000000000006"/>
        <n v="0.94520000000000004"/>
        <n v="0.94740000000000002"/>
        <n v="0.80079999999999996"/>
        <n v="0.67749999999999999"/>
        <n v="0.49059999999999998"/>
        <n v="0.95130000000000003"/>
        <n v="0.94810000000000005"/>
        <n v="0.90639999999999998"/>
        <n v="0.94059999999999999"/>
        <n v="0.95099999999999996"/>
        <n v="0.50019999999999998"/>
        <n v="0.73419999999999996"/>
        <n v="0.70199999999999996"/>
        <n v="0.71989999999999998"/>
        <n v="0.69310000000000005"/>
        <n v="0.70750000000000002"/>
        <n v="0.42659999999999998"/>
        <n v="0.87990000000000002"/>
        <n v="0.4914"/>
        <n v="0.72709999999999997"/>
        <n v="0.76859999999999995"/>
        <n v="0.3417"/>
        <n v="0.75829999999999997"/>
        <n v="0.46750000000000003"/>
        <n v="0.67810000000000004"/>
        <n v="0.52329999999999999"/>
        <n v="0.88239999999999996"/>
        <n v="0.53549999999999998"/>
        <n v="0.58579999999999999"/>
        <n v="0.76900000000000002"/>
        <n v="0.71189999999999998"/>
        <n v="0.68200000000000005"/>
        <n v="0.88419999999999999"/>
        <n v="0.69189999999999996"/>
        <n v="0.72750000000000004"/>
        <n v="0.60599999999999998"/>
        <n v="0.56379999999999997"/>
        <n v="0.46650000000000003"/>
        <n v="0.66080000000000005"/>
        <n v="0.72909999999999997"/>
        <n v="0.7601"/>
        <n v="0.97460000000000002"/>
        <n v="0.60329999999999995"/>
        <n v="0.52659999999999996"/>
        <n v="0.79090000000000005"/>
        <n v="0.82330000000000003"/>
        <n v="0.71340000000000003"/>
        <n v="0.66849999999999998"/>
        <n v="0.81589999999999996"/>
        <n v="0.4647"/>
        <n v="0.6774"/>
        <n v="0.63249999999999995"/>
        <n v="0.99409999999999998"/>
        <n v="0.77839999999999998"/>
        <n v="0.95589999999999997"/>
        <n v="0.41589999999999999"/>
        <n v="0.48659999999999998"/>
        <n v="0.86099999999999999"/>
        <n v="0.69510000000000005"/>
        <n v="0.48159999999999997"/>
        <n v="0.52490000000000003"/>
        <n v="0.31780000000000003"/>
        <n v="0.69840000000000002"/>
        <n v="0.48530000000000001"/>
        <n v="0.57210000000000005"/>
        <n v="0.9637"/>
        <n v="0.82940000000000003"/>
        <n v="0.66749999999999998"/>
        <n v="0.65959999999999996"/>
        <n v="0.84499999999999997"/>
        <n v="0.66379999999999995"/>
        <n v="0.43190000000000001"/>
        <n v="0.68659999999999999"/>
        <n v="0.70169999999999999"/>
        <n v="0.8569"/>
        <n v="0.8619"/>
        <n v="0.45529999999999998"/>
        <n v="0.72509999999999997"/>
        <n v="0.78369999999999995"/>
        <n v="0.62739999999999996"/>
        <n v="0.72460000000000002"/>
        <n v="0.95909999999999995"/>
        <n v="0.61180000000000001"/>
        <n v="0.45650000000000002"/>
        <n v="0.92859999999999998"/>
        <n v="0.84179999999999999"/>
        <n v="0.84799999999999998"/>
        <n v="0.84219999999999995"/>
        <n v="0.5494"/>
        <n v="0.72660000000000002"/>
        <n v="0.71009999999999995"/>
        <n v="0.59809999999999997"/>
        <n v="0.61839999999999995"/>
        <n v="0.5353"/>
        <n v="0.58750000000000002"/>
        <n v="0.85880000000000001"/>
        <n v="0.75919999999999999"/>
        <n v="0.75670000000000004"/>
        <n v="0.87039999999999995"/>
        <n v="0.71589999999999998"/>
        <n v="0.5534"/>
        <n v="0.77669999999999995"/>
        <n v="0.41649999999999998"/>
        <n v="0.68120000000000003"/>
        <n v="0.73380000000000001"/>
        <n v="0.89449999999999996"/>
        <n v="0.47049999999999997"/>
        <n v="0.58760000000000001"/>
        <n v="0.99419999999999997"/>
        <n v="0.93279999999999996"/>
        <n v="0.60299999999999998"/>
        <n v="0.62560000000000004"/>
        <n v="0.99390000000000001"/>
        <n v="0.66249999999999998"/>
        <n v="0.6704"/>
        <n v="0.82950000000000002"/>
        <n v="0.59840000000000004"/>
        <n v="0.7732"/>
        <n v="0.91139999999999999"/>
        <n v="0.44640000000000002"/>
        <n v="0.66900000000000004"/>
        <n v="0.79479999999999995"/>
        <n v="0.74670000000000003"/>
        <n v="0.7742"/>
        <n v="0.46050000000000002"/>
        <n v="0.72250000000000003"/>
        <n v="0.51619999999999999"/>
        <n v="0.77449999999999997"/>
        <n v="0.70120000000000005"/>
        <n v="0.61329999999999996"/>
        <n v="0.78420000000000001"/>
        <n v="0.81850000000000001"/>
        <n v="0.65600000000000003"/>
        <n v="0.62460000000000004"/>
        <n v="0.34970000000000001"/>
        <n v="0.67549999999999999"/>
        <n v="0.64690000000000003"/>
        <n v="0.25340000000000001"/>
        <n v="0.87809999999999999"/>
        <n v="0.52769999999999995"/>
        <n v="0.39989999999999998"/>
        <n v="0.76449999999999996"/>
        <n v="0.49619999999999997"/>
        <n v="0.64370000000000005"/>
        <n v="0.96499999999999997"/>
        <n v="0.51859999999999995"/>
        <n v="0.8387"/>
        <n v="0.45979999999999999"/>
        <n v="0.80430000000000001"/>
        <n v="0.69920000000000004"/>
        <n v="0.59499999999999997"/>
        <n v="0.45860000000000001"/>
        <n v="0.89659999999999995"/>
        <n v="0.76729999999999998"/>
        <n v="0.63400000000000001"/>
        <n v="0.45810000000000001"/>
        <n v="0.99029999999999996"/>
        <n v="0.69989999999999997"/>
        <n v="0.52969999999999995"/>
        <n v="0.96350000000000002"/>
        <n v="0.43090000000000001"/>
        <n v="0.90549999999999997"/>
        <n v="0.69950000000000001"/>
        <n v="0.23180000000000001"/>
        <n v="0.74119999999999997"/>
        <n v="0.44169999999999998"/>
        <n v="0.40639999999999998"/>
        <n v="0.99319999999999997"/>
        <n v="0.75960000000000005"/>
        <n v="0.57230000000000003"/>
        <n v="0.4103"/>
        <n v="0.62719999999999998"/>
        <n v="0.71560000000000001"/>
        <n v="0.6653"/>
        <n v="0.63929999999999998"/>
        <n v="0.92700000000000005"/>
        <n v="0.7722"/>
        <n v="0.49230000000000002"/>
        <n v="0.71679999999999999"/>
        <n v="0.71550000000000002"/>
        <n v="0.59970000000000001"/>
        <n v="0.7954"/>
        <n v="0.5131"/>
        <n v="0.38840000000000002"/>
        <n v="0.5968"/>
        <n v="0.52210000000000001"/>
        <n v="0.59009999999999996"/>
        <n v="0.33489999999999998"/>
        <n v="0.57640000000000002"/>
        <n v="0.67969999999999997"/>
        <n v="0.67420000000000002"/>
        <n v="0.78669999999999995"/>
        <n v="0.80449999999999999"/>
        <n v="0.52059999999999995"/>
        <n v="0.48170000000000002"/>
        <n v="0.5383"/>
        <n v="0.67259999999999998"/>
        <n v="0.57179999999999997"/>
        <n v="0.89900000000000002"/>
        <n v="0.34289999999999998"/>
        <n v="0.47789999999999999"/>
        <n v="0.46200000000000002"/>
        <n v="0.8075"/>
        <n v="0.50290000000000001"/>
        <n v="0.95240000000000002"/>
        <n v="0.6613"/>
        <n v="0.94310000000000005"/>
        <n v="0.48420000000000002"/>
        <n v="0.84089999999999998"/>
        <n v="0.41909999999999997"/>
        <n v="0.41620000000000001"/>
        <n v="0.73599999999999999"/>
        <n v="0.42599999999999999"/>
        <n v="0.75529999999999997"/>
        <n v="0.82040000000000002"/>
        <n v="0.79339999999999999"/>
        <n v="0.50739999999999996"/>
        <n v="0.53129999999999999"/>
        <n v="0.66290000000000004"/>
        <n v="0.59460000000000002"/>
        <n v="0.67889999999999995"/>
        <n v="0.98419999999999996"/>
        <n v="0.41670000000000001"/>
        <n v="6.6600000000000006E-2"/>
        <n v="0.77029999999999998"/>
        <n v="0.71450000000000002"/>
        <n v="0.7198"/>
        <n v="0.63349999999999995"/>
        <n v="0.5202"/>
        <n v="0.7359"/>
        <n v="0.45989999999999998"/>
        <n v="0.83720000000000006"/>
        <n v="0.9214"/>
        <n v="0.48470000000000002"/>
        <n v="0.32950000000000002"/>
        <n v="0.77070000000000005"/>
        <n v="0.50570000000000004"/>
        <n v="0.91359999999999997"/>
        <n v="0.53010000000000002"/>
        <n v="0.62350000000000005"/>
        <n v="0.56540000000000001"/>
        <n v="0.57199999999999995"/>
        <n v="0.61380000000000001"/>
        <n v="0.63980000000000004"/>
        <n v="0.42949999999999999"/>
        <n v="0.61650000000000005"/>
        <n v="0.82520000000000004"/>
        <n v="0.68640000000000001"/>
        <n v="0.61660000000000004"/>
        <n v="0.87309999999999999"/>
        <n v="0.79430000000000001"/>
        <n v="0.8891"/>
        <n v="0.53939999999999999"/>
        <n v="0.79330000000000001"/>
        <n v="0.81069999999999998"/>
        <n v="0.34889999999999999"/>
        <n v="0.89759999999999995"/>
        <n v="0.64629999999999999"/>
        <n v="0.77659999999999996"/>
        <n v="0.73019999999999996"/>
        <n v="0.3947"/>
        <n v="0.71940000000000004"/>
        <n v="0.5514"/>
        <n v="0.58489999999999998"/>
        <n v="0.70340000000000003"/>
        <n v="0.58899999999999997"/>
        <n v="0.80110000000000003"/>
        <n v="0.48949999999999999"/>
        <n v="0.83309999999999995"/>
        <n v="0.73129999999999995"/>
        <n v="0.8448"/>
        <n v="0.82989999999999997"/>
        <n v="0.50490000000000002"/>
        <n v="0.62039999999999995"/>
        <n v="0.51290000000000002"/>
        <n v="0.53580000000000005"/>
        <n v="0.43940000000000001"/>
        <n v="0.8"/>
        <n v="0.61870000000000003"/>
        <n v="0.87239999999999995"/>
        <n v="0.97550000000000003"/>
        <n v="0.68959999999999999"/>
        <n v="0.59319999999999995"/>
        <n v="0.94530000000000003"/>
        <n v="0.44479999999999997"/>
        <n v="0.75849999999999995"/>
        <n v="0.65869999999999995"/>
        <n v="0.77280000000000004"/>
        <n v="0.74590000000000001"/>
        <n v="0.56389999999999996"/>
        <n v="0.75349999999999995"/>
        <n v="0.51149999999999995"/>
        <n v="0.69259999999999999"/>
        <n v="0.88090000000000002"/>
        <n v="0.73370000000000002"/>
        <n v="0.64049999999999996"/>
        <n v="0.73680000000000001"/>
        <n v="0.48830000000000001"/>
        <n v="0.84340000000000004"/>
        <n v="0.78810000000000002"/>
        <n v="0.75490000000000002"/>
        <n v="0.72350000000000003"/>
        <n v="0.77800000000000002"/>
        <n v="0.93230000000000002"/>
        <n v="0.25829999999999997"/>
        <n v="0.91200000000000003"/>
        <n v="0.90369999999999995"/>
        <n v="0.84750000000000003"/>
        <n v="0.99429999999999996"/>
        <n v="0.95620000000000005"/>
        <n v="0.46500000000000002"/>
        <n v="0.2611"/>
        <n v="0.59160000000000001"/>
        <n v="0.8407"/>
        <n v="0.89329999999999998"/>
        <n v="0.62539999999999996"/>
        <n v="0.59370000000000001"/>
        <n v="0.43130000000000002"/>
        <n v="0.74490000000000001"/>
        <n v="0.98299999999999998"/>
        <n v="0.95469999999999999"/>
        <n v="0.60229999999999995"/>
        <n v="0.57169999999999999"/>
        <n v="0.57069999999999999"/>
        <n v="0.59019999999999995"/>
        <n v="0.71689999999999998"/>
        <n v="0.79320000000000002"/>
        <n v="0.88500000000000001"/>
        <n v="0.84630000000000005"/>
        <n v="0.91149999999999998"/>
        <n v="0.70809999999999995"/>
        <n v="0.50700000000000001"/>
        <n v="0.29420000000000002"/>
        <n v="0.41710000000000003"/>
        <n v="0.6371"/>
        <n v="0.624"/>
        <n v="0.33850000000000002"/>
        <n v="0.45519999999999999"/>
        <n v="0.2994"/>
        <n v="0.4224"/>
        <n v="0.75009999999999999"/>
        <n v="0.85199999999999998"/>
        <n v="0.70630000000000004"/>
        <n v="0.40860000000000002"/>
        <n v="0.87190000000000001"/>
        <n v="0.54700000000000004"/>
        <n v="0.59079999999999999"/>
        <n v="0.57969999999999999"/>
        <n v="0.7238"/>
        <n v="0.43459999999999999"/>
        <n v="0.69699999999999995"/>
        <n v="0.58660000000000001"/>
        <n v="0.82530000000000003"/>
        <n v="0.5282"/>
        <n v="0.85150000000000003"/>
        <n v="0.7268"/>
        <n v="0.67859999999999998"/>
        <n v="0.74839999999999995"/>
        <n v="0.63619999999999999"/>
        <n v="0.70840000000000003"/>
        <n v="0.6119"/>
        <n v="0.5544"/>
        <n v="0.58150000000000002"/>
        <n v="0.3906"/>
        <n v="0.92330000000000001"/>
        <n v="0.67520000000000002"/>
        <n v="0.88290000000000002"/>
        <n v="0.55369999999999997"/>
        <n v="0.40889999999999999"/>
        <n v="0.70369999999999999"/>
        <n v="0.66169999999999995"/>
        <n v="0.91"/>
        <n v="0.86780000000000002"/>
        <n v="0.57669999999999999"/>
        <n v="0.5504"/>
        <n v="0.81379999999999997"/>
        <n v="0.60929999999999995"/>
        <n v="0.54390000000000005"/>
        <n v="0.84550000000000003"/>
        <n v="0.34670000000000001"/>
        <n v="0.64410000000000001"/>
        <n v="0.54490000000000005"/>
        <n v="0.62829999999999997"/>
        <n v="0.56630000000000003"/>
        <n v="0.50790000000000002"/>
        <n v="0.46910000000000002"/>
        <n v="0.96289999999999998"/>
        <n v="0.90180000000000005"/>
        <n v="0.33279999999999998"/>
        <n v="0.70020000000000004"/>
        <n v="0.7994"/>
        <n v="0.53610000000000002"/>
        <n v="0.53090000000000004"/>
        <n v="0.81399999999999995"/>
        <n v="0.6079"/>
        <n v="0.57450000000000001"/>
        <n v="0.37559999999999999"/>
        <n v="0.5615"/>
        <n v="0.72440000000000004"/>
        <n v="0.63039999999999996"/>
        <n v="0.63770000000000004"/>
        <n v="0.66339999999999999"/>
        <n v="0.6694"/>
        <n v="0.53420000000000001"/>
        <n v="0.3977"/>
        <n v="0.42970000000000003"/>
        <n v="0.68940000000000001"/>
        <n v="0.3881"/>
        <n v="0.69140000000000001"/>
        <n v="0.88109999999999999"/>
        <n v="0.42630000000000001"/>
        <n v="0.56730000000000003"/>
        <n v="0.57809999999999995"/>
        <n v="0.78120000000000001"/>
        <n v="0.71230000000000004"/>
        <n v="0.86070000000000002"/>
        <n v="0.47949999999999998"/>
        <n v="0.68740000000000001"/>
        <n v="0.6784"/>
        <n v="0.8206"/>
        <n v="0.84389999999999998"/>
        <n v="0.58919999999999995"/>
        <n v="0.6643"/>
        <n v="0.26640000000000003"/>
        <n v="0.66279999999999994"/>
        <n v="0.96220000000000006"/>
        <n v="0.73540000000000005"/>
        <n v="0.77080000000000004"/>
        <n v="0.67779999999999996"/>
        <n v="0.80210000000000004"/>
        <n v="0.59509999999999996"/>
        <n v="0.38919999999999999"/>
        <n v="0.61299999999999999"/>
        <n v="0.876"/>
        <n v="0.65580000000000005"/>
        <n v="0.83660000000000001"/>
        <n v="0.54710000000000003"/>
        <n v="0.70520000000000005"/>
        <n v="0.64080000000000004"/>
        <n v="0.9667"/>
        <n v="0.95820000000000005"/>
        <n v="0.7853"/>
        <n v="0.95320000000000005"/>
        <n v="0.92090000000000005"/>
        <n v="0.64600000000000002"/>
        <n v="0.98660000000000003"/>
        <n v="0.68030000000000002"/>
        <n v="0.82350000000000001"/>
        <n v="0.70620000000000005"/>
        <n v="0.66369999999999996"/>
        <n v="0.70230000000000004"/>
        <n v="0.67159999999999997"/>
        <n v="0.5907"/>
        <n v="0.87150000000000005"/>
        <n v="0.83160000000000001"/>
        <n v="0.89049999999999996"/>
        <n v="0.58799999999999997"/>
        <n v="0.36620000000000003"/>
        <n v="0.6835"/>
        <n v="0.67379999999999995"/>
        <n v="0.39629999999999999"/>
        <n v="0.99380000000000002"/>
        <n v="0.3846"/>
        <n v="0.66159999999999997"/>
        <n v="0.85450000000000004"/>
        <n v="0.4919"/>
        <n v="0.84140000000000004"/>
        <n v="0.83489999999999998"/>
        <n v="0.68"/>
        <n v="0.7288"/>
        <n v="0.58850000000000002"/>
        <n v="0.45150000000000001"/>
        <n v="0.77610000000000001"/>
        <n v="0.71060000000000001"/>
        <n v="0.58550000000000002"/>
        <n v="0.51639999999999997"/>
        <n v="0.73360000000000003"/>
        <n v="0.81630000000000003"/>
        <n v="0.81640000000000001"/>
        <n v="0.77600000000000002"/>
        <n v="0.7883"/>
        <n v="0.69350000000000001"/>
        <n v="0.70789999999999997"/>
        <n v="0.58169999999999999"/>
        <n v="0.86360000000000003"/>
        <n v="0.73060000000000003"/>
        <n v="0.84450000000000003"/>
        <n v="0.68489999999999995"/>
        <n v="0.80069999999999997"/>
        <n v="0.76329999999999998"/>
        <n v="0.98050000000000004"/>
        <n v="0.75190000000000001"/>
        <n v="0.81540000000000001"/>
        <n v="0.89300000000000002"/>
        <n v="0.55200000000000005"/>
        <n v="0.41060000000000002"/>
        <n v="0.88670000000000004"/>
        <n v="0.60189999999999999"/>
        <n v="0.83389999999999997"/>
        <n v="0.66890000000000005"/>
        <n v="0.8347"/>
        <n v="0.56999999999999995"/>
        <n v="0.79759999999999998"/>
        <n v="0.98780000000000001"/>
        <n v="0.47460000000000002"/>
        <n v="0.61360000000000003"/>
        <n v="0.61499999999999999"/>
        <n v="0.39710000000000001"/>
        <n v="0.57579999999999998"/>
        <n v="0.69199999999999995"/>
        <n v="0.4002"/>
        <n v="0.80420000000000003"/>
        <n v="0.47110000000000002"/>
        <n v="0.33660000000000001"/>
        <n v="0.6411"/>
        <n v="0.55300000000000005"/>
        <n v="0.90410000000000001"/>
        <n v="0.40789999999999998"/>
        <n v="0.64649999999999996"/>
        <n v="0.46710000000000002"/>
        <n v="0.61529999999999996"/>
        <n v="0.90200000000000002"/>
        <n v="0.7863"/>
        <n v="0.64570000000000005"/>
        <n v="0.97370000000000001"/>
        <n v="0.73440000000000005"/>
        <n v="0.53669999999999995"/>
        <n v="0.89680000000000004"/>
        <n v="0.92349999999999999"/>
        <n v="0.70609999999999995"/>
        <n v="0.48430000000000001"/>
        <n v="0.50890000000000002"/>
        <n v="0.43759999999999999"/>
        <n v="0.75560000000000005"/>
        <n v="0.70950000000000002"/>
        <n v="0.6583"/>
        <n v="0.6885"/>
        <n v="0.7248"/>
        <n v="0.67079999999999995"/>
        <n v="0.41520000000000001"/>
        <n v="0.89729999999999999"/>
        <n v="0.55820000000000003"/>
        <n v="0.83079999999999998"/>
        <n v="0.35620000000000002"/>
        <n v="0.61470000000000002"/>
        <n v="0.52559999999999996"/>
        <n v="0.72850000000000004"/>
        <n v="0.79730000000000001"/>
        <n v="0.56130000000000002"/>
        <n v="0.52080000000000004"/>
        <n v="0.48509999999999998"/>
        <n v="0.72729999999999995"/>
        <n v="0.48209999999999997"/>
        <n v="0.74939999999999996"/>
        <n v="0.48130000000000001"/>
        <n v="0.58720000000000006"/>
        <n v="0.82379999999999998"/>
        <n v="0.48880000000000001"/>
        <n v="0.92210000000000003"/>
        <n v="0.76219999999999999"/>
        <n v="0.6391"/>
        <n v="0.78510000000000002"/>
        <n v="0.37659999999999999"/>
        <n v="0.92159999999999997"/>
        <n v="0.94479999999999997"/>
        <n v="0.76749999999999996"/>
        <n v="0.33189999999999997"/>
        <n v="0.6794"/>
        <n v="0.71819999999999995"/>
        <n v="0.75270000000000004"/>
        <n v="0.7157"/>
        <n v="0.58220000000000005"/>
        <n v="0.66459999999999997"/>
        <n v="0.53849999999999998"/>
        <n v="0.71319999999999995"/>
        <n v="0.53280000000000005"/>
        <n v="0.63580000000000003"/>
        <n v="0.16339999999999999"/>
        <n v="0.54820000000000002"/>
        <n v="0.67349999999999999"/>
        <n v="0.52600000000000002"/>
        <n v="0.87090000000000001"/>
        <n v="0.89959999999999996"/>
        <n v="0.79220000000000002"/>
        <n v="0.74870000000000003"/>
        <n v="0.79810000000000003"/>
        <n v="0.5323"/>
        <n v="0.46279999999999999"/>
        <n v="0.72060000000000002"/>
        <n v="0.88470000000000004"/>
        <n v="0.87919999999999998"/>
        <n v="0.2475"/>
        <n v="0.97560000000000002"/>
        <n v="0.8548"/>
        <n v="0.65549999999999997"/>
        <n v="0.59770000000000001"/>
        <n v="0.78190000000000004"/>
        <n v="0.82479999999999998"/>
        <n v="0.69579999999999997"/>
        <n v="0.57469999999999999"/>
        <n v="0.39360000000000001"/>
        <n v="0.66569999999999996"/>
        <n v="0.45910000000000001"/>
        <n v="0.8175"/>
        <n v="0.53139999999999998"/>
        <n v="0.58679999999999999"/>
        <n v="0.80300000000000005"/>
        <n v="0.73299999999999998"/>
        <n v="0.78520000000000001"/>
        <n v="0.44040000000000001"/>
        <n v="0.90329999999999999"/>
        <n v="0.5847"/>
        <n v="0.9456"/>
        <n v="0.89319999999999999"/>
        <n v="0.61909999999999998"/>
        <n v="0.154"/>
        <n v="0.7278"/>
        <n v="0.9627"/>
        <n v="0.7681"/>
        <n v="0.85029999999999994"/>
        <n v="0.7409"/>
        <n v="0.61309999999999998"/>
        <n v="0.77990000000000004"/>
        <n v="0.87439999999999996"/>
        <n v="0.97689999999999999"/>
        <n v="0.76119999999999999"/>
        <n v="0.78779999999999994"/>
        <n v="0.4446"/>
        <n v="0.59760000000000002"/>
        <n v="0.49780000000000002"/>
        <n v="0.7782"/>
        <n v="0.67579999999999996"/>
        <n v="0.62170000000000003"/>
        <n v="0.96830000000000005"/>
        <n v="0.5262"/>
        <n v="0.66959999999999997"/>
        <n v="0.55049999999999999"/>
        <n v="0.78869999999999996"/>
        <n v="0.45069999999999999"/>
        <n v="0.77400000000000002"/>
        <n v="0.84660000000000002"/>
        <n v="0.89249999999999996"/>
        <n v="0.5585"/>
        <n v="0.79769999999999996"/>
        <n v="0.75070000000000003"/>
        <n v="0.46939999999999998"/>
        <n v="0.96719999999999995"/>
        <n v="0.78200000000000003"/>
        <n v="0.43990000000000001"/>
        <n v="0.74339999999999995"/>
        <n v="0.4506"/>
        <n v="0.40820000000000001"/>
        <n v="6.7900000000000002E-2"/>
        <n v="0.71399999999999997"/>
        <n v="0.44629999999999997"/>
        <n v="0.752"/>
        <n v="0.57789999999999997"/>
        <n v="0.74199999999999999"/>
        <n v="0.91669999999999996"/>
        <n v="0.58250000000000002"/>
        <n v="0.72550000000000003"/>
        <n v="0.9002"/>
        <n v="0.58740000000000003"/>
        <n v="0.79690000000000005"/>
        <n v="0.55549999999999999"/>
        <n v="0.78159999999999996"/>
        <n v="0.44850000000000001"/>
        <n v="0.90029999999999999"/>
        <n v="0.64129999999999998"/>
        <n v="0.47870000000000001"/>
        <n v="0.9849"/>
        <n v="0.66020000000000001"/>
        <n v="0.7369"/>
        <n v="0.83289999999999997"/>
        <n v="0.59989999999999999"/>
        <n v="0.60309999999999997"/>
        <n v="0.38250000000000001"/>
        <n v="0.94640000000000002"/>
        <n v="0.69730000000000003"/>
        <n v="0.21410000000000001"/>
        <n v="0.5837"/>
        <n v="0.87690000000000001"/>
        <n v="0.47560000000000002"/>
        <n v="0.92220000000000002"/>
        <n v="0.64400000000000002"/>
        <n v="0.82369999999999999"/>
        <n v="0.91910000000000003"/>
        <n v="0.68859999999999999"/>
        <n v="0.84419999999999995"/>
        <n v="0.4582"/>
        <n v="0.77410000000000001"/>
        <n v="0.53149999999999997"/>
        <n v="0.5948"/>
        <n v="0.9325"/>
        <n v="0.74319999999999997"/>
        <n v="0.57150000000000001"/>
        <n v="0.82079999999999997"/>
        <n v="0.74160000000000004"/>
        <n v="0.60419999999999996"/>
        <n v="0.65969999999999995"/>
        <n v="0.91269999999999996"/>
        <n v="0.43869999999999998"/>
        <n v="0.9859"/>
        <n v="0.43120000000000003"/>
        <n v="0.72699999999999998"/>
        <n v="0.79459999999999997"/>
        <n v="0.69430000000000003"/>
        <n v="0.71860000000000002"/>
        <n v="0.98809999999999998"/>
        <n v="0.80549999999999999"/>
        <n v="0.89559999999999995"/>
        <n v="0.91539999999999999"/>
        <n v="0.90069999999999995"/>
        <n v="0.56359999999999999"/>
        <n v="0.46429999999999999"/>
        <n v="0.53769999999999996"/>
        <n v="0.43669999999999998"/>
        <n v="0.86150000000000004"/>
        <n v="0.75449999999999995"/>
        <n v="0.39979999999999999"/>
        <n v="0.50980000000000003"/>
        <n v="0.68569999999999998"/>
        <n v="0.75749999999999995"/>
        <n v="0.80669999999999997"/>
        <n v="0.93210000000000004"/>
        <n v="0.58789999999999998"/>
        <n v="0.55859999999999999"/>
        <n v="0.4894"/>
        <n v="0.87749999999999995"/>
        <n v="0.64329999999999998"/>
        <n v="0.55400000000000005"/>
        <n v="0.43740000000000001"/>
        <n v="0.9284"/>
        <n v="0.18440000000000001"/>
        <n v="0.81"/>
        <n v="0.49690000000000001"/>
        <n v="0.79349999999999998"/>
        <n v="0.77180000000000004"/>
        <n v="0.90780000000000005"/>
      </sharedItems>
    </cacheField>
    <cacheField name="Utilization_Rate" numFmtId="0">
      <sharedItems containsSemiMixedTypes="0" containsString="0" containsNumber="1" minValue="0" maxValue="1"/>
    </cacheField>
    <cacheField name="Late_Payment_Last_Year" numFmtId="0">
      <sharedItems containsSemiMixedTypes="0" containsString="0" containsNumber="1" containsInteger="1" minValue="0" maxValue="11"/>
    </cacheField>
    <cacheField name="Average_Bill_Amount" numFmtId="0">
      <sharedItems containsSemiMixedTypes="0" containsString="0" containsNumber="1" minValue="500" maxValue="189113.56"/>
    </cacheField>
    <cacheField name="Average_Payment_Amount" numFmtId="0">
      <sharedItems containsSemiMixedTypes="0" containsString="0" containsNumber="1" minValue="0" maxValue="129412.31"/>
    </cacheField>
    <cacheField name="Months_with_Bank" numFmtId="0">
      <sharedItems containsSemiMixedTypes="0" containsString="0" containsNumber="1" containsInteger="1" minValue="6" maxValue="180"/>
    </cacheField>
    <cacheField name="Educational_Level" numFmtId="0">
      <sharedItems containsSemiMixedTypes="0" containsString="0" containsNumber="1" containsInteger="1" minValue="1" maxValue="4" count="4">
        <n v="1"/>
        <n v="2"/>
        <n v="3"/>
        <n v="4"/>
      </sharedItems>
    </cacheField>
    <cacheField name="Marrital_Status" numFmtId="0">
      <sharedItems containsSemiMixedTypes="0" containsString="0" containsNumber="1" containsInteger="1" minValue="1" maxValue="3" count="3">
        <n v="1"/>
        <n v="3"/>
        <n v="2"/>
      </sharedItems>
    </cacheField>
    <cacheField name="Dependents" numFmtId="0">
      <sharedItems containsSemiMixedTypes="0" containsString="0" containsNumber="1" containsInteger="1" minValue="0" maxValue="3" count="4">
        <n v="0"/>
        <n v="1"/>
        <n v="2"/>
        <n v="3"/>
      </sharedItems>
    </cacheField>
    <cacheField name="Credit_Score" numFmtId="0">
      <sharedItems containsSemiMixedTypes="0" containsString="0" containsNumber="1" minValue="461.41" maxValue="850" count="1890">
        <n v="711.44"/>
        <n v="843.63"/>
        <n v="615.80999999999995"/>
        <n v="707.17"/>
        <n v="709.1"/>
        <n v="726.02"/>
        <n v="610.99"/>
        <n v="644.26"/>
        <n v="784.71"/>
        <n v="667.98"/>
        <n v="797.24"/>
        <n v="755.22"/>
        <n v="728.29"/>
        <n v="754.79"/>
        <n v="712.95"/>
        <n v="733.9"/>
        <n v="726.7"/>
        <n v="604.79"/>
        <n v="705.87"/>
        <n v="639.28"/>
        <n v="628.54999999999995"/>
        <n v="569.45000000000005"/>
        <n v="767.61"/>
        <n v="626.89"/>
        <n v="850"/>
        <n v="651.05999999999995"/>
        <n v="662.15"/>
        <n v="631.95000000000005"/>
        <n v="728.59"/>
        <n v="768.34"/>
        <n v="716.31"/>
        <n v="642.9"/>
        <n v="752.8"/>
        <n v="801.27"/>
        <n v="744.85"/>
        <n v="728.32"/>
        <n v="667.01"/>
        <n v="686.74"/>
        <n v="804.94"/>
        <n v="705.61"/>
        <n v="638.76"/>
        <n v="754.66"/>
        <n v="735.3"/>
        <n v="673.39"/>
        <n v="846.06"/>
        <n v="730.59"/>
        <n v="653.76"/>
        <n v="758.59"/>
        <n v="724.65"/>
        <n v="739.67"/>
        <n v="718.69"/>
        <n v="746.82"/>
        <n v="715.45"/>
        <n v="672.11"/>
        <n v="638.51"/>
        <n v="688.63"/>
        <n v="569.53"/>
        <n v="688.94"/>
        <n v="664.5"/>
        <n v="698.7"/>
        <n v="681.38"/>
        <n v="764.37"/>
        <n v="820.88"/>
        <n v="617.97"/>
        <n v="842.85"/>
        <n v="792.84"/>
        <n v="810.01"/>
        <n v="804.21"/>
        <n v="708.68"/>
        <n v="724.71"/>
        <n v="740.1"/>
        <n v="707"/>
        <n v="749.72"/>
        <n v="598.66999999999996"/>
        <n v="670.51"/>
        <n v="646.08000000000004"/>
        <n v="761.32"/>
        <n v="672.5"/>
        <n v="641"/>
        <n v="720.35"/>
        <n v="638.70000000000005"/>
        <n v="682.01"/>
        <n v="783"/>
        <n v="710.04"/>
        <n v="810.34"/>
        <n v="612"/>
        <n v="791.07"/>
        <n v="701.35"/>
        <n v="634.47"/>
        <n v="737.24"/>
        <n v="793.94"/>
        <n v="675.05"/>
        <n v="746.29"/>
        <n v="784.29"/>
        <n v="752.33"/>
        <n v="794.6"/>
        <n v="583.55999999999995"/>
        <n v="699.22"/>
        <n v="708.01"/>
        <n v="573.08000000000004"/>
        <n v="740.39"/>
        <n v="615.57000000000005"/>
        <n v="790.37"/>
        <n v="560.38"/>
        <n v="620.91"/>
        <n v="748.05"/>
        <n v="741.14"/>
        <n v="655.9"/>
        <n v="700.01"/>
        <n v="692"/>
        <n v="804.71"/>
        <n v="758.02"/>
        <n v="570.57000000000005"/>
        <n v="680.67"/>
        <n v="686.48"/>
        <n v="734.89"/>
        <n v="622.69000000000005"/>
        <n v="657.94"/>
        <n v="585.6"/>
        <n v="696.18"/>
        <n v="692.93"/>
        <n v="642.08000000000004"/>
        <n v="681.49"/>
        <n v="666.22"/>
        <n v="664.13"/>
        <n v="740.45"/>
        <n v="606.97"/>
        <n v="549.38"/>
        <n v="664.34"/>
        <n v="687.69"/>
        <n v="584.41"/>
        <n v="715.82"/>
        <n v="684.84"/>
        <n v="666.95"/>
        <n v="657.7"/>
        <n v="570.80999999999995"/>
        <n v="685.54"/>
        <n v="641.53"/>
        <n v="804"/>
        <n v="648.47"/>
        <n v="798.5"/>
        <n v="735.27"/>
        <n v="797.15"/>
        <n v="645.6"/>
        <n v="735.26"/>
        <n v="592.16"/>
        <n v="792.78"/>
        <n v="522.42999999999995"/>
        <n v="663.34"/>
        <n v="785.91"/>
        <n v="627.85"/>
        <n v="694.42"/>
        <n v="775.04"/>
        <n v="661.36"/>
        <n v="651.63"/>
        <n v="654.91"/>
        <n v="754.24"/>
        <n v="553.26"/>
        <n v="624.34"/>
        <n v="658.95"/>
        <n v="687.63"/>
        <n v="701.68"/>
        <n v="621.70000000000005"/>
        <n v="684.39"/>
        <n v="786.14"/>
        <n v="706.52"/>
        <n v="618.35"/>
        <n v="743.41"/>
        <n v="795.31"/>
        <n v="622.46"/>
        <n v="761.6"/>
        <n v="702.74"/>
        <n v="740.49"/>
        <n v="570.9"/>
        <n v="729.88"/>
        <n v="676.28"/>
        <n v="694.4"/>
        <n v="760.53"/>
        <n v="669.96"/>
        <n v="577.54999999999995"/>
        <n v="554.05999999999995"/>
        <n v="828.29"/>
        <n v="651.29999999999995"/>
        <n v="552.5"/>
        <n v="677.83"/>
        <n v="759.41"/>
        <n v="758.72"/>
        <n v="681.91"/>
        <n v="688.36"/>
        <n v="577.19000000000005"/>
        <n v="677.28"/>
        <n v="686.28"/>
        <n v="674.46"/>
        <n v="661.51"/>
        <n v="532.79999999999995"/>
        <n v="771.48"/>
        <n v="832.04"/>
        <n v="760.12"/>
        <n v="760.34"/>
        <n v="749.11"/>
        <n v="697.36"/>
        <n v="767.1"/>
        <n v="598.75"/>
        <n v="607.57000000000005"/>
        <n v="614.24"/>
        <n v="792.22"/>
        <n v="574.91"/>
        <n v="713.14"/>
        <n v="692.28"/>
        <n v="656.86"/>
        <n v="754.55"/>
        <n v="662.83"/>
        <n v="657.66"/>
        <n v="633.99"/>
        <n v="722.22"/>
        <n v="589.82000000000005"/>
        <n v="714.26"/>
        <n v="667.74"/>
        <n v="761.03"/>
        <n v="635.82000000000005"/>
        <n v="719.35"/>
        <n v="592.73"/>
        <n v="701.98"/>
        <n v="678.8"/>
        <n v="668.36"/>
        <n v="738.62"/>
        <n v="847.99"/>
        <n v="654.87"/>
        <n v="683.68"/>
        <n v="538.53"/>
        <n v="709.04"/>
        <n v="759.07"/>
        <n v="804.62"/>
        <n v="723.84"/>
        <n v="633.17999999999995"/>
        <n v="678.68"/>
        <n v="653.95000000000005"/>
        <n v="746.56"/>
        <n v="824.55"/>
        <n v="742.98"/>
        <n v="689.66"/>
        <n v="596.55999999999995"/>
        <n v="647.64"/>
        <n v="772.48"/>
        <n v="698.95"/>
        <n v="811.8"/>
        <n v="666.89"/>
        <n v="734.79"/>
        <n v="725.36"/>
        <n v="694.41"/>
        <n v="683.23"/>
        <n v="670.42"/>
        <n v="767.42"/>
        <n v="696.26"/>
        <n v="631.54"/>
        <n v="650.42999999999995"/>
        <n v="600.66999999999996"/>
        <n v="701.76"/>
        <n v="639.58000000000004"/>
        <n v="702.52"/>
        <n v="696.97"/>
        <n v="751.85"/>
        <n v="712.62"/>
        <n v="731.34"/>
        <n v="640.83000000000004"/>
        <n v="734.39"/>
        <n v="758.75"/>
        <n v="659.31"/>
        <n v="636.04999999999995"/>
        <n v="805.46"/>
        <n v="618.46"/>
        <n v="831.17"/>
        <n v="655.8"/>
        <n v="593"/>
        <n v="774.42"/>
        <n v="712.35"/>
        <n v="729.98"/>
        <n v="803.94"/>
        <n v="652.83000000000004"/>
        <n v="615.53"/>
        <n v="652.48"/>
        <n v="742.09"/>
        <n v="751.4"/>
        <n v="720.78"/>
        <n v="773.4"/>
        <n v="684.58"/>
        <n v="780.06"/>
        <n v="684.03"/>
        <n v="656.21"/>
        <n v="700.5"/>
        <n v="759.98"/>
        <n v="807.74"/>
        <n v="724.77"/>
        <n v="720.65"/>
        <n v="767.11"/>
        <n v="646.5"/>
        <n v="637.78"/>
        <n v="648.39"/>
        <n v="702.22"/>
        <n v="769.4"/>
        <n v="597.82000000000005"/>
        <n v="659.42"/>
        <n v="694.54"/>
        <n v="677.45"/>
        <n v="723.73"/>
        <n v="706.23"/>
        <n v="656"/>
        <n v="755.51"/>
        <n v="733.97"/>
        <n v="731.84"/>
        <n v="683.45"/>
        <n v="713.22"/>
        <n v="605.09"/>
        <n v="688.09"/>
        <n v="784.64"/>
        <n v="731.65"/>
        <n v="713.96"/>
        <n v="618.66999999999996"/>
        <n v="691.26"/>
        <n v="789.05"/>
        <n v="645.82000000000005"/>
        <n v="533.29"/>
        <n v="790.13"/>
        <n v="579.11"/>
        <n v="636.23"/>
        <n v="742.68"/>
        <n v="609.15"/>
        <n v="686.92"/>
        <n v="690.73"/>
        <n v="651.95000000000005"/>
        <n v="636.94000000000005"/>
        <n v="791.27"/>
        <n v="603.12"/>
        <n v="827.63"/>
        <n v="697.3"/>
        <n v="656.57"/>
        <n v="619.34"/>
        <n v="772.68"/>
        <n v="805.56"/>
        <n v="754.88"/>
        <n v="753.35"/>
        <n v="726.91"/>
        <n v="722.3"/>
        <n v="645.91999999999996"/>
        <n v="604.30999999999995"/>
        <n v="770.36"/>
        <n v="695.13"/>
        <n v="700.23"/>
        <n v="751.81"/>
        <n v="669.09"/>
        <n v="813.07"/>
        <n v="717.89"/>
        <n v="767.17"/>
        <n v="722.64"/>
        <n v="638.46"/>
        <n v="638.29999999999995"/>
        <n v="734.95"/>
        <n v="673.7"/>
        <n v="702.32"/>
        <n v="768.99"/>
        <n v="630.1"/>
        <n v="726.12"/>
        <n v="568.71"/>
        <n v="683.06"/>
        <n v="746.41"/>
        <n v="617.46"/>
        <n v="725.89"/>
        <n v="685.56"/>
        <n v="732.14"/>
        <n v="590.5"/>
        <n v="698.82"/>
        <n v="704.89"/>
        <n v="641.34"/>
        <n v="553.30999999999995"/>
        <n v="749.19"/>
        <n v="686.54"/>
        <n v="666.67"/>
        <n v="770.72"/>
        <n v="778.62"/>
        <n v="641.91"/>
        <n v="709.55"/>
        <n v="819.82"/>
        <n v="634.66999999999996"/>
        <n v="705.57"/>
        <n v="807.42"/>
        <n v="751.97"/>
        <n v="680.71"/>
        <n v="744.74"/>
        <n v="752.86"/>
        <n v="723.09"/>
        <n v="748.65"/>
        <n v="578.73"/>
        <n v="622.76"/>
        <n v="721.16"/>
        <n v="627.73"/>
        <n v="610.13"/>
        <n v="677.84"/>
        <n v="739.97"/>
        <n v="643.57000000000005"/>
        <n v="794.2"/>
        <n v="794.14"/>
        <n v="687.06"/>
        <n v="634.82000000000005"/>
        <n v="750.25"/>
        <n v="654.12"/>
        <n v="628.63"/>
        <n v="656.08"/>
        <n v="650"/>
        <n v="786.16"/>
        <n v="661.28"/>
        <n v="779.98"/>
        <n v="806.42"/>
        <n v="697.13"/>
        <n v="761.62"/>
        <n v="677.06"/>
        <n v="634.19000000000005"/>
        <n v="726.69"/>
        <n v="555.28"/>
        <n v="760.35"/>
        <n v="792.48"/>
        <n v="736.57"/>
        <n v="653.71"/>
        <n v="660.66"/>
        <n v="643.48"/>
        <n v="669.75"/>
        <n v="706.41"/>
        <n v="719.3"/>
        <n v="698.66"/>
        <n v="736.71"/>
        <n v="724.98"/>
        <n v="716.73"/>
        <n v="752.95"/>
        <n v="650.86"/>
        <n v="799.66"/>
        <n v="710.67"/>
        <n v="540.85"/>
        <n v="746.21"/>
        <n v="608.89"/>
        <n v="712.16"/>
        <n v="664.36"/>
        <n v="716.58"/>
        <n v="694.36"/>
        <n v="520.88"/>
        <n v="694.04"/>
        <n v="731.78"/>
        <n v="512.59"/>
        <n v="773.87"/>
        <n v="674.66"/>
        <n v="644.45000000000005"/>
        <n v="781.23"/>
        <n v="794.42"/>
        <n v="692.65"/>
        <n v="702.9"/>
        <n v="758.98"/>
        <n v="637.79999999999995"/>
        <n v="691.15"/>
        <n v="547.87"/>
        <n v="573.70000000000005"/>
        <n v="799.13"/>
        <n v="666.74"/>
        <n v="632.75"/>
        <n v="573.29999999999995"/>
        <n v="746.95"/>
        <n v="799.55"/>
        <n v="671.4"/>
        <n v="699.29"/>
        <n v="654.86"/>
        <n v="759.48"/>
        <n v="750.11"/>
        <n v="636.85"/>
        <n v="764.69"/>
        <n v="691.53"/>
        <n v="672.93"/>
        <n v="617.62"/>
        <n v="666.33"/>
        <n v="601.01"/>
        <n v="730.12"/>
        <n v="760.45"/>
        <n v="728.81"/>
        <n v="700.64"/>
        <n v="584.42999999999995"/>
        <n v="678.21"/>
        <n v="623.70000000000005"/>
        <n v="673.08"/>
        <n v="772.82"/>
        <n v="751.74"/>
        <n v="727.22"/>
        <n v="648.79"/>
        <n v="629.46"/>
        <n v="590.41999999999996"/>
        <n v="641.41999999999996"/>
        <n v="736.46"/>
        <n v="773.15"/>
        <n v="663.23"/>
        <n v="651.41999999999996"/>
        <n v="708.24"/>
        <n v="707.96"/>
        <n v="690.33"/>
        <n v="709.31"/>
        <n v="540.09"/>
        <n v="750.89"/>
        <n v="800.56"/>
        <n v="728.55"/>
        <n v="638.62"/>
        <n v="698.23"/>
        <n v="707.3"/>
        <n v="726.28"/>
        <n v="556.79"/>
        <n v="744.28"/>
        <n v="727.41"/>
        <n v="694.98"/>
        <n v="557.99"/>
        <n v="698.98"/>
        <n v="694.96"/>
        <n v="667.61"/>
        <n v="701.5"/>
        <n v="723.95"/>
        <n v="660.61"/>
        <n v="736.94"/>
        <n v="720.95"/>
        <n v="656.73"/>
        <n v="680.58"/>
        <n v="669.35"/>
        <n v="704.11"/>
        <n v="684.76"/>
        <n v="628.1"/>
        <n v="716.64"/>
        <n v="767.07"/>
        <n v="718.83"/>
        <n v="846.73"/>
        <n v="586.35"/>
        <n v="728.45"/>
        <n v="769.42"/>
        <n v="718.3"/>
        <n v="676.65"/>
        <n v="791.1"/>
        <n v="579.13"/>
        <n v="644.30999999999995"/>
        <n v="786.94"/>
        <n v="738.48"/>
        <n v="768.33"/>
        <n v="614.66999999999996"/>
        <n v="648.77"/>
        <n v="731.74"/>
        <n v="629.4"/>
        <n v="713.38"/>
        <n v="779.2"/>
        <n v="617.58000000000004"/>
        <n v="694.91"/>
        <n v="718.72"/>
        <n v="782.17"/>
        <n v="663.67"/>
        <n v="761.64"/>
        <n v="684.57"/>
        <n v="661"/>
        <n v="745.46"/>
        <n v="645.86"/>
        <n v="696.31"/>
        <n v="746.83"/>
        <n v="530.15"/>
        <n v="801.33"/>
        <n v="739.16"/>
        <n v="744.13"/>
        <n v="756.1"/>
        <n v="733.1"/>
        <n v="792.43"/>
        <n v="748.73"/>
        <n v="756.58"/>
        <n v="651.16999999999996"/>
        <n v="713.98"/>
        <n v="654.44000000000005"/>
        <n v="690.42"/>
        <n v="719.71"/>
        <n v="544.05999999999995"/>
        <n v="615.66"/>
        <n v="723.68"/>
        <n v="567.16"/>
        <n v="693.99"/>
        <n v="789.16"/>
        <n v="788.41"/>
        <n v="663.77"/>
        <n v="630.28"/>
        <n v="789.36"/>
        <n v="671.71"/>
        <n v="579.57000000000005"/>
        <n v="643.29999999999995"/>
        <n v="618.24"/>
        <n v="716.8"/>
        <n v="720.92"/>
        <n v="724.89"/>
        <n v="636.63"/>
        <n v="732.6"/>
        <n v="835.18"/>
        <n v="683.32"/>
        <n v="697.08"/>
        <n v="740"/>
        <n v="581.13"/>
        <n v="590.12"/>
        <n v="595.01"/>
        <n v="695.85"/>
        <n v="625.76"/>
        <n v="548.1"/>
        <n v="691.58"/>
        <n v="701.77"/>
        <n v="612.79"/>
        <n v="630.15"/>
        <n v="785.65"/>
        <n v="701.4"/>
        <n v="771.19"/>
        <n v="560.94000000000005"/>
        <n v="628.66999999999996"/>
        <n v="643.66999999999996"/>
        <n v="780.86"/>
        <n v="633.5"/>
        <n v="662.22"/>
        <n v="533.91999999999996"/>
        <n v="642.89"/>
        <n v="737.95"/>
        <n v="639.23"/>
        <n v="757.24"/>
        <n v="640.38"/>
        <n v="740.66"/>
        <n v="779.08"/>
        <n v="675.51"/>
        <n v="665.93"/>
        <n v="694.31"/>
        <n v="719.25"/>
        <n v="768.59"/>
        <n v="727.06"/>
        <n v="713.72"/>
        <n v="727.68"/>
        <n v="616.94000000000005"/>
        <n v="731.03"/>
        <n v="707.14"/>
        <n v="780.44"/>
        <n v="716.27"/>
        <n v="669.17"/>
        <n v="654.71"/>
        <n v="755.28"/>
        <n v="689.13"/>
        <n v="799.71"/>
        <n v="615.04999999999995"/>
        <n v="734.6"/>
        <n v="679.05"/>
        <n v="666.49"/>
        <n v="820.04"/>
        <n v="613.47"/>
        <n v="696.4"/>
        <n v="779.61"/>
        <n v="687.7"/>
        <n v="622.17999999999995"/>
        <n v="697.89"/>
        <n v="605.1"/>
        <n v="697.55"/>
        <n v="785.63"/>
        <n v="680.21"/>
        <n v="745.69"/>
        <n v="700.3"/>
        <n v="740.3"/>
        <n v="737.05"/>
        <n v="712.17"/>
        <n v="785.3"/>
        <n v="688.64"/>
        <n v="679.01"/>
        <n v="661.26"/>
        <n v="670.89"/>
        <n v="604.87"/>
        <n v="578.02"/>
        <n v="777.09"/>
        <n v="716.74"/>
        <n v="754.82"/>
        <n v="622.65"/>
        <n v="764.18"/>
        <n v="634.66"/>
        <n v="705.94"/>
        <n v="785.62"/>
        <n v="616.54999999999995"/>
        <n v="664.07"/>
        <n v="693.53"/>
        <n v="608.32000000000005"/>
        <n v="708.58"/>
        <n v="600.41999999999996"/>
        <n v="795.25"/>
        <n v="667.58"/>
        <n v="720.18"/>
        <n v="612.13"/>
        <n v="667.24"/>
        <n v="655.04"/>
        <n v="711.61"/>
        <n v="792.92"/>
        <n v="823.78"/>
        <n v="757.01"/>
        <n v="589.20000000000005"/>
        <n v="735.52"/>
        <n v="675.38"/>
        <n v="688.4"/>
        <n v="782.43"/>
        <n v="777.71"/>
        <n v="650.22"/>
        <n v="690.26"/>
        <n v="738.15"/>
        <n v="698.9"/>
        <n v="591.72"/>
        <n v="666.82"/>
        <n v="733.22"/>
        <n v="741"/>
        <n v="664.93"/>
        <n v="728.6"/>
        <n v="747.88"/>
        <n v="683.44"/>
        <n v="689.29"/>
        <n v="777.2"/>
        <n v="765.62"/>
        <n v="663.35"/>
        <n v="841.67"/>
        <n v="770.88"/>
        <n v="635.05999999999995"/>
        <n v="644.34"/>
        <n v="676.69"/>
        <n v="616.44000000000005"/>
        <n v="691.44"/>
        <n v="562.72"/>
        <n v="593.39"/>
        <n v="694.75"/>
        <n v="689.87"/>
        <n v="663.16"/>
        <n v="791.21"/>
        <n v="767.04"/>
        <n v="614.14"/>
        <n v="686.14"/>
        <n v="797.99"/>
        <n v="581.88"/>
        <n v="681.41"/>
        <n v="615.03"/>
        <n v="640.70000000000005"/>
        <n v="849.03"/>
        <n v="657.52"/>
        <n v="719.48"/>
        <n v="718.91"/>
        <n v="711.76"/>
        <n v="725.87"/>
        <n v="701.64"/>
        <n v="724.12"/>
        <n v="789.06"/>
        <n v="648.91"/>
        <n v="723.79"/>
        <n v="648.76"/>
        <n v="683.82"/>
        <n v="702.25"/>
        <n v="719.84"/>
        <n v="763.58"/>
        <n v="726.23"/>
        <n v="726.61"/>
        <n v="663.58"/>
        <n v="684.73"/>
        <n v="600.97"/>
        <n v="642.69000000000005"/>
        <n v="781.61"/>
        <n v="739.56"/>
        <n v="673.54"/>
        <n v="722.38"/>
        <n v="718.47"/>
        <n v="591.03"/>
        <n v="714.6"/>
        <n v="707.54"/>
        <n v="786.02"/>
        <n v="840.96"/>
        <n v="753.24"/>
        <n v="527.48"/>
        <n v="617.69000000000005"/>
        <n v="703.43"/>
        <n v="720.9"/>
        <n v="633.64"/>
        <n v="690.54"/>
        <n v="720.85"/>
        <n v="689.11"/>
        <n v="671.7"/>
        <n v="721.07"/>
        <n v="797.54"/>
        <n v="698.72"/>
        <n v="743.99"/>
        <n v="694.86"/>
        <n v="693.24"/>
        <n v="684.9"/>
        <n v="734.31"/>
        <n v="783.68"/>
        <n v="581.65"/>
        <n v="654.83000000000004"/>
        <n v="674.11"/>
        <n v="649.58000000000004"/>
        <n v="701.55"/>
        <n v="742.94"/>
        <n v="669.3"/>
        <n v="659.95"/>
        <n v="674.98"/>
        <n v="773.96"/>
        <n v="766.98"/>
        <n v="699.76"/>
        <n v="778.13"/>
        <n v="542.62"/>
        <n v="606.41"/>
        <n v="664.16"/>
        <n v="500.9"/>
        <n v="690.78"/>
        <n v="553.80999999999995"/>
        <n v="709.28"/>
        <n v="829.73"/>
        <n v="629.16999999999996"/>
        <n v="654.05999999999995"/>
        <n v="720.88"/>
        <n v="771.24"/>
        <n v="761.51"/>
        <n v="514.76"/>
        <n v="760.61"/>
        <n v="657.07"/>
        <n v="679.21"/>
        <n v="696.19"/>
        <n v="789.52"/>
        <n v="681.45"/>
        <n v="684.55"/>
        <n v="686.86"/>
        <n v="690.35"/>
        <n v="724.62"/>
        <n v="705.36"/>
        <n v="702.81"/>
        <n v="631.36"/>
        <n v="762.1"/>
        <n v="664.98"/>
        <n v="743.77"/>
        <n v="683.09"/>
        <n v="679.45"/>
        <n v="615.92999999999995"/>
        <n v="718.36"/>
        <n v="668.63"/>
        <n v="770.12"/>
        <n v="702.95"/>
        <n v="785.51"/>
        <n v="685.57"/>
        <n v="625.35"/>
        <n v="761.38"/>
        <n v="640.46"/>
        <n v="713.76"/>
        <n v="593.34"/>
        <n v="599.20000000000005"/>
        <n v="760.97"/>
        <n v="715.98"/>
        <n v="741.38"/>
        <n v="753.1"/>
        <n v="784.89"/>
        <n v="744.51"/>
        <n v="576.32000000000005"/>
        <n v="764.6"/>
        <n v="681.92"/>
        <n v="676.33"/>
        <n v="684.15"/>
        <n v="751.86"/>
        <n v="644.66999999999996"/>
        <n v="709.53"/>
        <n v="639.30999999999995"/>
        <n v="697"/>
        <n v="675.31"/>
        <n v="709.37"/>
        <n v="776.71"/>
        <n v="685.88"/>
        <n v="672.17"/>
        <n v="780.37"/>
        <n v="668.8"/>
        <n v="749.62"/>
        <n v="596.07000000000005"/>
        <n v="644.20000000000005"/>
        <n v="613.01"/>
        <n v="691.06"/>
        <n v="748.74"/>
        <n v="651.92999999999995"/>
        <n v="716.29"/>
        <n v="632.59"/>
        <n v="766.17"/>
        <n v="609.9"/>
        <n v="684.2"/>
        <n v="820.11"/>
        <n v="730.17"/>
        <n v="700.61"/>
        <n v="764.32"/>
        <n v="814.42"/>
        <n v="713.05"/>
        <n v="733.4"/>
        <n v="701.8"/>
        <n v="666.04"/>
        <n v="588.73"/>
        <n v="701.12"/>
        <n v="692.62"/>
        <n v="613.20000000000005"/>
        <n v="647.36"/>
        <n v="752.11"/>
        <n v="680.61"/>
        <n v="685.87"/>
        <n v="737.33"/>
        <n v="656.14"/>
        <n v="838.51"/>
        <n v="722.99"/>
        <n v="632.57000000000005"/>
        <n v="579.89"/>
        <n v="702.71"/>
        <n v="682.67"/>
        <n v="754.45"/>
        <n v="683.79"/>
        <n v="693.08"/>
        <n v="703.38"/>
        <n v="676.88"/>
        <n v="800.49"/>
        <n v="735.98"/>
        <n v="818.32"/>
        <n v="708.91"/>
        <n v="798.75"/>
        <n v="661.23"/>
        <n v="716.01"/>
        <n v="845.36"/>
        <n v="733.07"/>
        <n v="739.32"/>
        <n v="594.59"/>
        <n v="668.87"/>
        <n v="703.06"/>
        <n v="726.77"/>
        <n v="727.39"/>
        <n v="849.41"/>
        <n v="596.96"/>
        <n v="780.28"/>
        <n v="767.18"/>
        <n v="715.78"/>
        <n v="671.23"/>
        <n v="722.24"/>
        <n v="645.72"/>
        <n v="530.41999999999996"/>
        <n v="728.8"/>
        <n v="818.3"/>
        <n v="567.08000000000004"/>
        <n v="734.46"/>
        <n v="647.27"/>
        <n v="770.76"/>
        <n v="693.57"/>
        <n v="666.16"/>
        <n v="745.88"/>
        <n v="712.22"/>
        <n v="774.6"/>
        <n v="814.95"/>
        <n v="567.27"/>
        <n v="809.14"/>
        <n v="676.78"/>
        <n v="669.28"/>
        <n v="736.65"/>
        <n v="618.27"/>
        <n v="743.5"/>
        <n v="811.19"/>
        <n v="669.18"/>
        <n v="623.82000000000005"/>
        <n v="794.44"/>
        <n v="754.68"/>
        <n v="696.41"/>
        <n v="696.47"/>
        <n v="785.32"/>
        <n v="770.63"/>
        <n v="690.94"/>
        <n v="787"/>
        <n v="678.75"/>
        <n v="774.61"/>
        <n v="759.13"/>
        <n v="677.78"/>
        <n v="703.03"/>
        <n v="649.04"/>
        <n v="676.92"/>
        <n v="749.05"/>
        <n v="714.57"/>
        <n v="715.08"/>
        <n v="769.06"/>
        <n v="702.27"/>
        <n v="751.02"/>
        <n v="742.16"/>
        <n v="746.16"/>
        <n v="667.73"/>
        <n v="758.79"/>
        <n v="760.79"/>
        <n v="792.05"/>
        <n v="752.17"/>
        <n v="779.07"/>
        <n v="603.34"/>
        <n v="664.9"/>
        <n v="632.85"/>
        <n v="765.95"/>
        <n v="688.19"/>
        <n v="800.9"/>
        <n v="800.39"/>
        <n v="763.17"/>
        <n v="630.82000000000005"/>
        <n v="710.52"/>
        <n v="633.77"/>
        <n v="805.5"/>
        <n v="775.33"/>
        <n v="769.61"/>
        <n v="624.32000000000005"/>
        <n v="691.22"/>
        <n v="773.58"/>
        <n v="706.24"/>
        <n v="710.58"/>
        <n v="738.71"/>
        <n v="631.26"/>
        <n v="679.3"/>
        <n v="721.37"/>
        <n v="701.37"/>
        <n v="533.04"/>
        <n v="684.47"/>
        <n v="771.23"/>
        <n v="675.53"/>
        <n v="669.16"/>
        <n v="640.11"/>
        <n v="669.62"/>
        <n v="726.34"/>
        <n v="649.84"/>
        <n v="601.63"/>
        <n v="739.44"/>
        <n v="771.59"/>
        <n v="483.36"/>
        <n v="647.41999999999996"/>
        <n v="686.95"/>
        <n v="726.27"/>
        <n v="777.45"/>
        <n v="719.45"/>
        <n v="637.66999999999996"/>
        <n v="728.16"/>
        <n v="700.22"/>
        <n v="677.96"/>
        <n v="751.63"/>
        <n v="633.79999999999995"/>
        <n v="708.29"/>
        <n v="737.22"/>
        <n v="744.55"/>
        <n v="681.59"/>
        <n v="655.52"/>
        <n v="755.62"/>
        <n v="745.25"/>
        <n v="768.82"/>
        <n v="739.04"/>
        <n v="783.74"/>
        <n v="592.04"/>
        <n v="705.41"/>
        <n v="707.8"/>
        <n v="693.35"/>
        <n v="661.3"/>
        <n v="705.3"/>
        <n v="688.05"/>
        <n v="723.97"/>
        <n v="809.74"/>
        <n v="740.12"/>
        <n v="765.2"/>
        <n v="685.36"/>
        <n v="604.04"/>
        <n v="627.25"/>
        <n v="727.52"/>
        <n v="784.69"/>
        <n v="701.07"/>
        <n v="711.91"/>
        <n v="628.54"/>
        <n v="734.08"/>
        <n v="783.48"/>
        <n v="579.86"/>
        <n v="690.87"/>
        <n v="750.84"/>
        <n v="685.69"/>
        <n v="682.18"/>
        <n v="628.58000000000004"/>
        <n v="792.51"/>
        <n v="777.6"/>
        <n v="719.41"/>
        <n v="656.38"/>
        <n v="795"/>
        <n v="648.67999999999995"/>
        <n v="587.04"/>
        <n v="716.07"/>
        <n v="662.96"/>
        <n v="658.38"/>
        <n v="647.34"/>
        <n v="681.75"/>
        <n v="830.69"/>
        <n v="772.9"/>
        <n v="602.29999999999995"/>
        <n v="583.11"/>
        <n v="786.52"/>
        <n v="737.57"/>
        <n v="693.91"/>
        <n v="616.87"/>
        <n v="746.49"/>
        <n v="752.43"/>
        <n v="726.76"/>
        <n v="701.33"/>
        <n v="709.83"/>
        <n v="624.33000000000004"/>
        <n v="746.51"/>
        <n v="761.87"/>
        <n v="679.68"/>
        <n v="603.62"/>
        <n v="751.01"/>
        <n v="723.81"/>
        <n v="679.53"/>
        <n v="572.52"/>
        <n v="608.62"/>
        <n v="700"/>
        <n v="625.64"/>
        <n v="673.23"/>
        <n v="814.04"/>
        <n v="780.71"/>
        <n v="742.12"/>
        <n v="678.54"/>
        <n v="703.66"/>
        <n v="826.12"/>
        <n v="689.44"/>
        <n v="683.87"/>
        <n v="631.91"/>
        <n v="740.43"/>
        <n v="537.29"/>
        <n v="771.5"/>
        <n v="715.44"/>
        <n v="615.05999999999995"/>
        <n v="665.09"/>
        <n v="793.58"/>
        <n v="629"/>
        <n v="816.69"/>
        <n v="749.04"/>
        <n v="754.42"/>
        <n v="529.53"/>
        <n v="635.57000000000005"/>
        <n v="668.78"/>
        <n v="609.65"/>
        <n v="714.02"/>
        <n v="721.18"/>
        <n v="606.65"/>
        <n v="682.28"/>
        <n v="787.91"/>
        <n v="598.46"/>
        <n v="670.09"/>
        <n v="684.11"/>
        <n v="788.31"/>
        <n v="819.42"/>
        <n v="596.47"/>
        <n v="707.76"/>
        <n v="731.16"/>
        <n v="632.36"/>
        <n v="710.01"/>
        <n v="649.30999999999995"/>
        <n v="671.78"/>
        <n v="615.89"/>
        <n v="672.88"/>
        <n v="682.46"/>
        <n v="676.72"/>
        <n v="672.49"/>
        <n v="711.08"/>
        <n v="697.09"/>
        <n v="609.98"/>
        <n v="656.88"/>
        <n v="627.32000000000005"/>
        <n v="798.53"/>
        <n v="776.97"/>
        <n v="653.01"/>
        <n v="670.37"/>
        <n v="526.05999999999995"/>
        <n v="715.14"/>
        <n v="738.5"/>
        <n v="727.74"/>
        <n v="730.2"/>
        <n v="728.74"/>
        <n v="732.44"/>
        <n v="739.54"/>
        <n v="708.47"/>
        <n v="695.89"/>
        <n v="641.77"/>
        <n v="655.01"/>
        <n v="731.23"/>
        <n v="586.82000000000005"/>
        <n v="715.24"/>
        <n v="697.2"/>
        <n v="680.81"/>
        <n v="778.43"/>
        <n v="626.79"/>
        <n v="825.74"/>
        <n v="513.39"/>
        <n v="708.13"/>
        <n v="698.16"/>
        <n v="725.95"/>
        <n v="817.08"/>
        <n v="625.83000000000004"/>
        <n v="756.6"/>
        <n v="808.36"/>
        <n v="655.35"/>
        <n v="662.79"/>
        <n v="598.72"/>
        <n v="548.62"/>
        <n v="757.52"/>
        <n v="575.33000000000004"/>
        <n v="606.9"/>
        <n v="543.88"/>
        <n v="618.89"/>
        <n v="709.05"/>
        <n v="698.12"/>
        <n v="695.35"/>
        <n v="649.57000000000005"/>
        <n v="644.29999999999995"/>
        <n v="752.22"/>
        <n v="706.98"/>
        <n v="688.5"/>
        <n v="595.29"/>
        <n v="638.48"/>
        <n v="807.35"/>
        <n v="596.78"/>
        <n v="715.16"/>
        <n v="719.95"/>
        <n v="764.62"/>
        <n v="639.26"/>
        <n v="613.07000000000005"/>
        <n v="730.14"/>
        <n v="666.77"/>
        <n v="662.65"/>
        <n v="734.59"/>
        <n v="569.79999999999995"/>
        <n v="652.42999999999995"/>
        <n v="677.23"/>
        <n v="769.69"/>
        <n v="709.08"/>
        <n v="660.97"/>
        <n v="781.86"/>
        <n v="719.85"/>
        <n v="702.72"/>
        <n v="722.67"/>
        <n v="675.43"/>
        <n v="680.4"/>
        <n v="817.52"/>
        <n v="715.6"/>
        <n v="565.23"/>
        <n v="683.73"/>
        <n v="719.58"/>
        <n v="690.66"/>
        <n v="623.17999999999995"/>
        <n v="634.74"/>
        <n v="695.57"/>
        <n v="625"/>
        <n v="657.97"/>
        <n v="775"/>
        <n v="503.27"/>
        <n v="711.75"/>
        <n v="646.51"/>
        <n v="700.02"/>
        <n v="742.29"/>
        <n v="632.1"/>
        <n v="626.1"/>
        <n v="783.11"/>
        <n v="653.27"/>
        <n v="667.95"/>
        <n v="657.89"/>
        <n v="530.32000000000005"/>
        <n v="653.33000000000004"/>
        <n v="616.55999999999995"/>
        <n v="629.25"/>
        <n v="739.58"/>
        <n v="697.43"/>
        <n v="722.12"/>
        <n v="737.26"/>
        <n v="675.86"/>
        <n v="680.76"/>
        <n v="667.99"/>
        <n v="752.58"/>
        <n v="778.74"/>
        <n v="632.32000000000005"/>
        <n v="654.77"/>
        <n v="680.01"/>
        <n v="630.79"/>
        <n v="732.62"/>
        <n v="733.92"/>
        <n v="786.78"/>
        <n v="802.72"/>
        <n v="682.49"/>
        <n v="840.98"/>
        <n v="662.19"/>
        <n v="749.32"/>
        <n v="722.35"/>
        <n v="699.85"/>
        <n v="734.81"/>
        <n v="600.19000000000005"/>
        <n v="736.85"/>
        <n v="658.06"/>
        <n v="749.27"/>
        <n v="686.69"/>
        <n v="596.52"/>
        <n v="812.31"/>
        <n v="829.81"/>
        <n v="774.52"/>
        <n v="734.44"/>
        <n v="750.32"/>
        <n v="607.97"/>
        <n v="737.44"/>
        <n v="640.25"/>
        <n v="615.13"/>
        <n v="792.29"/>
        <n v="669.99"/>
        <n v="762.25"/>
        <n v="717.25"/>
        <n v="719.02"/>
        <n v="824.57"/>
        <n v="673.89"/>
        <n v="661.12"/>
        <n v="672.09"/>
        <n v="799.11"/>
        <n v="616.34"/>
        <n v="658.31"/>
        <n v="700.25"/>
        <n v="662.53"/>
        <n v="841.64"/>
        <n v="803.37"/>
        <n v="693.6"/>
        <n v="732.92"/>
        <n v="731.97"/>
        <n v="784.61"/>
        <n v="809.76"/>
        <n v="701.52"/>
        <n v="653.86"/>
        <n v="738.57"/>
        <n v="684.87"/>
        <n v="835.74"/>
        <n v="731.76"/>
        <n v="817.25"/>
        <n v="741.25"/>
        <n v="729.21"/>
        <n v="739.22"/>
        <n v="846.81"/>
        <n v="756.46"/>
        <n v="645.30999999999995"/>
        <n v="717.91"/>
        <n v="621.96"/>
        <n v="734.78"/>
        <n v="692.02"/>
        <n v="781.76"/>
        <n v="683.97"/>
        <n v="615.91999999999996"/>
        <n v="635.19000000000005"/>
        <n v="612.96"/>
        <n v="503.88"/>
        <n v="810.22"/>
        <n v="703.95"/>
        <n v="719.72"/>
        <n v="731.17"/>
        <n v="588.07000000000005"/>
        <n v="770.24"/>
        <n v="697.05"/>
        <n v="650.13"/>
        <n v="652.14"/>
        <n v="691.95"/>
        <n v="572.85"/>
        <n v="786.5"/>
        <n v="672.13"/>
        <n v="829.38"/>
        <n v="689.18"/>
        <n v="632.25"/>
        <n v="725.41"/>
        <n v="650.15"/>
        <n v="655.21"/>
        <n v="647.21"/>
        <n v="638.42999999999995"/>
        <n v="783.37"/>
        <n v="766.13"/>
        <n v="622.44000000000005"/>
        <n v="530.88"/>
        <n v="845.14"/>
        <n v="653.97"/>
        <n v="763.95"/>
        <n v="684.69"/>
        <n v="757.79"/>
        <n v="651.91999999999996"/>
        <n v="632.86"/>
        <n v="780.8"/>
        <n v="681.23"/>
        <n v="743.84"/>
        <n v="752.26"/>
        <n v="646.71"/>
        <n v="674.78"/>
        <n v="695.82"/>
        <n v="709.48"/>
        <n v="803.81"/>
        <n v="717.56"/>
        <n v="776.41"/>
        <n v="461.41"/>
        <n v="782.99"/>
        <n v="631.6"/>
        <n v="784.91"/>
        <n v="574.08000000000004"/>
        <n v="570.13"/>
        <n v="713"/>
        <n v="629.44000000000005"/>
        <n v="715.99"/>
        <n v="718.74"/>
        <n v="693.29"/>
        <n v="794.19"/>
        <n v="793.35"/>
        <n v="803.63"/>
        <n v="738.56"/>
        <n v="681.18"/>
        <n v="632.74"/>
        <n v="528.58000000000004"/>
        <n v="697.31"/>
        <n v="670.26"/>
        <n v="742.66"/>
        <n v="834.92"/>
        <n v="660.9"/>
        <n v="653.29"/>
        <n v="722.75"/>
        <n v="721.45"/>
        <n v="811.12"/>
        <n v="723.05"/>
        <n v="692.1"/>
        <n v="694.7"/>
        <n v="663.1"/>
        <n v="646.9"/>
        <n v="783.95"/>
        <n v="728.1"/>
        <n v="741.75"/>
        <n v="671.46"/>
        <n v="705.98"/>
        <n v="802.44"/>
        <n v="764.78"/>
        <n v="699.78"/>
        <n v="626.4"/>
        <n v="728.99"/>
        <n v="759.64"/>
        <n v="696.63"/>
        <n v="713.09"/>
        <n v="643.9"/>
        <n v="726.41"/>
        <n v="775.65"/>
        <n v="759.44"/>
        <n v="752.83"/>
        <n v="630.73"/>
        <n v="741.11"/>
        <n v="849.16"/>
        <n v="771.07"/>
        <n v="634.09"/>
        <n v="746.94"/>
        <n v="749.12"/>
        <n v="703.04"/>
        <n v="731.87"/>
        <n v="516.86"/>
        <n v="531.59"/>
        <n v="709.66"/>
        <n v="626.27"/>
        <n v="677"/>
        <n v="723.59"/>
        <n v="698.33"/>
        <n v="724.93"/>
        <n v="728.33"/>
        <n v="681.27"/>
        <n v="655.89"/>
        <n v="543.29999999999995"/>
        <n v="719.43"/>
        <n v="663.07"/>
        <n v="766.85"/>
        <n v="737.02"/>
        <n v="772.84"/>
        <n v="572.92999999999995"/>
        <n v="774.31"/>
        <n v="630.96"/>
        <n v="836.19"/>
        <n v="804.93"/>
        <n v="694.69"/>
        <n v="559.39"/>
        <n v="738.69"/>
        <n v="614.86"/>
        <n v="701.57"/>
        <n v="689.02"/>
        <n v="722.73"/>
        <n v="754.8"/>
        <n v="754.07"/>
        <n v="812.69"/>
        <n v="731.41"/>
        <n v="657.83"/>
        <n v="784.21"/>
        <n v="611.48"/>
        <n v="718.16"/>
        <n v="817.33"/>
        <n v="726.54"/>
        <n v="605.95000000000005"/>
        <n v="735.6"/>
        <n v="680.3"/>
        <n v="771.69"/>
        <n v="700.06"/>
        <n v="673.93"/>
        <n v="813.63"/>
        <n v="767.65"/>
        <n v="699.68"/>
        <n v="743.62"/>
        <n v="733.2"/>
        <n v="606.79999999999995"/>
        <n v="744.33"/>
        <n v="703.92"/>
        <n v="725.71"/>
        <n v="826.89"/>
        <n v="687.23"/>
        <n v="715.95"/>
        <n v="801.12"/>
        <n v="731.72"/>
        <n v="730.87"/>
        <n v="755.83"/>
        <n v="772.03"/>
        <n v="772.05"/>
        <n v="768.13"/>
        <n v="589.89"/>
        <n v="712.64"/>
        <n v="688.93"/>
        <n v="605.39"/>
        <n v="705.93"/>
        <n v="760.84"/>
        <n v="721.2"/>
        <n v="741.72"/>
        <n v="677.59"/>
        <n v="766.23"/>
        <n v="715"/>
        <n v="680.78"/>
        <n v="692.64"/>
        <n v="631.37"/>
        <n v="706.36"/>
        <n v="688.34"/>
        <n v="719.34"/>
        <n v="718.8"/>
        <n v="741.74"/>
        <n v="626.75"/>
        <n v="565.15"/>
        <n v="652.67999999999995"/>
        <n v="767.36"/>
        <n v="644.59"/>
        <n v="730.84"/>
        <n v="671.28"/>
        <n v="697.17"/>
        <n v="750.27"/>
        <n v="720.21"/>
        <n v="695.63"/>
        <n v="806.04"/>
        <n v="726.04"/>
        <n v="643.84"/>
        <n v="704.18"/>
        <n v="680.07"/>
        <n v="682.62"/>
        <n v="651.34"/>
        <n v="809.63"/>
        <n v="758.6"/>
        <n v="620.97"/>
        <n v="669.24"/>
        <n v="708.88"/>
        <n v="617.54"/>
        <n v="627.03"/>
        <n v="742.32"/>
        <n v="518.19000000000005"/>
        <n v="670.3"/>
        <n v="768.65"/>
        <n v="757.41"/>
        <n v="657.95"/>
        <n v="798.79"/>
        <n v="736.58"/>
        <n v="728.58"/>
        <n v="773.94"/>
        <n v="698.55"/>
        <n v="718.02"/>
        <n v="702.58"/>
        <n v="747.49"/>
        <n v="667.94"/>
        <n v="727.08"/>
        <n v="722.78"/>
        <n v="630.01"/>
        <n v="792.56"/>
        <n v="600.84"/>
        <n v="565.14"/>
        <n v="652.59"/>
        <n v="665.63"/>
        <n v="757.28"/>
        <n v="742.77"/>
        <n v="739.48"/>
        <n v="637.87"/>
        <n v="750.18"/>
        <n v="714.29"/>
        <n v="694.21"/>
        <n v="579.1"/>
        <n v="752.55"/>
        <n v="742.19"/>
        <n v="622.12"/>
        <n v="685.92"/>
        <n v="733.89"/>
        <n v="817.59"/>
        <n v="749.15"/>
        <n v="847.64"/>
        <n v="597.66"/>
        <n v="710.55"/>
        <n v="734.5"/>
        <n v="587.39"/>
        <n v="732.32"/>
        <n v="601"/>
        <n v="686.44"/>
        <n v="663.93"/>
        <n v="544.24"/>
        <n v="737.21"/>
        <n v="849.53"/>
        <n v="624.41"/>
        <n v="660.08"/>
        <n v="586.41999999999996"/>
        <n v="805.09"/>
        <n v="662.74"/>
        <n v="601.30999999999995"/>
        <n v="844.9"/>
        <n v="708.37"/>
        <n v="756.44"/>
        <n v="699.17"/>
        <n v="627.80999999999995"/>
        <n v="707.98"/>
        <n v="730.05"/>
        <n v="761.48"/>
        <n v="696.25"/>
        <n v="628.17999999999995"/>
        <n v="752.06"/>
        <n v="800.86"/>
        <n v="683.83"/>
        <n v="701.39"/>
        <n v="703.34"/>
        <n v="645.1"/>
        <n v="717.78"/>
        <n v="667.87"/>
        <n v="696.8"/>
        <n v="696.85"/>
        <n v="647.16"/>
        <n v="597.09"/>
        <n v="741.92"/>
        <n v="716.34"/>
        <n v="697.61"/>
        <n v="575.76"/>
        <n v="664.78"/>
        <n v="763"/>
        <n v="664.42"/>
        <n v="639.75"/>
        <n v="687.54"/>
        <n v="677.94"/>
        <n v="682.78"/>
        <n v="589.41999999999996"/>
        <n v="548.19000000000005"/>
        <n v="769.29"/>
        <n v="750.54"/>
        <n v="665.72"/>
        <n v="702.86"/>
        <n v="596.16"/>
        <n v="704.91"/>
        <n v="747.08"/>
        <n v="715.43"/>
        <n v="630.33000000000004"/>
        <n v="641.80999999999995"/>
        <n v="626.41"/>
        <n v="746.24"/>
        <n v="744.15"/>
        <n v="677.97"/>
        <n v="616.78"/>
        <n v="685.86"/>
        <n v="763.47"/>
        <n v="675.02"/>
        <n v="787.32"/>
        <n v="687.85"/>
        <n v="821.55"/>
        <n v="710.53"/>
        <n v="664.51"/>
        <n v="699.46"/>
        <n v="716.28"/>
        <n v="717.29"/>
        <n v="787.61"/>
        <n v="723.74"/>
        <n v="728.68"/>
        <n v="620.85"/>
        <n v="747.91"/>
        <n v="812.34"/>
        <n v="766.38"/>
        <n v="660.7"/>
        <n v="739.42"/>
        <n v="809.81"/>
        <n v="624.87"/>
        <n v="659.9"/>
        <n v="630.85"/>
        <n v="747.55"/>
        <n v="684.67"/>
        <n v="568.02"/>
        <n v="708.87"/>
        <n v="634.67999999999995"/>
        <n v="758.62"/>
        <n v="701.79"/>
        <n v="819.39"/>
        <n v="579.52"/>
        <n v="784.08"/>
        <n v="699.08"/>
        <n v="702.51"/>
        <n v="724.22"/>
        <n v="697.62"/>
        <n v="714.34"/>
        <n v="729.57"/>
        <n v="684.72"/>
        <n v="642.48"/>
        <n v="680.48"/>
        <n v="685.8"/>
        <n v="605.30999999999995"/>
        <n v="762.47"/>
        <n v="710.22"/>
        <n v="635.32000000000005"/>
        <n v="758"/>
        <n v="728.52"/>
        <n v="650.33000000000004"/>
        <n v="796.25"/>
        <n v="687.41"/>
        <n v="670.85"/>
        <n v="752.6"/>
        <n v="688.43"/>
        <n v="631.84"/>
        <n v="667.41"/>
        <n v="656.69"/>
        <n v="678.07"/>
        <n v="626.98"/>
        <n v="647.39"/>
        <n v="775.18"/>
        <n v="780.51"/>
        <n v="733.71"/>
        <n v="613.65"/>
        <n v="598.85"/>
        <n v="714.89"/>
        <n v="710.7"/>
        <n v="698.91"/>
        <n v="744"/>
        <n v="671.77"/>
        <n v="722.94"/>
        <n v="685.95"/>
        <n v="753.41"/>
        <n v="679.32"/>
        <n v="690.76"/>
        <n v="679.61"/>
        <n v="774.92"/>
        <n v="719.14"/>
        <n v="716.14"/>
        <n v="743"/>
        <n v="741.19"/>
        <n v="803.66"/>
        <n v="817.82"/>
        <n v="779.12"/>
        <n v="563.72"/>
        <n v="699.91"/>
        <n v="791.26"/>
        <n v="647.19000000000005"/>
        <n v="656.55"/>
        <n v="675.96"/>
        <n v="777.05"/>
        <n v="712.72"/>
        <n v="721.15"/>
        <n v="714.99"/>
        <n v="724.81"/>
        <n v="708.22"/>
        <n v="672.57"/>
        <n v="736.66"/>
        <n v="715.91"/>
        <n v="787.15"/>
        <n v="704.07"/>
        <n v="642.4"/>
        <n v="645.9"/>
        <n v="700.75"/>
        <n v="686.37"/>
        <n v="711.88"/>
        <n v="705.77"/>
        <n v="619.04999999999995"/>
        <n v="682.91"/>
        <n v="726.98"/>
        <n v="651.64"/>
        <n v="675.99"/>
        <n v="590.39"/>
        <n v="700.67"/>
        <n v="680.06"/>
        <n v="655.16"/>
        <n v="618.6"/>
        <n v="742.85"/>
        <n v="626.87"/>
        <n v="670.8"/>
        <n v="740.89"/>
        <n v="633.46"/>
        <n v="646.80999999999995"/>
        <n v="762.23"/>
        <n v="672.85"/>
        <n v="733.34"/>
        <n v="690.91"/>
        <n v="662.2"/>
        <n v="589.15"/>
        <n v="658.81"/>
        <n v="670.04"/>
        <n v="650.79"/>
        <n v="717.09"/>
        <n v="703.1"/>
        <n v="608.25"/>
        <n v="605.85"/>
        <n v="637.04"/>
        <n v="633.65"/>
        <n v="701.02"/>
        <n v="730.86"/>
        <n v="829.14"/>
        <n v="752.51"/>
        <n v="738.16"/>
        <n v="725.92"/>
        <n v="709.62"/>
        <n v="646.94000000000005"/>
        <n v="686.85"/>
        <n v="771.8"/>
        <n v="788.06"/>
        <n v="600.45000000000005"/>
        <n v="718.93"/>
        <n v="685.94"/>
        <n v="588.49"/>
        <n v="650.64"/>
        <n v="629.9"/>
        <n v="802.09"/>
        <n v="601.80999999999995"/>
        <n v="620.84"/>
        <n v="657.6"/>
        <n v="648.55999999999995"/>
        <n v="692.51"/>
        <n v="736.64"/>
        <n v="722.03"/>
        <n v="828.55"/>
        <n v="796.15"/>
        <n v="759.63"/>
        <n v="691.29"/>
        <n v="752.23"/>
        <n v="619.09"/>
        <n v="745.15"/>
        <n v="664.22"/>
        <n v="655.34"/>
        <n v="794.63"/>
        <n v="663.39"/>
        <n v="758.35"/>
        <n v="741.45"/>
        <n v="738.33"/>
        <n v="699.11"/>
        <n v="816.43"/>
        <n v="704.76"/>
        <n v="804.68"/>
        <n v="652"/>
        <n v="726.19"/>
        <n v="749.03"/>
        <n v="791.29"/>
        <n v="682.68"/>
        <n v="719.8"/>
        <n v="729.07"/>
        <n v="716.96"/>
        <n v="678.86"/>
        <n v="726.73"/>
        <n v="813.71"/>
        <n v="712.32"/>
        <n v="780.61"/>
        <n v="797.64"/>
        <n v="756.29"/>
        <n v="731.07"/>
        <n v="605.47"/>
        <n v="843.34"/>
        <n v="711.14"/>
        <n v="827.86"/>
        <n v="700.42"/>
        <n v="707.04"/>
        <n v="697.35"/>
        <n v="625.32000000000005"/>
        <n v="676.11"/>
        <n v="617.11"/>
        <n v="773.8"/>
        <n v="696.06"/>
        <n v="748.55"/>
        <n v="676.61"/>
        <n v="657.64"/>
        <n v="668.11"/>
        <n v="647.13"/>
        <n v="661.63"/>
        <n v="778.21"/>
        <n v="648.95000000000005"/>
        <n v="620.79"/>
        <n v="726.62"/>
        <n v="743.74"/>
        <n v="689.21"/>
        <n v="771.52"/>
        <n v="652.94000000000005"/>
        <n v="665.66"/>
        <n v="611.94000000000005"/>
        <n v="679.38"/>
        <n v="688.26"/>
        <n v="720.26"/>
        <n v="658.66"/>
        <n v="762.53"/>
      </sharedItems>
    </cacheField>
    <cacheField name="Default"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ti" refreshedDate="46039.883808333332" backgroundQuery="1" createdVersion="8" refreshedVersion="8" minRefreshableVersion="3" recordCount="0" supportSubquery="1" supportAdvancedDrill="1" xr:uid="{702C3152-1D34-432A-AB9C-A5E1E82EC0CA}">
  <cacheSource type="external" connectionId="1"/>
  <cacheFields count="2">
    <cacheField name="[Measures].[Sum of Months_with_Bank]" caption="Sum of Months_with_Bank" numFmtId="0" hierarchy="18" level="32767"/>
    <cacheField name="[table1].[Dependents].[Dependents]" caption="Dependents" numFmtId="0" hierarchy="13"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table1].[Dependents].&amp;[0]"/>
            <x15:cachedUniqueName index="1" name="[table1].[Dependents].&amp;[1]"/>
            <x15:cachedUniqueName index="2" name="[table1].[Dependents].&amp;[2]"/>
            <x15:cachedUniqueName index="3" name="[table1].[Dependents].&amp;[3]"/>
          </x15:cachedUniqueNames>
        </ext>
      </extLst>
    </cacheField>
  </cacheFields>
  <cacheHierarchies count="24">
    <cacheHierarchy uniqueName="[table1].[Name]" caption="Name" attribute="1" defaultMemberUniqueName="[table1].[Name].[All]" allUniqueName="[table1].[Name].[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Limit_Balance]" caption="Limit_Balance" attribute="1" defaultMemberUniqueName="[table1].[Limit_Balance].[All]" allUniqueName="[table1].[Limit_Balance].[All]" dimensionUniqueName="[table1]" displayFolder="" count="0" memberValueDatatype="5" unbalanced="0"/>
    <cacheHierarchy uniqueName="[table1].[Age]" caption="Age" attribute="1" defaultMemberUniqueName="[table1].[Age].[All]" allUniqueName="[table1].[Age].[All]" dimensionUniqueName="[table1]" displayFolder="" count="0" memberValueDatatype="20" unbalanced="0"/>
    <cacheHierarchy uniqueName="[table1].[Married_Flag]" caption="Married_Flag" attribute="1" defaultMemberUniqueName="[table1].[Married_Flag].[All]" allUniqueName="[table1].[Married_Flag].[All]" dimensionUniqueName="[table1]" displayFolder="" count="0" memberValueDatatype="20" unbalanced="0"/>
    <cacheHierarchy uniqueName="[table1].[Income_Stability]" caption="Income_Stability" attribute="1" defaultMemberUniqueName="[table1].[Income_Stability].[All]" allUniqueName="[table1].[Income_Stability].[All]" dimensionUniqueName="[table1]" displayFolder="" count="0" memberValueDatatype="5" unbalanced="0"/>
    <cacheHierarchy uniqueName="[table1].[Utilization_Rate]" caption="Utilization_Rate" attribute="1" defaultMemberUniqueName="[table1].[Utilization_Rate].[All]" allUniqueName="[table1].[Utilization_Rate].[All]" dimensionUniqueName="[table1]" displayFolder="" count="0" memberValueDatatype="5" unbalanced="0"/>
    <cacheHierarchy uniqueName="[table1].[Late_Payment_Last_Year]" caption="Late_Payment_Last_Year" attribute="1" defaultMemberUniqueName="[table1].[Late_Payment_Last_Year].[All]" allUniqueName="[table1].[Late_Payment_Last_Year].[All]" dimensionUniqueName="[table1]" displayFolder="" count="0" memberValueDatatype="20" unbalanced="0"/>
    <cacheHierarchy uniqueName="[table1].[Average_Bill_Amount]" caption="Average_Bill_Amount" attribute="1" defaultMemberUniqueName="[table1].[Average_Bill_Amount].[All]" allUniqueName="[table1].[Average_Bill_Amount].[All]" dimensionUniqueName="[table1]" displayFolder="" count="0" memberValueDatatype="5" unbalanced="0"/>
    <cacheHierarchy uniqueName="[table1].[Average_Payment_Amount]" caption="Average_Payment_Amount" attribute="1" defaultMemberUniqueName="[table1].[Average_Payment_Amount].[All]" allUniqueName="[table1].[Average_Payment_Amount].[All]" dimensionUniqueName="[table1]" displayFolder="" count="0" memberValueDatatype="5" unbalanced="0"/>
    <cacheHierarchy uniqueName="[table1].[Months_with_Bank]" caption="Months_with_Bank" attribute="1" defaultMemberUniqueName="[table1].[Months_with_Bank].[All]" allUniqueName="[table1].[Months_with_Bank].[All]" dimensionUniqueName="[table1]" displayFolder="" count="0" memberValueDatatype="20" unbalanced="0"/>
    <cacheHierarchy uniqueName="[table1].[Educational_Level]" caption="Educational_Level" attribute="1" defaultMemberUniqueName="[table1].[Educational_Level].[All]" allUniqueName="[table1].[Educational_Level].[All]" dimensionUniqueName="[table1]" displayFolder="" count="0" memberValueDatatype="20" unbalanced="0"/>
    <cacheHierarchy uniqueName="[table1].[Marrital_Status]" caption="Marrital_Status" attribute="1" defaultMemberUniqueName="[table1].[Marrital_Status].[All]" allUniqueName="[table1].[Marrital_Status].[All]" dimensionUniqueName="[table1]" displayFolder="" count="0" memberValueDatatype="20" unbalanced="0"/>
    <cacheHierarchy uniqueName="[table1].[Dependents]" caption="Dependents" attribute="1" defaultMemberUniqueName="[table1].[Dependents].[All]" allUniqueName="[table1].[Dependents].[All]" dimensionUniqueName="[table1]" displayFolder="" count="2" memberValueDatatype="20" unbalanced="0">
      <fieldsUsage count="2">
        <fieldUsage x="-1"/>
        <fieldUsage x="1"/>
      </fieldsUsage>
    </cacheHierarchy>
    <cacheHierarchy uniqueName="[table1].[Credit_Score]" caption="Credit_Score" attribute="1" defaultMemberUniqueName="[table1].[Credit_Score].[All]" allUniqueName="[table1].[Credit_Score].[All]" dimensionUniqueName="[table1]" displayFolder="" count="0" memberValueDatatype="5" unbalanced="0"/>
    <cacheHierarchy uniqueName="[table1].[Default]" caption="Default" attribute="1" defaultMemberUniqueName="[table1].[Default].[All]" allUniqueName="[table1].[Defaul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s_with_Bank]" caption="Sum of Months_with_Bank"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redit_Score]" caption="Sum of Credit_Score" measure="1" displayFolder="" measureGroup="table1" count="0" hidden="1">
      <extLst>
        <ext xmlns:x15="http://schemas.microsoft.com/office/spreadsheetml/2010/11/main" uri="{B97F6D7D-B522-45F9-BDA1-12C45D357490}">
          <x15:cacheHierarchy aggregatedColumn="14"/>
        </ext>
      </extLst>
    </cacheHierarchy>
    <cacheHierarchy uniqueName="[Measures].[Sum of Average_Payment_Amount]" caption="Sum of Average_Payment_Amount" measure="1" displayFolder="" measureGroup="table1" count="0" hidden="1">
      <extLst>
        <ext xmlns:x15="http://schemas.microsoft.com/office/spreadsheetml/2010/11/main" uri="{B97F6D7D-B522-45F9-BDA1-12C45D357490}">
          <x15:cacheHierarchy aggregatedColumn="9"/>
        </ext>
      </extLst>
    </cacheHierarchy>
    <cacheHierarchy uniqueName="[Measures].[Sum of Educational_Level]" caption="Sum of Educational_Level" measure="1" displayFolder="" measureGroup="table1" count="0" hidden="1">
      <extLst>
        <ext xmlns:x15="http://schemas.microsoft.com/office/spreadsheetml/2010/11/main" uri="{B97F6D7D-B522-45F9-BDA1-12C45D357490}">
          <x15:cacheHierarchy aggregatedColumn="11"/>
        </ext>
      </extLst>
    </cacheHierarchy>
    <cacheHierarchy uniqueName="[Measures].[Sum of Income_Stability]" caption="Sum of Income_Stability" measure="1" displayFolder="" measureGroup="table1" count="0" hidden="1">
      <extLst>
        <ext xmlns:x15="http://schemas.microsoft.com/office/spreadsheetml/2010/11/main" uri="{B97F6D7D-B522-45F9-BDA1-12C45D357490}">
          <x15:cacheHierarchy aggregatedColumn="5"/>
        </ext>
      </extLst>
    </cacheHierarchy>
    <cacheHierarchy uniqueName="[Measures].[Sum of Dependents]" caption="Sum of Dependent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ti" refreshedDate="46039.884458217595" backgroundQuery="1" createdVersion="8" refreshedVersion="8" minRefreshableVersion="3" recordCount="0" supportSubquery="1" supportAdvancedDrill="1" xr:uid="{71A5032D-1838-44EF-BAD2-16E1B0697511}">
  <cacheSource type="external" connectionId="1"/>
  <cacheFields count="2">
    <cacheField name="[table1].[Occupation].[Occupation]" caption="Occupation" numFmtId="0" hierarchy="1" level="1">
      <sharedItems count="6">
        <s v="Data Analyst"/>
        <s v="Graphic Designer"/>
        <s v="Nurse"/>
        <s v="Sales Representative"/>
        <s v="Software Engineer"/>
        <s v="Teacher"/>
      </sharedItems>
    </cacheField>
    <cacheField name="[Measures].[Sum of Income_Stability]" caption="Sum of Income_Stability" numFmtId="0" hierarchy="22" level="32767"/>
  </cacheFields>
  <cacheHierarchies count="24">
    <cacheHierarchy uniqueName="[table1].[Name]" caption="Name" attribute="1" defaultMemberUniqueName="[table1].[Name].[All]" allUniqueName="[table1].[Name].[All]" dimensionUniqueName="[table1]" displayFolder="" count="0" memberValueDatatype="130" unbalanced="0"/>
    <cacheHierarchy uniqueName="[table1].[Occupation]" caption="Occupation" attribute="1" defaultMemberUniqueName="[table1].[Occupation].[All]" allUniqueName="[table1].[Occupation].[All]" dimensionUniqueName="[table1]" displayFolder="" count="2" memberValueDatatype="130" unbalanced="0">
      <fieldsUsage count="2">
        <fieldUsage x="-1"/>
        <fieldUsage x="0"/>
      </fieldsUsage>
    </cacheHierarchy>
    <cacheHierarchy uniqueName="[table1].[Limit_Balance]" caption="Limit_Balance" attribute="1" defaultMemberUniqueName="[table1].[Limit_Balance].[All]" allUniqueName="[table1].[Limit_Balance].[All]" dimensionUniqueName="[table1]" displayFolder="" count="0" memberValueDatatype="5" unbalanced="0"/>
    <cacheHierarchy uniqueName="[table1].[Age]" caption="Age" attribute="1" defaultMemberUniqueName="[table1].[Age].[All]" allUniqueName="[table1].[Age].[All]" dimensionUniqueName="[table1]" displayFolder="" count="0" memberValueDatatype="20" unbalanced="0"/>
    <cacheHierarchy uniqueName="[table1].[Married_Flag]" caption="Married_Flag" attribute="1" defaultMemberUniqueName="[table1].[Married_Flag].[All]" allUniqueName="[table1].[Married_Flag].[All]" dimensionUniqueName="[table1]" displayFolder="" count="0" memberValueDatatype="20" unbalanced="0"/>
    <cacheHierarchy uniqueName="[table1].[Income_Stability]" caption="Income_Stability" attribute="1" defaultMemberUniqueName="[table1].[Income_Stability].[All]" allUniqueName="[table1].[Income_Stability].[All]" dimensionUniqueName="[table1]" displayFolder="" count="0" memberValueDatatype="5" unbalanced="0"/>
    <cacheHierarchy uniqueName="[table1].[Utilization_Rate]" caption="Utilization_Rate" attribute="1" defaultMemberUniqueName="[table1].[Utilization_Rate].[All]" allUniqueName="[table1].[Utilization_Rate].[All]" dimensionUniqueName="[table1]" displayFolder="" count="0" memberValueDatatype="5" unbalanced="0"/>
    <cacheHierarchy uniqueName="[table1].[Late_Payment_Last_Year]" caption="Late_Payment_Last_Year" attribute="1" defaultMemberUniqueName="[table1].[Late_Payment_Last_Year].[All]" allUniqueName="[table1].[Late_Payment_Last_Year].[All]" dimensionUniqueName="[table1]" displayFolder="" count="0" memberValueDatatype="20" unbalanced="0"/>
    <cacheHierarchy uniqueName="[table1].[Average_Bill_Amount]" caption="Average_Bill_Amount" attribute="1" defaultMemberUniqueName="[table1].[Average_Bill_Amount].[All]" allUniqueName="[table1].[Average_Bill_Amount].[All]" dimensionUniqueName="[table1]" displayFolder="" count="0" memberValueDatatype="5" unbalanced="0"/>
    <cacheHierarchy uniqueName="[table1].[Average_Payment_Amount]" caption="Average_Payment_Amount" attribute="1" defaultMemberUniqueName="[table1].[Average_Payment_Amount].[All]" allUniqueName="[table1].[Average_Payment_Amount].[All]" dimensionUniqueName="[table1]" displayFolder="" count="0" memberValueDatatype="5" unbalanced="0"/>
    <cacheHierarchy uniqueName="[table1].[Months_with_Bank]" caption="Months_with_Bank" attribute="1" defaultMemberUniqueName="[table1].[Months_with_Bank].[All]" allUniqueName="[table1].[Months_with_Bank].[All]" dimensionUniqueName="[table1]" displayFolder="" count="0" memberValueDatatype="20" unbalanced="0"/>
    <cacheHierarchy uniqueName="[table1].[Educational_Level]" caption="Educational_Level" attribute="1" defaultMemberUniqueName="[table1].[Educational_Level].[All]" allUniqueName="[table1].[Educational_Level].[All]" dimensionUniqueName="[table1]" displayFolder="" count="0" memberValueDatatype="20" unbalanced="0"/>
    <cacheHierarchy uniqueName="[table1].[Marrital_Status]" caption="Marrital_Status" attribute="1" defaultMemberUniqueName="[table1].[Marrital_Status].[All]" allUniqueName="[table1].[Marrital_Status].[All]" dimensionUniqueName="[table1]" displayFolder="" count="0" memberValueDatatype="20" unbalanced="0"/>
    <cacheHierarchy uniqueName="[table1].[Dependents]" caption="Dependents" attribute="1" defaultMemberUniqueName="[table1].[Dependents].[All]" allUniqueName="[table1].[Dependents].[All]" dimensionUniqueName="[table1]" displayFolder="" count="0" memberValueDatatype="20" unbalanced="0"/>
    <cacheHierarchy uniqueName="[table1].[Credit_Score]" caption="Credit_Score" attribute="1" defaultMemberUniqueName="[table1].[Credit_Score].[All]" allUniqueName="[table1].[Credit_Score].[All]" dimensionUniqueName="[table1]" displayFolder="" count="0" memberValueDatatype="5" unbalanced="0"/>
    <cacheHierarchy uniqueName="[table1].[Default]" caption="Default" attribute="1" defaultMemberUniqueName="[table1].[Default].[All]" allUniqueName="[table1].[Defaul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s_with_Bank]" caption="Sum of Months_with_Bank" measure="1" displayFolder="" measureGroup="table1" count="0" hidden="1">
      <extLst>
        <ext xmlns:x15="http://schemas.microsoft.com/office/spreadsheetml/2010/11/main" uri="{B97F6D7D-B522-45F9-BDA1-12C45D357490}">
          <x15:cacheHierarchy aggregatedColumn="10"/>
        </ext>
      </extLst>
    </cacheHierarchy>
    <cacheHierarchy uniqueName="[Measures].[Sum of Credit_Score]" caption="Sum of Credit_Score" measure="1" displayFolder="" measureGroup="table1" count="0" hidden="1">
      <extLst>
        <ext xmlns:x15="http://schemas.microsoft.com/office/spreadsheetml/2010/11/main" uri="{B97F6D7D-B522-45F9-BDA1-12C45D357490}">
          <x15:cacheHierarchy aggregatedColumn="14"/>
        </ext>
      </extLst>
    </cacheHierarchy>
    <cacheHierarchy uniqueName="[Measures].[Sum of Average_Payment_Amount]" caption="Sum of Average_Payment_Amount" measure="1" displayFolder="" measureGroup="table1" count="0" hidden="1">
      <extLst>
        <ext xmlns:x15="http://schemas.microsoft.com/office/spreadsheetml/2010/11/main" uri="{B97F6D7D-B522-45F9-BDA1-12C45D357490}">
          <x15:cacheHierarchy aggregatedColumn="9"/>
        </ext>
      </extLst>
    </cacheHierarchy>
    <cacheHierarchy uniqueName="[Measures].[Sum of Educational_Level]" caption="Sum of Educational_Level" measure="1" displayFolder="" measureGroup="table1" count="0" hidden="1">
      <extLst>
        <ext xmlns:x15="http://schemas.microsoft.com/office/spreadsheetml/2010/11/main" uri="{B97F6D7D-B522-45F9-BDA1-12C45D357490}">
          <x15:cacheHierarchy aggregatedColumn="11"/>
        </ext>
      </extLst>
    </cacheHierarchy>
    <cacheHierarchy uniqueName="[Measures].[Sum of Income_Stability]" caption="Sum of Income_Stabilit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Dependents]" caption="Sum of Dependent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ti" refreshedDate="46039.887642708331" backgroundQuery="1" createdVersion="3" refreshedVersion="8" minRefreshableVersion="3" recordCount="0" supportSubquery="1" supportAdvancedDrill="1" xr:uid="{A12BE486-6188-47C1-B140-D26BE6F0928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Measures]" caption="Measures" attribute="1" keyAttribute="1" defaultMemberUniqueName="[Measures].[__No measures defined]" dimensionUniqueName="[Measures]" displayFolder="" measures="1" count="1" memberValueDatatype="130" unbalanced="0"/>
    <cacheHierarchy uniqueName="[table1].[Name]" caption="Name" attribute="1" defaultMemberUniqueName="[table1].[Name].[All]" allUniqueName="[table1].[Name].[All]" dimensionUniqueName="[table1]" displayFolder="" count="2"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Limit_Balance]" caption="Limit_Balance" attribute="1" defaultMemberUniqueName="[table1].[Limit_Balance].[All]" allUniqueName="[table1].[Limit_Balance].[All]" dimensionUniqueName="[table1]" displayFolder="" count="2" memberValueDatatype="5" unbalanced="0"/>
    <cacheHierarchy uniqueName="[table1].[Age]" caption="Age" attribute="1" defaultMemberUniqueName="[table1].[Age].[All]" allUniqueName="[table1].[Age].[All]" dimensionUniqueName="[table1]" displayFolder="" count="2" memberValueDatatype="20" unbalanced="0"/>
    <cacheHierarchy uniqueName="[table1].[Married_Flag]" caption="Married_Flag" attribute="1" defaultMemberUniqueName="[table1].[Married_Flag].[All]" allUniqueName="[table1].[Married_Flag].[All]" dimensionUniqueName="[table1]" displayFolder="" count="2" memberValueDatatype="20" unbalanced="0"/>
    <cacheHierarchy uniqueName="[table1].[Income_Stability]" caption="Income_Stability" attribute="1" defaultMemberUniqueName="[table1].[Income_Stability].[All]" allUniqueName="[table1].[Income_Stability].[All]" dimensionUniqueName="[table1]" displayFolder="" count="2" memberValueDatatype="5" unbalanced="0"/>
    <cacheHierarchy uniqueName="[table1].[Utilization_Rate]" caption="Utilization_Rate" attribute="1" defaultMemberUniqueName="[table1].[Utilization_Rate].[All]" allUniqueName="[table1].[Utilization_Rate].[All]" dimensionUniqueName="[table1]" displayFolder="" count="2" memberValueDatatype="5" unbalanced="0"/>
    <cacheHierarchy uniqueName="[table1].[Late_Payment_Last_Year]" caption="Late_Payment_Last_Year" attribute="1" defaultMemberUniqueName="[table1].[Late_Payment_Last_Year].[All]" allUniqueName="[table1].[Late_Payment_Last_Year].[All]" dimensionUniqueName="[table1]" displayFolder="" count="2" memberValueDatatype="20" unbalanced="0"/>
    <cacheHierarchy uniqueName="[table1].[Average_Bill_Amount]" caption="Average_Bill_Amount" attribute="1" defaultMemberUniqueName="[table1].[Average_Bill_Amount].[All]" allUniqueName="[table1].[Average_Bill_Amount].[All]" dimensionUniqueName="[table1]" displayFolder="" count="2" memberValueDatatype="5" unbalanced="0"/>
    <cacheHierarchy uniqueName="[table1].[Average_Payment_Amount]" caption="Average_Payment_Amount" attribute="1" defaultMemberUniqueName="[table1].[Average_Payment_Amount].[All]" allUniqueName="[table1].[Average_Payment_Amount].[All]" dimensionUniqueName="[table1]" displayFolder="" count="2" memberValueDatatype="5" unbalanced="0"/>
    <cacheHierarchy uniqueName="[table1].[Months_with_Bank]" caption="Months_with_Bank" attribute="1" defaultMemberUniqueName="[table1].[Months_with_Bank].[All]" allUniqueName="[table1].[Months_with_Bank].[All]" dimensionUniqueName="[table1]" displayFolder="" count="2" memberValueDatatype="20" unbalanced="0"/>
    <cacheHierarchy uniqueName="[table1].[Educational_Level]" caption="Educational_Level" attribute="1" defaultMemberUniqueName="[table1].[Educational_Level].[All]" allUniqueName="[table1].[Educational_Level].[All]" dimensionUniqueName="[table1]" displayFolder="" count="2" memberValueDatatype="20" unbalanced="0"/>
    <cacheHierarchy uniqueName="[table1].[Marrital_Status]" caption="Marrital_Status" attribute="1" defaultMemberUniqueName="[table1].[Marrital_Status].[All]" allUniqueName="[table1].[Marrital_Status].[All]" dimensionUniqueName="[table1]" displayFolder="" count="2" memberValueDatatype="20" unbalanced="0"/>
    <cacheHierarchy uniqueName="[table1].[Dependents]" caption="Dependents" attribute="1" defaultMemberUniqueName="[table1].[Dependents].[All]" allUniqueName="[table1].[Dependents].[All]" dimensionUniqueName="[table1]" displayFolder="" count="2" memberValueDatatype="20" unbalanced="0"/>
    <cacheHierarchy uniqueName="[table1].[Credit_Score]" caption="Credit_Score" attribute="1" defaultMemberUniqueName="[table1].[Credit_Score].[All]" allUniqueName="[table1].[Credit_Score].[All]" dimensionUniqueName="[table1]" displayFolder="" count="2" memberValueDatatype="5" unbalanced="0"/>
    <cacheHierarchy uniqueName="[table1].[Default]" caption="Default" attribute="1" defaultMemberUniqueName="[table1].[Default].[All]" allUniqueName="[table1].[Default].[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onths_with_Bank]" caption="Sum of Months_with_Bank" measure="1" displayFolder="" measureGroup="table1" count="0" hidden="1">
      <extLst>
        <ext xmlns:x15="http://schemas.microsoft.com/office/spreadsheetml/2010/11/main" uri="{B97F6D7D-B522-45F9-BDA1-12C45D357490}">
          <x15:cacheHierarchy aggregatedColumn="11"/>
        </ext>
      </extLst>
    </cacheHierarchy>
    <cacheHierarchy uniqueName="[Measures].[Sum of Credit_Score]" caption="Sum of Credit_Score" measure="1" displayFolder="" measureGroup="table1" count="0" hidden="1">
      <extLst>
        <ext xmlns:x15="http://schemas.microsoft.com/office/spreadsheetml/2010/11/main" uri="{B97F6D7D-B522-45F9-BDA1-12C45D357490}">
          <x15:cacheHierarchy aggregatedColumn="15"/>
        </ext>
      </extLst>
    </cacheHierarchy>
    <cacheHierarchy uniqueName="[Measures].[Sum of Average_Payment_Amount]" caption="Sum of Average_Payment_Amount" measure="1" displayFolder="" measureGroup="table1" count="0" hidden="1">
      <extLst>
        <ext xmlns:x15="http://schemas.microsoft.com/office/spreadsheetml/2010/11/main" uri="{B97F6D7D-B522-45F9-BDA1-12C45D357490}">
          <x15:cacheHierarchy aggregatedColumn="10"/>
        </ext>
      </extLst>
    </cacheHierarchy>
    <cacheHierarchy uniqueName="[Measures].[Sum of Educational_Level]" caption="Sum of Educational_Level" measure="1" displayFolder="" measureGroup="table1" count="0" hidden="1">
      <extLst>
        <ext xmlns:x15="http://schemas.microsoft.com/office/spreadsheetml/2010/11/main" uri="{B97F6D7D-B522-45F9-BDA1-12C45D357490}">
          <x15:cacheHierarchy aggregatedColumn="12"/>
        </ext>
      </extLst>
    </cacheHierarchy>
    <cacheHierarchy uniqueName="[Measures].[Sum of Income_Stability]" caption="Sum of Income_Stability" measure="1" displayFolder="" measureGroup="table1" count="0" hidden="1">
      <extLst>
        <ext xmlns:x15="http://schemas.microsoft.com/office/spreadsheetml/2010/11/main" uri="{B97F6D7D-B522-45F9-BDA1-12C45D357490}">
          <x15:cacheHierarchy aggregatedColumn="6"/>
        </ext>
      </extLst>
    </cacheHierarchy>
    <cacheHierarchy uniqueName="[Measures].[Sum of Dependents]" caption="Sum of Dependent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20260416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83515.94"/>
    <x v="0"/>
    <n v="1"/>
    <x v="0"/>
    <n v="0.40439999999999998"/>
    <n v="4"/>
    <n v="53481.8"/>
    <n v="43519.22"/>
    <n v="145"/>
    <x v="0"/>
    <x v="0"/>
    <x v="0"/>
    <x v="0"/>
    <x v="0"/>
  </r>
  <r>
    <x v="1"/>
    <x v="0"/>
    <n v="142360.14000000001"/>
    <x v="1"/>
    <n v="1"/>
    <x v="1"/>
    <n v="2.0199999999999999E-2"/>
    <n v="0"/>
    <n v="10807.38"/>
    <n v="4220.5200000000004"/>
    <n v="46"/>
    <x v="1"/>
    <x v="0"/>
    <x v="0"/>
    <x v="1"/>
    <x v="1"/>
  </r>
  <r>
    <x v="2"/>
    <x v="1"/>
    <n v="79722.58"/>
    <x v="2"/>
    <n v="1"/>
    <x v="2"/>
    <n v="0.25480000000000003"/>
    <n v="3"/>
    <n v="19907.53"/>
    <n v="16512.96"/>
    <n v="123"/>
    <x v="1"/>
    <x v="1"/>
    <x v="0"/>
    <x v="2"/>
    <x v="1"/>
  </r>
  <r>
    <x v="3"/>
    <x v="2"/>
    <n v="62818.02"/>
    <x v="3"/>
    <n v="0"/>
    <x v="3"/>
    <n v="0.21759999999999999"/>
    <n v="3"/>
    <n v="16735.080000000002"/>
    <n v="8732.06"/>
    <n v="65"/>
    <x v="2"/>
    <x v="0"/>
    <x v="1"/>
    <x v="3"/>
    <x v="1"/>
  </r>
  <r>
    <x v="4"/>
    <x v="0"/>
    <n v="111994.84"/>
    <x v="4"/>
    <n v="0"/>
    <x v="4"/>
    <n v="0.33750000000000002"/>
    <n v="7"/>
    <n v="25505.63"/>
    <n v="10183.85"/>
    <n v="49"/>
    <x v="1"/>
    <x v="0"/>
    <x v="1"/>
    <x v="4"/>
    <x v="1"/>
  </r>
  <r>
    <x v="5"/>
    <x v="3"/>
    <n v="191722.63"/>
    <x v="5"/>
    <n v="1"/>
    <x v="5"/>
    <n v="0"/>
    <n v="1"/>
    <n v="500"/>
    <n v="7133.12"/>
    <n v="74"/>
    <x v="0"/>
    <x v="1"/>
    <x v="1"/>
    <x v="5"/>
    <x v="1"/>
  </r>
  <r>
    <x v="6"/>
    <x v="3"/>
    <n v="102314.1"/>
    <x v="6"/>
    <n v="0"/>
    <x v="6"/>
    <n v="0.2104"/>
    <n v="2"/>
    <n v="21934.19"/>
    <n v="27190.61"/>
    <n v="73"/>
    <x v="1"/>
    <x v="0"/>
    <x v="1"/>
    <x v="6"/>
    <x v="1"/>
  </r>
  <r>
    <x v="7"/>
    <x v="3"/>
    <n v="208101.09"/>
    <x v="7"/>
    <n v="0"/>
    <x v="7"/>
    <n v="0.442"/>
    <n v="5"/>
    <n v="105379.42"/>
    <n v="76050.94"/>
    <n v="22"/>
    <x v="1"/>
    <x v="2"/>
    <x v="1"/>
    <x v="7"/>
    <x v="1"/>
  </r>
  <r>
    <x v="8"/>
    <x v="1"/>
    <n v="2000"/>
    <x v="8"/>
    <n v="1"/>
    <x v="8"/>
    <n v="0.33079999999999998"/>
    <n v="0"/>
    <n v="500"/>
    <n v="0"/>
    <n v="170"/>
    <x v="0"/>
    <x v="0"/>
    <x v="0"/>
    <x v="8"/>
    <x v="1"/>
  </r>
  <r>
    <x v="9"/>
    <x v="1"/>
    <n v="91468.31"/>
    <x v="9"/>
    <n v="1"/>
    <x v="9"/>
    <n v="0.1032"/>
    <n v="3"/>
    <n v="22469.67"/>
    <n v="20627.150000000001"/>
    <n v="56"/>
    <x v="0"/>
    <x v="2"/>
    <x v="1"/>
    <x v="9"/>
    <x v="1"/>
  </r>
  <r>
    <x v="10"/>
    <x v="4"/>
    <n v="88505.48"/>
    <x v="10"/>
    <n v="0"/>
    <x v="10"/>
    <n v="0.27850000000000003"/>
    <n v="2"/>
    <n v="500"/>
    <n v="17969.77"/>
    <n v="84"/>
    <x v="0"/>
    <x v="0"/>
    <x v="1"/>
    <x v="10"/>
    <x v="1"/>
  </r>
  <r>
    <x v="11"/>
    <x v="0"/>
    <n v="124675.54"/>
    <x v="11"/>
    <n v="0"/>
    <x v="11"/>
    <n v="0.37359999999999999"/>
    <n v="0"/>
    <n v="15920.59"/>
    <n v="15160.68"/>
    <n v="161"/>
    <x v="1"/>
    <x v="0"/>
    <x v="1"/>
    <x v="11"/>
    <x v="1"/>
  </r>
  <r>
    <x v="12"/>
    <x v="5"/>
    <n v="101751.65"/>
    <x v="4"/>
    <n v="0"/>
    <x v="12"/>
    <n v="0.24210000000000001"/>
    <n v="0"/>
    <n v="17057.61"/>
    <n v="12275.77"/>
    <n v="63"/>
    <x v="0"/>
    <x v="0"/>
    <x v="1"/>
    <x v="12"/>
    <x v="1"/>
  </r>
  <r>
    <x v="13"/>
    <x v="1"/>
    <n v="87148.04"/>
    <x v="12"/>
    <n v="0"/>
    <x v="13"/>
    <n v="0.93820000000000003"/>
    <n v="6"/>
    <n v="77322.720000000001"/>
    <n v="55247.519999999997"/>
    <n v="60"/>
    <x v="1"/>
    <x v="2"/>
    <x v="2"/>
    <x v="13"/>
    <x v="1"/>
  </r>
  <r>
    <x v="14"/>
    <x v="5"/>
    <n v="92240.25"/>
    <x v="13"/>
    <n v="0"/>
    <x v="14"/>
    <n v="0.44130000000000003"/>
    <n v="4"/>
    <n v="26413.81"/>
    <n v="23875.919999999998"/>
    <n v="125"/>
    <x v="2"/>
    <x v="0"/>
    <x v="1"/>
    <x v="14"/>
    <x v="1"/>
  </r>
  <r>
    <x v="15"/>
    <x v="1"/>
    <n v="77354"/>
    <x v="2"/>
    <n v="0"/>
    <x v="15"/>
    <n v="0.56240000000000001"/>
    <n v="1"/>
    <n v="48485.57"/>
    <n v="31909.41"/>
    <n v="25"/>
    <x v="1"/>
    <x v="2"/>
    <x v="1"/>
    <x v="15"/>
    <x v="1"/>
  </r>
  <r>
    <x v="16"/>
    <x v="0"/>
    <n v="175571.5"/>
    <x v="14"/>
    <n v="0"/>
    <x v="16"/>
    <n v="0.83479999999999999"/>
    <n v="3"/>
    <n v="155245.54"/>
    <n v="113439.17"/>
    <n v="60"/>
    <x v="2"/>
    <x v="1"/>
    <x v="0"/>
    <x v="16"/>
    <x v="1"/>
  </r>
  <r>
    <x v="17"/>
    <x v="5"/>
    <n v="90606.34"/>
    <x v="15"/>
    <n v="1"/>
    <x v="17"/>
    <n v="0.77669999999999995"/>
    <n v="4"/>
    <n v="44333.78"/>
    <n v="24085.33"/>
    <n v="54"/>
    <x v="0"/>
    <x v="1"/>
    <x v="1"/>
    <x v="17"/>
    <x v="1"/>
  </r>
  <r>
    <x v="18"/>
    <x v="0"/>
    <n v="89803.61"/>
    <x v="16"/>
    <n v="0"/>
    <x v="18"/>
    <n v="0"/>
    <n v="1"/>
    <n v="500"/>
    <n v="0"/>
    <n v="136"/>
    <x v="0"/>
    <x v="0"/>
    <x v="1"/>
    <x v="18"/>
    <x v="1"/>
  </r>
  <r>
    <x v="19"/>
    <x v="5"/>
    <n v="60617.48"/>
    <x v="17"/>
    <n v="0"/>
    <x v="19"/>
    <n v="0.73580000000000001"/>
    <n v="3"/>
    <n v="33943.11"/>
    <n v="14751.16"/>
    <n v="72"/>
    <x v="0"/>
    <x v="2"/>
    <x v="0"/>
    <x v="19"/>
    <x v="1"/>
  </r>
  <r>
    <x v="20"/>
    <x v="2"/>
    <n v="72044.820000000007"/>
    <x v="10"/>
    <n v="0"/>
    <x v="20"/>
    <n v="0.9284"/>
    <n v="3"/>
    <n v="87753.32"/>
    <n v="55098.38"/>
    <n v="150"/>
    <x v="3"/>
    <x v="0"/>
    <x v="0"/>
    <x v="20"/>
    <x v="1"/>
  </r>
  <r>
    <x v="21"/>
    <x v="5"/>
    <n v="194227.71"/>
    <x v="18"/>
    <n v="0"/>
    <x v="21"/>
    <n v="0.5071"/>
    <n v="5"/>
    <n v="78263.08"/>
    <n v="32670.95"/>
    <n v="173"/>
    <x v="1"/>
    <x v="2"/>
    <x v="1"/>
    <x v="21"/>
    <x v="1"/>
  </r>
  <r>
    <x v="22"/>
    <x v="0"/>
    <n v="163452.60999999999"/>
    <x v="19"/>
    <n v="1"/>
    <x v="22"/>
    <n v="0.48899999999999999"/>
    <n v="4"/>
    <n v="68633.02"/>
    <n v="51401.89"/>
    <n v="160"/>
    <x v="0"/>
    <x v="0"/>
    <x v="1"/>
    <x v="22"/>
    <x v="1"/>
  </r>
  <r>
    <x v="23"/>
    <x v="2"/>
    <n v="47382.1"/>
    <x v="12"/>
    <n v="0"/>
    <x v="23"/>
    <n v="0.54379999999999995"/>
    <n v="3"/>
    <n v="27012.77"/>
    <n v="21773.26"/>
    <n v="73"/>
    <x v="0"/>
    <x v="0"/>
    <x v="1"/>
    <x v="23"/>
    <x v="1"/>
  </r>
  <r>
    <x v="24"/>
    <x v="2"/>
    <n v="172703.98"/>
    <x v="20"/>
    <n v="0"/>
    <x v="24"/>
    <n v="0.65849999999999997"/>
    <n v="2"/>
    <n v="123775.66"/>
    <n v="89905.47"/>
    <n v="43"/>
    <x v="1"/>
    <x v="0"/>
    <x v="0"/>
    <x v="24"/>
    <x v="1"/>
  </r>
  <r>
    <x v="25"/>
    <x v="1"/>
    <n v="40836.870000000003"/>
    <x v="21"/>
    <n v="0"/>
    <x v="25"/>
    <n v="0.58350000000000002"/>
    <n v="6"/>
    <n v="39542.07"/>
    <n v="33582.720000000001"/>
    <n v="164"/>
    <x v="1"/>
    <x v="1"/>
    <x v="0"/>
    <x v="25"/>
    <x v="1"/>
  </r>
  <r>
    <x v="26"/>
    <x v="1"/>
    <n v="98662.12"/>
    <x v="13"/>
    <n v="1"/>
    <x v="26"/>
    <n v="0.8034"/>
    <n v="5"/>
    <n v="62147.64"/>
    <n v="55387.03"/>
    <n v="177"/>
    <x v="2"/>
    <x v="2"/>
    <x v="0"/>
    <x v="26"/>
    <x v="1"/>
  </r>
  <r>
    <x v="27"/>
    <x v="0"/>
    <n v="69066.240000000005"/>
    <x v="22"/>
    <n v="1"/>
    <x v="27"/>
    <n v="0.85350000000000004"/>
    <n v="3"/>
    <n v="62111.02"/>
    <n v="45428.66"/>
    <n v="12"/>
    <x v="1"/>
    <x v="0"/>
    <x v="0"/>
    <x v="27"/>
    <x v="0"/>
  </r>
  <r>
    <x v="28"/>
    <x v="3"/>
    <n v="96112.52"/>
    <x v="9"/>
    <n v="0"/>
    <x v="28"/>
    <n v="0"/>
    <n v="4"/>
    <n v="500"/>
    <n v="0"/>
    <n v="35"/>
    <x v="2"/>
    <x v="0"/>
    <x v="1"/>
    <x v="28"/>
    <x v="1"/>
  </r>
  <r>
    <x v="29"/>
    <x v="1"/>
    <n v="88703.23"/>
    <x v="21"/>
    <n v="1"/>
    <x v="29"/>
    <n v="0.18509999999999999"/>
    <n v="0"/>
    <n v="5303.99"/>
    <n v="0"/>
    <n v="71"/>
    <x v="0"/>
    <x v="0"/>
    <x v="1"/>
    <x v="29"/>
    <x v="1"/>
  </r>
  <r>
    <x v="30"/>
    <x v="4"/>
    <n v="48720.57"/>
    <x v="23"/>
    <n v="0"/>
    <x v="30"/>
    <n v="0.28620000000000001"/>
    <n v="0"/>
    <n v="33997.129999999997"/>
    <n v="22193.57"/>
    <n v="90"/>
    <x v="1"/>
    <x v="2"/>
    <x v="0"/>
    <x v="30"/>
    <x v="1"/>
  </r>
  <r>
    <x v="31"/>
    <x v="5"/>
    <n v="58549.19"/>
    <x v="10"/>
    <n v="0"/>
    <x v="31"/>
    <n v="0.52049999999999996"/>
    <n v="5"/>
    <n v="41709.39"/>
    <n v="37275.31"/>
    <n v="50"/>
    <x v="1"/>
    <x v="0"/>
    <x v="1"/>
    <x v="31"/>
    <x v="0"/>
  </r>
  <r>
    <x v="32"/>
    <x v="3"/>
    <n v="79034.39"/>
    <x v="16"/>
    <n v="1"/>
    <x v="32"/>
    <n v="0.22720000000000001"/>
    <n v="1"/>
    <n v="500"/>
    <n v="4674.93"/>
    <n v="136"/>
    <x v="1"/>
    <x v="1"/>
    <x v="1"/>
    <x v="32"/>
    <x v="1"/>
  </r>
  <r>
    <x v="33"/>
    <x v="1"/>
    <n v="106582.71"/>
    <x v="24"/>
    <n v="0"/>
    <x v="33"/>
    <n v="0.3246"/>
    <n v="4"/>
    <n v="31335.89"/>
    <n v="15122"/>
    <n v="43"/>
    <x v="0"/>
    <x v="0"/>
    <x v="1"/>
    <x v="33"/>
    <x v="1"/>
  </r>
  <r>
    <x v="34"/>
    <x v="3"/>
    <n v="131766.74"/>
    <x v="24"/>
    <n v="1"/>
    <x v="34"/>
    <n v="4.6199999999999998E-2"/>
    <n v="0"/>
    <n v="500"/>
    <n v="5741.51"/>
    <n v="43"/>
    <x v="1"/>
    <x v="0"/>
    <x v="1"/>
    <x v="34"/>
    <x v="1"/>
  </r>
  <r>
    <x v="35"/>
    <x v="5"/>
    <n v="68804.28"/>
    <x v="25"/>
    <n v="0"/>
    <x v="35"/>
    <n v="3.6299999999999999E-2"/>
    <n v="0"/>
    <n v="6730.24"/>
    <n v="8388.08"/>
    <n v="40"/>
    <x v="2"/>
    <x v="2"/>
    <x v="3"/>
    <x v="35"/>
    <x v="1"/>
  </r>
  <r>
    <x v="36"/>
    <x v="1"/>
    <n v="180193.86"/>
    <x v="26"/>
    <n v="0"/>
    <x v="36"/>
    <n v="0.60950000000000004"/>
    <n v="0"/>
    <n v="80548.42"/>
    <n v="58322.89"/>
    <n v="120"/>
    <x v="2"/>
    <x v="2"/>
    <x v="1"/>
    <x v="36"/>
    <x v="1"/>
  </r>
  <r>
    <x v="37"/>
    <x v="0"/>
    <n v="123858.56"/>
    <x v="27"/>
    <n v="1"/>
    <x v="37"/>
    <n v="0.11650000000000001"/>
    <n v="1"/>
    <n v="30542.78"/>
    <n v="19927.89"/>
    <n v="91"/>
    <x v="0"/>
    <x v="2"/>
    <x v="0"/>
    <x v="37"/>
    <x v="1"/>
  </r>
  <r>
    <x v="38"/>
    <x v="5"/>
    <n v="65697.86"/>
    <x v="28"/>
    <n v="1"/>
    <x v="38"/>
    <n v="0.2072"/>
    <n v="2"/>
    <n v="8356.48"/>
    <n v="5309.49"/>
    <n v="113"/>
    <x v="1"/>
    <x v="2"/>
    <x v="2"/>
    <x v="38"/>
    <x v="1"/>
  </r>
  <r>
    <x v="39"/>
    <x v="1"/>
    <n v="101358.44"/>
    <x v="22"/>
    <n v="1"/>
    <x v="39"/>
    <n v="0.40860000000000002"/>
    <n v="3"/>
    <n v="12027.51"/>
    <n v="17056.87"/>
    <n v="145"/>
    <x v="2"/>
    <x v="2"/>
    <x v="1"/>
    <x v="39"/>
    <x v="1"/>
  </r>
  <r>
    <x v="40"/>
    <x v="2"/>
    <n v="45523.79"/>
    <x v="4"/>
    <n v="0"/>
    <x v="9"/>
    <n v="0.29039999999999999"/>
    <n v="0"/>
    <n v="21787.29"/>
    <n v="22701.71"/>
    <n v="38"/>
    <x v="3"/>
    <x v="2"/>
    <x v="2"/>
    <x v="40"/>
    <x v="1"/>
  </r>
  <r>
    <x v="41"/>
    <x v="5"/>
    <n v="53772.88"/>
    <x v="29"/>
    <n v="0"/>
    <x v="40"/>
    <n v="0.60950000000000004"/>
    <n v="5"/>
    <n v="37325.839999999997"/>
    <n v="29266.43"/>
    <n v="103"/>
    <x v="0"/>
    <x v="1"/>
    <x v="0"/>
    <x v="41"/>
    <x v="1"/>
  </r>
  <r>
    <x v="42"/>
    <x v="4"/>
    <n v="16473.89"/>
    <x v="12"/>
    <n v="1"/>
    <x v="41"/>
    <n v="0.63200000000000001"/>
    <n v="4"/>
    <n v="500"/>
    <n v="0"/>
    <n v="172"/>
    <x v="0"/>
    <x v="0"/>
    <x v="0"/>
    <x v="42"/>
    <x v="1"/>
  </r>
  <r>
    <x v="43"/>
    <x v="1"/>
    <n v="36887.089999999997"/>
    <x v="22"/>
    <n v="1"/>
    <x v="42"/>
    <n v="0.1183"/>
    <n v="2"/>
    <n v="27151.83"/>
    <n v="17620.47"/>
    <n v="161"/>
    <x v="3"/>
    <x v="2"/>
    <x v="1"/>
    <x v="43"/>
    <x v="1"/>
  </r>
  <r>
    <x v="44"/>
    <x v="1"/>
    <n v="67860.600000000006"/>
    <x v="30"/>
    <n v="1"/>
    <x v="43"/>
    <n v="0"/>
    <n v="0"/>
    <n v="500"/>
    <n v="13840.38"/>
    <n v="56"/>
    <x v="0"/>
    <x v="2"/>
    <x v="1"/>
    <x v="44"/>
    <x v="1"/>
  </r>
  <r>
    <x v="45"/>
    <x v="3"/>
    <n v="136260.01"/>
    <x v="31"/>
    <n v="1"/>
    <x v="44"/>
    <n v="0"/>
    <n v="0"/>
    <n v="500"/>
    <n v="0"/>
    <n v="23"/>
    <x v="1"/>
    <x v="0"/>
    <x v="2"/>
    <x v="45"/>
    <x v="1"/>
  </r>
  <r>
    <x v="46"/>
    <x v="4"/>
    <n v="180257.79"/>
    <x v="24"/>
    <n v="1"/>
    <x v="24"/>
    <n v="0.61550000000000005"/>
    <n v="2"/>
    <n v="116293.57"/>
    <n v="97118.04"/>
    <n v="139"/>
    <x v="3"/>
    <x v="0"/>
    <x v="2"/>
    <x v="46"/>
    <x v="1"/>
  </r>
  <r>
    <x v="47"/>
    <x v="0"/>
    <n v="77711.899999999994"/>
    <x v="32"/>
    <n v="0"/>
    <x v="45"/>
    <n v="0.27900000000000003"/>
    <n v="2"/>
    <n v="56698.44"/>
    <n v="33627.22"/>
    <n v="124"/>
    <x v="1"/>
    <x v="2"/>
    <x v="0"/>
    <x v="47"/>
    <x v="1"/>
  </r>
  <r>
    <x v="48"/>
    <x v="5"/>
    <n v="66372.5"/>
    <x v="21"/>
    <n v="1"/>
    <x v="46"/>
    <n v="0.46750000000000003"/>
    <n v="1"/>
    <n v="48057.34"/>
    <n v="28146.19"/>
    <n v="76"/>
    <x v="1"/>
    <x v="2"/>
    <x v="0"/>
    <x v="48"/>
    <x v="1"/>
  </r>
  <r>
    <x v="49"/>
    <x v="0"/>
    <n v="135893.82"/>
    <x v="18"/>
    <n v="1"/>
    <x v="47"/>
    <n v="6.4600000000000005E-2"/>
    <n v="0"/>
    <n v="10306.549999999999"/>
    <n v="11297.34"/>
    <n v="68"/>
    <x v="0"/>
    <x v="2"/>
    <x v="1"/>
    <x v="49"/>
    <x v="1"/>
  </r>
  <r>
    <x v="50"/>
    <x v="0"/>
    <n v="23519.72"/>
    <x v="33"/>
    <n v="0"/>
    <x v="48"/>
    <n v="0.2359"/>
    <n v="3"/>
    <n v="1765.39"/>
    <n v="6734.98"/>
    <n v="55"/>
    <x v="0"/>
    <x v="2"/>
    <x v="3"/>
    <x v="50"/>
    <x v="1"/>
  </r>
  <r>
    <x v="51"/>
    <x v="2"/>
    <n v="62704.57"/>
    <x v="0"/>
    <n v="0"/>
    <x v="49"/>
    <n v="0"/>
    <n v="0"/>
    <n v="500"/>
    <n v="4564.46"/>
    <n v="64"/>
    <x v="1"/>
    <x v="0"/>
    <x v="1"/>
    <x v="51"/>
    <x v="1"/>
  </r>
  <r>
    <x v="52"/>
    <x v="4"/>
    <n v="104457.11"/>
    <x v="34"/>
    <n v="1"/>
    <x v="50"/>
    <n v="0.3579"/>
    <n v="1"/>
    <n v="49188.7"/>
    <n v="26982.62"/>
    <n v="9"/>
    <x v="1"/>
    <x v="0"/>
    <x v="0"/>
    <x v="52"/>
    <x v="1"/>
  </r>
  <r>
    <x v="53"/>
    <x v="1"/>
    <n v="103390.08"/>
    <x v="22"/>
    <n v="1"/>
    <x v="51"/>
    <n v="0.46039999999999998"/>
    <n v="0"/>
    <n v="48619.02"/>
    <n v="32354.73"/>
    <n v="150"/>
    <x v="2"/>
    <x v="0"/>
    <x v="0"/>
    <x v="53"/>
    <x v="1"/>
  </r>
  <r>
    <x v="54"/>
    <x v="2"/>
    <n v="37615.82"/>
    <x v="26"/>
    <n v="0"/>
    <x v="52"/>
    <n v="0.44629999999999997"/>
    <n v="5"/>
    <n v="1343.53"/>
    <n v="3633.06"/>
    <n v="156"/>
    <x v="3"/>
    <x v="0"/>
    <x v="1"/>
    <x v="54"/>
    <x v="1"/>
  </r>
  <r>
    <x v="55"/>
    <x v="0"/>
    <n v="43044.480000000003"/>
    <x v="35"/>
    <n v="0"/>
    <x v="53"/>
    <n v="0.26090000000000002"/>
    <n v="3"/>
    <n v="16656.560000000001"/>
    <n v="6168.95"/>
    <n v="110"/>
    <x v="1"/>
    <x v="2"/>
    <x v="0"/>
    <x v="55"/>
    <x v="1"/>
  </r>
  <r>
    <x v="56"/>
    <x v="2"/>
    <n v="71266.44"/>
    <x v="15"/>
    <n v="0"/>
    <x v="54"/>
    <n v="0.56440000000000001"/>
    <n v="4"/>
    <n v="37794.93"/>
    <n v="35262.01"/>
    <n v="156"/>
    <x v="1"/>
    <x v="1"/>
    <x v="0"/>
    <x v="56"/>
    <x v="1"/>
  </r>
  <r>
    <x v="57"/>
    <x v="5"/>
    <n v="72038.34"/>
    <x v="36"/>
    <n v="1"/>
    <x v="55"/>
    <n v="0.46529999999999999"/>
    <n v="2"/>
    <n v="56844.160000000003"/>
    <n v="35134.480000000003"/>
    <n v="37"/>
    <x v="1"/>
    <x v="0"/>
    <x v="0"/>
    <x v="57"/>
    <x v="1"/>
  </r>
  <r>
    <x v="58"/>
    <x v="4"/>
    <n v="43224.07"/>
    <x v="31"/>
    <n v="1"/>
    <x v="56"/>
    <n v="0.65759999999999996"/>
    <n v="4"/>
    <n v="23426.54"/>
    <n v="20887.169999999998"/>
    <n v="29"/>
    <x v="0"/>
    <x v="2"/>
    <x v="2"/>
    <x v="58"/>
    <x v="1"/>
  </r>
  <r>
    <x v="59"/>
    <x v="5"/>
    <n v="85204.18"/>
    <x v="0"/>
    <n v="0"/>
    <x v="57"/>
    <n v="0.2044"/>
    <n v="3"/>
    <n v="33596.6"/>
    <n v="12759.41"/>
    <n v="155"/>
    <x v="1"/>
    <x v="2"/>
    <x v="3"/>
    <x v="59"/>
    <x v="1"/>
  </r>
  <r>
    <x v="60"/>
    <x v="2"/>
    <n v="56785.79"/>
    <x v="2"/>
    <n v="1"/>
    <x v="58"/>
    <n v="0.54010000000000002"/>
    <n v="2"/>
    <n v="26383.1"/>
    <n v="12764.02"/>
    <n v="108"/>
    <x v="2"/>
    <x v="2"/>
    <x v="1"/>
    <x v="60"/>
    <x v="1"/>
  </r>
  <r>
    <x v="61"/>
    <x v="4"/>
    <n v="126544.83"/>
    <x v="37"/>
    <n v="0"/>
    <x v="59"/>
    <n v="4.9700000000000001E-2"/>
    <n v="5"/>
    <n v="6513.42"/>
    <n v="2477.06"/>
    <n v="138"/>
    <x v="1"/>
    <x v="2"/>
    <x v="1"/>
    <x v="61"/>
    <x v="1"/>
  </r>
  <r>
    <x v="62"/>
    <x v="0"/>
    <n v="106341.92"/>
    <x v="34"/>
    <n v="1"/>
    <x v="60"/>
    <n v="4.19E-2"/>
    <n v="2"/>
    <n v="33616.85"/>
    <n v="40980.9"/>
    <n v="161"/>
    <x v="2"/>
    <x v="2"/>
    <x v="0"/>
    <x v="62"/>
    <x v="1"/>
  </r>
  <r>
    <x v="63"/>
    <x v="4"/>
    <n v="93954.08"/>
    <x v="38"/>
    <n v="1"/>
    <x v="61"/>
    <n v="0.43"/>
    <n v="4"/>
    <n v="25073.61"/>
    <n v="14089.33"/>
    <n v="75"/>
    <x v="1"/>
    <x v="0"/>
    <x v="1"/>
    <x v="63"/>
    <x v="1"/>
  </r>
  <r>
    <x v="64"/>
    <x v="2"/>
    <n v="107989.04"/>
    <x v="31"/>
    <n v="1"/>
    <x v="62"/>
    <n v="0"/>
    <n v="0"/>
    <n v="7921.16"/>
    <n v="860.1"/>
    <n v="112"/>
    <x v="0"/>
    <x v="2"/>
    <x v="0"/>
    <x v="64"/>
    <x v="1"/>
  </r>
  <r>
    <x v="65"/>
    <x v="0"/>
    <n v="91167.14"/>
    <x v="16"/>
    <n v="1"/>
    <x v="63"/>
    <n v="0.39800000000000002"/>
    <n v="4"/>
    <n v="51280.31"/>
    <n v="33924.47"/>
    <n v="145"/>
    <x v="1"/>
    <x v="1"/>
    <x v="2"/>
    <x v="65"/>
    <x v="1"/>
  </r>
  <r>
    <x v="66"/>
    <x v="0"/>
    <n v="93107.8"/>
    <x v="27"/>
    <n v="1"/>
    <x v="64"/>
    <n v="0.2147"/>
    <n v="3"/>
    <n v="500"/>
    <n v="3369.69"/>
    <n v="103"/>
    <x v="1"/>
    <x v="2"/>
    <x v="2"/>
    <x v="66"/>
    <x v="1"/>
  </r>
  <r>
    <x v="67"/>
    <x v="1"/>
    <n v="83672.59"/>
    <x v="9"/>
    <n v="0"/>
    <x v="65"/>
    <n v="0.35149999999999998"/>
    <n v="5"/>
    <n v="46490.54"/>
    <n v="49112.05"/>
    <n v="9"/>
    <x v="1"/>
    <x v="0"/>
    <x v="1"/>
    <x v="67"/>
    <x v="1"/>
  </r>
  <r>
    <x v="68"/>
    <x v="4"/>
    <n v="2000"/>
    <x v="33"/>
    <n v="0"/>
    <x v="66"/>
    <n v="0.22009999999999999"/>
    <n v="0"/>
    <n v="12159.89"/>
    <n v="12210.08"/>
    <n v="178"/>
    <x v="2"/>
    <x v="0"/>
    <x v="0"/>
    <x v="68"/>
    <x v="1"/>
  </r>
  <r>
    <x v="69"/>
    <x v="0"/>
    <n v="15503.76"/>
    <x v="39"/>
    <n v="0"/>
    <x v="67"/>
    <n v="0.27689999999999998"/>
    <n v="1"/>
    <n v="500"/>
    <n v="809.28"/>
    <n v="31"/>
    <x v="2"/>
    <x v="2"/>
    <x v="0"/>
    <x v="69"/>
    <x v="1"/>
  </r>
  <r>
    <x v="70"/>
    <x v="4"/>
    <n v="86664.31"/>
    <x v="10"/>
    <n v="0"/>
    <x v="68"/>
    <n v="0.45960000000000001"/>
    <n v="1"/>
    <n v="33883.93"/>
    <n v="26842.880000000001"/>
    <n v="141"/>
    <x v="1"/>
    <x v="2"/>
    <x v="0"/>
    <x v="70"/>
    <x v="1"/>
  </r>
  <r>
    <x v="71"/>
    <x v="1"/>
    <n v="144997.06"/>
    <x v="8"/>
    <n v="1"/>
    <x v="69"/>
    <n v="0.95130000000000003"/>
    <n v="7"/>
    <n v="150999.72"/>
    <n v="104062.99"/>
    <n v="8"/>
    <x v="2"/>
    <x v="0"/>
    <x v="0"/>
    <x v="71"/>
    <x v="1"/>
  </r>
  <r>
    <x v="72"/>
    <x v="4"/>
    <n v="186990.37"/>
    <x v="16"/>
    <n v="0"/>
    <x v="70"/>
    <n v="0.2056"/>
    <n v="6"/>
    <n v="32382.36"/>
    <n v="16590.400000000001"/>
    <n v="83"/>
    <x v="0"/>
    <x v="0"/>
    <x v="1"/>
    <x v="72"/>
    <x v="1"/>
  </r>
  <r>
    <x v="73"/>
    <x v="4"/>
    <n v="148430.04"/>
    <x v="20"/>
    <n v="0"/>
    <x v="71"/>
    <n v="1"/>
    <n v="5"/>
    <n v="138356.63"/>
    <n v="74367.31"/>
    <n v="18"/>
    <x v="2"/>
    <x v="2"/>
    <x v="2"/>
    <x v="73"/>
    <x v="1"/>
  </r>
  <r>
    <x v="74"/>
    <x v="5"/>
    <n v="95240.69"/>
    <x v="21"/>
    <n v="1"/>
    <x v="72"/>
    <n v="0.43140000000000001"/>
    <n v="4"/>
    <n v="40989.58"/>
    <n v="38961.06"/>
    <n v="174"/>
    <x v="1"/>
    <x v="0"/>
    <x v="0"/>
    <x v="74"/>
    <x v="1"/>
  </r>
  <r>
    <x v="75"/>
    <x v="0"/>
    <n v="80836.899999999994"/>
    <x v="39"/>
    <n v="1"/>
    <x v="73"/>
    <n v="0.2054"/>
    <n v="3"/>
    <n v="23334.92"/>
    <n v="13129.05"/>
    <n v="39"/>
    <x v="2"/>
    <x v="2"/>
    <x v="0"/>
    <x v="75"/>
    <x v="1"/>
  </r>
  <r>
    <x v="76"/>
    <x v="3"/>
    <n v="86193.42"/>
    <x v="22"/>
    <n v="0"/>
    <x v="74"/>
    <n v="0.60470000000000002"/>
    <n v="3"/>
    <n v="70716.3"/>
    <n v="40937.980000000003"/>
    <n v="125"/>
    <x v="3"/>
    <x v="0"/>
    <x v="3"/>
    <x v="76"/>
    <x v="1"/>
  </r>
  <r>
    <x v="77"/>
    <x v="4"/>
    <n v="34387.620000000003"/>
    <x v="40"/>
    <n v="0"/>
    <x v="75"/>
    <n v="0.73019999999999996"/>
    <n v="7"/>
    <n v="26735.62"/>
    <n v="4185.53"/>
    <n v="178"/>
    <x v="0"/>
    <x v="0"/>
    <x v="1"/>
    <x v="77"/>
    <x v="1"/>
  </r>
  <r>
    <x v="78"/>
    <x v="5"/>
    <n v="66882.22"/>
    <x v="26"/>
    <n v="1"/>
    <x v="76"/>
    <n v="0.63970000000000005"/>
    <n v="2"/>
    <n v="51929.49"/>
    <n v="28261.06"/>
    <n v="22"/>
    <x v="1"/>
    <x v="0"/>
    <x v="1"/>
    <x v="78"/>
    <x v="0"/>
  </r>
  <r>
    <x v="79"/>
    <x v="2"/>
    <n v="71928.63"/>
    <x v="39"/>
    <n v="0"/>
    <x v="77"/>
    <n v="0.6744"/>
    <n v="7"/>
    <n v="66479.8"/>
    <n v="48920.41"/>
    <n v="177"/>
    <x v="2"/>
    <x v="2"/>
    <x v="1"/>
    <x v="79"/>
    <x v="1"/>
  </r>
  <r>
    <x v="80"/>
    <x v="4"/>
    <n v="76277.119999999995"/>
    <x v="6"/>
    <n v="1"/>
    <x v="78"/>
    <n v="0.63549999999999995"/>
    <n v="5"/>
    <n v="17552.64"/>
    <n v="19786.919999999998"/>
    <n v="14"/>
    <x v="1"/>
    <x v="0"/>
    <x v="0"/>
    <x v="80"/>
    <x v="1"/>
  </r>
  <r>
    <x v="81"/>
    <x v="2"/>
    <n v="132551.62"/>
    <x v="3"/>
    <n v="0"/>
    <x v="79"/>
    <n v="0.2097"/>
    <n v="0"/>
    <n v="39522.839999999997"/>
    <n v="19994.310000000001"/>
    <n v="122"/>
    <x v="0"/>
    <x v="0"/>
    <x v="1"/>
    <x v="81"/>
    <x v="1"/>
  </r>
  <r>
    <x v="82"/>
    <x v="5"/>
    <n v="128506.65"/>
    <x v="41"/>
    <n v="1"/>
    <x v="80"/>
    <n v="0.439"/>
    <n v="1"/>
    <n v="65582.740000000005"/>
    <n v="37156.18"/>
    <n v="156"/>
    <x v="0"/>
    <x v="2"/>
    <x v="0"/>
    <x v="82"/>
    <x v="0"/>
  </r>
  <r>
    <x v="83"/>
    <x v="0"/>
    <n v="167333.32"/>
    <x v="36"/>
    <n v="0"/>
    <x v="22"/>
    <n v="0.37559999999999999"/>
    <n v="3"/>
    <n v="55945.39"/>
    <n v="46446.75"/>
    <n v="97"/>
    <x v="2"/>
    <x v="0"/>
    <x v="0"/>
    <x v="83"/>
    <x v="1"/>
  </r>
  <r>
    <x v="84"/>
    <x v="0"/>
    <n v="160067.04999999999"/>
    <x v="42"/>
    <n v="0"/>
    <x v="81"/>
    <n v="0.46850000000000003"/>
    <n v="3"/>
    <n v="61508.56"/>
    <n v="46865.54"/>
    <n v="157"/>
    <x v="0"/>
    <x v="2"/>
    <x v="2"/>
    <x v="84"/>
    <x v="1"/>
  </r>
  <r>
    <x v="85"/>
    <x v="4"/>
    <n v="111176.31"/>
    <x v="42"/>
    <n v="1"/>
    <x v="82"/>
    <n v="0.74029999999999996"/>
    <n v="11"/>
    <n v="92867.63"/>
    <n v="64589.9"/>
    <n v="33"/>
    <x v="1"/>
    <x v="1"/>
    <x v="0"/>
    <x v="85"/>
    <x v="0"/>
  </r>
  <r>
    <x v="86"/>
    <x v="3"/>
    <n v="77106.58"/>
    <x v="0"/>
    <n v="0"/>
    <x v="83"/>
    <n v="0.16439999999999999"/>
    <n v="0"/>
    <n v="9218.2000000000007"/>
    <n v="0"/>
    <n v="158"/>
    <x v="1"/>
    <x v="0"/>
    <x v="1"/>
    <x v="86"/>
    <x v="1"/>
  </r>
  <r>
    <x v="87"/>
    <x v="0"/>
    <n v="130852.86"/>
    <x v="6"/>
    <n v="1"/>
    <x v="84"/>
    <n v="0.18"/>
    <n v="3"/>
    <n v="11657.85"/>
    <n v="15083.62"/>
    <n v="122"/>
    <x v="1"/>
    <x v="2"/>
    <x v="0"/>
    <x v="87"/>
    <x v="1"/>
  </r>
  <r>
    <x v="88"/>
    <x v="1"/>
    <n v="86574.53"/>
    <x v="8"/>
    <n v="1"/>
    <x v="24"/>
    <n v="0.48249999999999998"/>
    <n v="3"/>
    <n v="45033.91"/>
    <n v="32944.76"/>
    <n v="30"/>
    <x v="1"/>
    <x v="0"/>
    <x v="0"/>
    <x v="24"/>
    <x v="1"/>
  </r>
  <r>
    <x v="89"/>
    <x v="2"/>
    <n v="131486.63"/>
    <x v="4"/>
    <n v="1"/>
    <x v="85"/>
    <n v="0.56220000000000003"/>
    <n v="2"/>
    <n v="52392.78"/>
    <n v="47082.28"/>
    <n v="79"/>
    <x v="1"/>
    <x v="0"/>
    <x v="1"/>
    <x v="88"/>
    <x v="1"/>
  </r>
  <r>
    <x v="90"/>
    <x v="3"/>
    <n v="72265.42"/>
    <x v="2"/>
    <n v="1"/>
    <x v="86"/>
    <n v="0.21249999999999999"/>
    <n v="4"/>
    <n v="24454.1"/>
    <n v="19739.03"/>
    <n v="63"/>
    <x v="2"/>
    <x v="2"/>
    <x v="3"/>
    <x v="89"/>
    <x v="1"/>
  </r>
  <r>
    <x v="91"/>
    <x v="5"/>
    <n v="33592.76"/>
    <x v="43"/>
    <n v="0"/>
    <x v="87"/>
    <n v="0.16839999999999999"/>
    <n v="1"/>
    <n v="2247.92"/>
    <n v="0"/>
    <n v="92"/>
    <x v="1"/>
    <x v="0"/>
    <x v="0"/>
    <x v="90"/>
    <x v="1"/>
  </r>
  <r>
    <x v="92"/>
    <x v="4"/>
    <n v="157007.04000000001"/>
    <x v="43"/>
    <n v="0"/>
    <x v="88"/>
    <n v="0.65769999999999995"/>
    <n v="5"/>
    <n v="91518.29"/>
    <n v="73500.929999999993"/>
    <n v="46"/>
    <x v="1"/>
    <x v="2"/>
    <x v="1"/>
    <x v="91"/>
    <x v="0"/>
  </r>
  <r>
    <x v="93"/>
    <x v="0"/>
    <n v="82186.5"/>
    <x v="44"/>
    <n v="0"/>
    <x v="89"/>
    <n v="0.32019999999999998"/>
    <n v="4"/>
    <n v="34272.31"/>
    <n v="13617.53"/>
    <n v="112"/>
    <x v="0"/>
    <x v="2"/>
    <x v="0"/>
    <x v="92"/>
    <x v="1"/>
  </r>
  <r>
    <x v="94"/>
    <x v="0"/>
    <n v="75941.69"/>
    <x v="7"/>
    <n v="0"/>
    <x v="90"/>
    <n v="0.18840000000000001"/>
    <n v="1"/>
    <n v="22276.91"/>
    <n v="40464.75"/>
    <n v="20"/>
    <x v="0"/>
    <x v="0"/>
    <x v="0"/>
    <x v="93"/>
    <x v="1"/>
  </r>
  <r>
    <x v="95"/>
    <x v="2"/>
    <n v="116249.16"/>
    <x v="45"/>
    <n v="0"/>
    <x v="91"/>
    <n v="0.40439999999999998"/>
    <n v="4"/>
    <n v="60427.14"/>
    <n v="37235.71"/>
    <n v="177"/>
    <x v="2"/>
    <x v="0"/>
    <x v="2"/>
    <x v="94"/>
    <x v="0"/>
  </r>
  <r>
    <x v="96"/>
    <x v="0"/>
    <n v="190729.7"/>
    <x v="10"/>
    <n v="1"/>
    <x v="92"/>
    <n v="0.11"/>
    <n v="0"/>
    <n v="17044.080000000002"/>
    <n v="3899.3"/>
    <n v="35"/>
    <x v="1"/>
    <x v="1"/>
    <x v="0"/>
    <x v="95"/>
    <x v="1"/>
  </r>
  <r>
    <x v="97"/>
    <x v="0"/>
    <n v="73850.14"/>
    <x v="3"/>
    <n v="1"/>
    <x v="24"/>
    <n v="0.65359999999999996"/>
    <n v="4"/>
    <n v="68252.850000000006"/>
    <n v="46662.82"/>
    <n v="85"/>
    <x v="1"/>
    <x v="0"/>
    <x v="1"/>
    <x v="68"/>
    <x v="1"/>
  </r>
  <r>
    <x v="98"/>
    <x v="2"/>
    <n v="52938.97"/>
    <x v="1"/>
    <n v="0"/>
    <x v="93"/>
    <n v="0.59250000000000003"/>
    <n v="2"/>
    <n v="27436.13"/>
    <n v="2010.69"/>
    <n v="43"/>
    <x v="0"/>
    <x v="0"/>
    <x v="0"/>
    <x v="96"/>
    <x v="1"/>
  </r>
  <r>
    <x v="99"/>
    <x v="1"/>
    <n v="44377.23"/>
    <x v="25"/>
    <n v="1"/>
    <x v="94"/>
    <n v="0.29409999999999997"/>
    <n v="0"/>
    <n v="17389.09"/>
    <n v="3071.1"/>
    <n v="150"/>
    <x v="1"/>
    <x v="1"/>
    <x v="0"/>
    <x v="97"/>
    <x v="1"/>
  </r>
  <r>
    <x v="100"/>
    <x v="5"/>
    <n v="70444.039999999994"/>
    <x v="22"/>
    <n v="0"/>
    <x v="95"/>
    <n v="0.20150000000000001"/>
    <n v="2"/>
    <n v="13407.2"/>
    <n v="12860.87"/>
    <n v="135"/>
    <x v="0"/>
    <x v="0"/>
    <x v="0"/>
    <x v="98"/>
    <x v="1"/>
  </r>
  <r>
    <x v="101"/>
    <x v="2"/>
    <n v="117186.24000000001"/>
    <x v="14"/>
    <n v="1"/>
    <x v="96"/>
    <n v="0.20330000000000001"/>
    <n v="0"/>
    <n v="28255.86"/>
    <n v="21617.040000000001"/>
    <n v="121"/>
    <x v="2"/>
    <x v="2"/>
    <x v="0"/>
    <x v="99"/>
    <x v="1"/>
  </r>
  <r>
    <x v="102"/>
    <x v="3"/>
    <n v="2000"/>
    <x v="46"/>
    <n v="1"/>
    <x v="97"/>
    <n v="0.82620000000000005"/>
    <n v="7"/>
    <n v="500"/>
    <n v="10882.32"/>
    <n v="135"/>
    <x v="1"/>
    <x v="0"/>
    <x v="1"/>
    <x v="100"/>
    <x v="1"/>
  </r>
  <r>
    <x v="103"/>
    <x v="0"/>
    <n v="86895.91"/>
    <x v="3"/>
    <n v="1"/>
    <x v="98"/>
    <n v="0.54610000000000003"/>
    <n v="2"/>
    <n v="54847.47"/>
    <n v="23270.22"/>
    <n v="171"/>
    <x v="0"/>
    <x v="0"/>
    <x v="1"/>
    <x v="101"/>
    <x v="1"/>
  </r>
  <r>
    <x v="104"/>
    <x v="4"/>
    <n v="88897.81"/>
    <x v="31"/>
    <n v="1"/>
    <x v="24"/>
    <n v="0.5575"/>
    <n v="2"/>
    <n v="42368.52"/>
    <n v="31700.14"/>
    <n v="95"/>
    <x v="0"/>
    <x v="2"/>
    <x v="1"/>
    <x v="102"/>
    <x v="1"/>
  </r>
  <r>
    <x v="105"/>
    <x v="4"/>
    <n v="141211.26"/>
    <x v="40"/>
    <n v="1"/>
    <x v="99"/>
    <n v="0.70979999999999999"/>
    <n v="5"/>
    <n v="79627.899999999994"/>
    <n v="52324.56"/>
    <n v="140"/>
    <x v="0"/>
    <x v="2"/>
    <x v="1"/>
    <x v="103"/>
    <x v="0"/>
  </r>
  <r>
    <x v="106"/>
    <x v="0"/>
    <n v="50025.33"/>
    <x v="33"/>
    <n v="0"/>
    <x v="24"/>
    <n v="0.67310000000000003"/>
    <n v="3"/>
    <n v="34869.74"/>
    <n v="32201.02"/>
    <n v="25"/>
    <x v="0"/>
    <x v="2"/>
    <x v="1"/>
    <x v="104"/>
    <x v="1"/>
  </r>
  <r>
    <x v="107"/>
    <x v="5"/>
    <n v="71769.539999999994"/>
    <x v="4"/>
    <n v="1"/>
    <x v="100"/>
    <n v="0.76449999999999996"/>
    <n v="6"/>
    <n v="65565.399999999994"/>
    <n v="47853.62"/>
    <n v="165"/>
    <x v="2"/>
    <x v="0"/>
    <x v="0"/>
    <x v="105"/>
    <x v="1"/>
  </r>
  <r>
    <x v="108"/>
    <x v="2"/>
    <n v="75207.7"/>
    <x v="46"/>
    <n v="1"/>
    <x v="101"/>
    <n v="7.9100000000000004E-2"/>
    <n v="0"/>
    <n v="8260.64"/>
    <n v="0"/>
    <n v="67"/>
    <x v="0"/>
    <x v="2"/>
    <x v="1"/>
    <x v="106"/>
    <x v="1"/>
  </r>
  <r>
    <x v="109"/>
    <x v="1"/>
    <n v="52919.88"/>
    <x v="46"/>
    <n v="1"/>
    <x v="102"/>
    <n v="0.44850000000000001"/>
    <n v="1"/>
    <n v="36149.08"/>
    <n v="36707.72"/>
    <n v="160"/>
    <x v="0"/>
    <x v="0"/>
    <x v="1"/>
    <x v="107"/>
    <x v="1"/>
  </r>
  <r>
    <x v="110"/>
    <x v="4"/>
    <n v="70279.89"/>
    <x v="42"/>
    <n v="1"/>
    <x v="103"/>
    <n v="0.52159999999999995"/>
    <n v="2"/>
    <n v="37643.040000000001"/>
    <n v="18762.72"/>
    <n v="137"/>
    <x v="0"/>
    <x v="0"/>
    <x v="2"/>
    <x v="108"/>
    <x v="1"/>
  </r>
  <r>
    <x v="111"/>
    <x v="0"/>
    <n v="138531.74"/>
    <x v="43"/>
    <n v="1"/>
    <x v="104"/>
    <n v="0.52800000000000002"/>
    <n v="2"/>
    <n v="83695.48"/>
    <n v="56095.15"/>
    <n v="87"/>
    <x v="2"/>
    <x v="2"/>
    <x v="1"/>
    <x v="109"/>
    <x v="1"/>
  </r>
  <r>
    <x v="112"/>
    <x v="1"/>
    <n v="114014.81"/>
    <x v="22"/>
    <n v="1"/>
    <x v="105"/>
    <n v="0.35460000000000003"/>
    <n v="1"/>
    <n v="35913.29"/>
    <n v="17827.810000000001"/>
    <n v="7"/>
    <x v="2"/>
    <x v="0"/>
    <x v="0"/>
    <x v="110"/>
    <x v="1"/>
  </r>
  <r>
    <x v="113"/>
    <x v="5"/>
    <n v="176225.82"/>
    <x v="29"/>
    <n v="1"/>
    <x v="106"/>
    <n v="0.53259999999999996"/>
    <n v="3"/>
    <n v="98301.77"/>
    <n v="59357.53"/>
    <n v="123"/>
    <x v="0"/>
    <x v="2"/>
    <x v="1"/>
    <x v="111"/>
    <x v="1"/>
  </r>
  <r>
    <x v="114"/>
    <x v="0"/>
    <n v="50229.59"/>
    <x v="47"/>
    <n v="1"/>
    <x v="107"/>
    <n v="0.56410000000000005"/>
    <n v="5"/>
    <n v="19980.419999999998"/>
    <n v="8125.33"/>
    <n v="112"/>
    <x v="0"/>
    <x v="2"/>
    <x v="1"/>
    <x v="112"/>
    <x v="1"/>
  </r>
  <r>
    <x v="115"/>
    <x v="4"/>
    <n v="175593.75"/>
    <x v="9"/>
    <n v="1"/>
    <x v="108"/>
    <n v="0.317"/>
    <n v="0"/>
    <n v="59636.98"/>
    <n v="42154.14"/>
    <n v="10"/>
    <x v="1"/>
    <x v="0"/>
    <x v="0"/>
    <x v="113"/>
    <x v="1"/>
  </r>
  <r>
    <x v="116"/>
    <x v="2"/>
    <n v="137262.03"/>
    <x v="11"/>
    <n v="1"/>
    <x v="109"/>
    <n v="0.36270000000000002"/>
    <n v="3"/>
    <n v="23434.09"/>
    <n v="13256.14"/>
    <n v="50"/>
    <x v="2"/>
    <x v="2"/>
    <x v="3"/>
    <x v="114"/>
    <x v="1"/>
  </r>
  <r>
    <x v="117"/>
    <x v="4"/>
    <n v="93839.26"/>
    <x v="47"/>
    <n v="0"/>
    <x v="110"/>
    <n v="0.12720000000000001"/>
    <n v="1"/>
    <n v="16257.31"/>
    <n v="12021.44"/>
    <n v="85"/>
    <x v="1"/>
    <x v="1"/>
    <x v="1"/>
    <x v="34"/>
    <x v="1"/>
  </r>
  <r>
    <x v="118"/>
    <x v="5"/>
    <n v="90605.97"/>
    <x v="21"/>
    <n v="1"/>
    <x v="111"/>
    <n v="0.45069999999999999"/>
    <n v="2"/>
    <n v="34144.480000000003"/>
    <n v="16137.07"/>
    <n v="100"/>
    <x v="1"/>
    <x v="0"/>
    <x v="0"/>
    <x v="115"/>
    <x v="1"/>
  </r>
  <r>
    <x v="119"/>
    <x v="0"/>
    <n v="78941.070000000007"/>
    <x v="20"/>
    <n v="0"/>
    <x v="112"/>
    <n v="0.4088"/>
    <n v="0"/>
    <n v="29016.91"/>
    <n v="13992.36"/>
    <n v="160"/>
    <x v="3"/>
    <x v="0"/>
    <x v="0"/>
    <x v="116"/>
    <x v="1"/>
  </r>
  <r>
    <x v="120"/>
    <x v="1"/>
    <n v="72283.08"/>
    <x v="46"/>
    <n v="1"/>
    <x v="113"/>
    <n v="0.18940000000000001"/>
    <n v="0"/>
    <n v="8533.73"/>
    <n v="0"/>
    <n v="16"/>
    <x v="1"/>
    <x v="1"/>
    <x v="1"/>
    <x v="117"/>
    <x v="1"/>
  </r>
  <r>
    <x v="121"/>
    <x v="1"/>
    <n v="115550.11"/>
    <x v="12"/>
    <n v="1"/>
    <x v="114"/>
    <n v="0.56179999999999997"/>
    <n v="1"/>
    <n v="85322.22"/>
    <n v="58198.93"/>
    <n v="42"/>
    <x v="2"/>
    <x v="2"/>
    <x v="0"/>
    <x v="118"/>
    <x v="1"/>
  </r>
  <r>
    <x v="122"/>
    <x v="3"/>
    <n v="95692.7"/>
    <x v="3"/>
    <n v="1"/>
    <x v="115"/>
    <n v="0.16020000000000001"/>
    <n v="3"/>
    <n v="500"/>
    <n v="0"/>
    <n v="100"/>
    <x v="1"/>
    <x v="2"/>
    <x v="1"/>
    <x v="119"/>
    <x v="1"/>
  </r>
  <r>
    <x v="123"/>
    <x v="0"/>
    <n v="81655.570000000007"/>
    <x v="18"/>
    <n v="1"/>
    <x v="116"/>
    <n v="0.38590000000000002"/>
    <n v="3"/>
    <n v="48186.45"/>
    <n v="37051.279999999999"/>
    <n v="72"/>
    <x v="1"/>
    <x v="0"/>
    <x v="1"/>
    <x v="120"/>
    <x v="1"/>
  </r>
  <r>
    <x v="124"/>
    <x v="0"/>
    <n v="120076.02"/>
    <x v="41"/>
    <n v="1"/>
    <x v="117"/>
    <n v="0.56510000000000005"/>
    <n v="2"/>
    <n v="80945.36"/>
    <n v="49843.83"/>
    <n v="28"/>
    <x v="2"/>
    <x v="1"/>
    <x v="3"/>
    <x v="121"/>
    <x v="1"/>
  </r>
  <r>
    <x v="125"/>
    <x v="4"/>
    <n v="28460.92"/>
    <x v="34"/>
    <n v="1"/>
    <x v="24"/>
    <n v="9.1999999999999998E-2"/>
    <n v="0"/>
    <n v="500"/>
    <n v="0"/>
    <n v="136"/>
    <x v="0"/>
    <x v="1"/>
    <x v="1"/>
    <x v="122"/>
    <x v="1"/>
  </r>
  <r>
    <x v="126"/>
    <x v="1"/>
    <n v="47449.05"/>
    <x v="17"/>
    <n v="0"/>
    <x v="118"/>
    <n v="9.35E-2"/>
    <n v="4"/>
    <n v="500"/>
    <n v="0"/>
    <n v="28"/>
    <x v="0"/>
    <x v="0"/>
    <x v="1"/>
    <x v="123"/>
    <x v="1"/>
  </r>
  <r>
    <x v="127"/>
    <x v="3"/>
    <n v="96186.09"/>
    <x v="17"/>
    <n v="1"/>
    <x v="24"/>
    <n v="0.69940000000000002"/>
    <n v="3"/>
    <n v="54482.35"/>
    <n v="40459.74"/>
    <n v="147"/>
    <x v="1"/>
    <x v="0"/>
    <x v="3"/>
    <x v="124"/>
    <x v="1"/>
  </r>
  <r>
    <x v="128"/>
    <x v="1"/>
    <n v="102865.64"/>
    <x v="38"/>
    <n v="0"/>
    <x v="119"/>
    <n v="0.1885"/>
    <n v="1"/>
    <n v="37799.79"/>
    <n v="41064.559999999998"/>
    <n v="63"/>
    <x v="0"/>
    <x v="1"/>
    <x v="2"/>
    <x v="125"/>
    <x v="1"/>
  </r>
  <r>
    <x v="129"/>
    <x v="2"/>
    <n v="61842.26"/>
    <x v="40"/>
    <n v="1"/>
    <x v="120"/>
    <n v="0.746"/>
    <n v="4"/>
    <n v="41760.85"/>
    <n v="20906.240000000002"/>
    <n v="154"/>
    <x v="0"/>
    <x v="2"/>
    <x v="1"/>
    <x v="126"/>
    <x v="1"/>
  </r>
  <r>
    <x v="130"/>
    <x v="1"/>
    <n v="121825.99"/>
    <x v="43"/>
    <n v="0"/>
    <x v="121"/>
    <n v="0.93140000000000001"/>
    <n v="8"/>
    <n v="115018.28"/>
    <n v="62091.24"/>
    <n v="59"/>
    <x v="2"/>
    <x v="0"/>
    <x v="1"/>
    <x v="127"/>
    <x v="0"/>
  </r>
  <r>
    <x v="131"/>
    <x v="3"/>
    <n v="90779.21"/>
    <x v="30"/>
    <n v="0"/>
    <x v="122"/>
    <n v="0.44829999999999998"/>
    <n v="2"/>
    <n v="29131.65"/>
    <n v="18143.43"/>
    <n v="118"/>
    <x v="1"/>
    <x v="0"/>
    <x v="0"/>
    <x v="128"/>
    <x v="1"/>
  </r>
  <r>
    <x v="132"/>
    <x v="5"/>
    <n v="115441.66"/>
    <x v="21"/>
    <n v="0"/>
    <x v="123"/>
    <n v="0.53080000000000005"/>
    <n v="3"/>
    <n v="48038.16"/>
    <n v="37554.81"/>
    <n v="87"/>
    <x v="0"/>
    <x v="0"/>
    <x v="0"/>
    <x v="129"/>
    <x v="1"/>
  </r>
  <r>
    <x v="133"/>
    <x v="0"/>
    <n v="101225.08"/>
    <x v="26"/>
    <n v="1"/>
    <x v="124"/>
    <n v="0.71540000000000004"/>
    <n v="7"/>
    <n v="56586.44"/>
    <n v="40064.97"/>
    <n v="54"/>
    <x v="2"/>
    <x v="0"/>
    <x v="1"/>
    <x v="130"/>
    <x v="1"/>
  </r>
  <r>
    <x v="134"/>
    <x v="0"/>
    <n v="86495.8"/>
    <x v="37"/>
    <n v="1"/>
    <x v="125"/>
    <n v="0"/>
    <n v="0"/>
    <n v="3040.53"/>
    <n v="9402.4500000000007"/>
    <n v="18"/>
    <x v="0"/>
    <x v="2"/>
    <x v="2"/>
    <x v="131"/>
    <x v="0"/>
  </r>
  <r>
    <x v="135"/>
    <x v="0"/>
    <n v="57371.3"/>
    <x v="2"/>
    <n v="0"/>
    <x v="126"/>
    <n v="0.61750000000000005"/>
    <n v="3"/>
    <n v="10197.469999999999"/>
    <n v="14.47"/>
    <n v="151"/>
    <x v="1"/>
    <x v="0"/>
    <x v="0"/>
    <x v="132"/>
    <x v="1"/>
  </r>
  <r>
    <x v="136"/>
    <x v="4"/>
    <n v="35887.199999999997"/>
    <x v="26"/>
    <n v="0"/>
    <x v="127"/>
    <n v="0.34670000000000001"/>
    <n v="1"/>
    <n v="27270.97"/>
    <n v="18141.97"/>
    <n v="92"/>
    <x v="1"/>
    <x v="0"/>
    <x v="0"/>
    <x v="133"/>
    <x v="1"/>
  </r>
  <r>
    <x v="137"/>
    <x v="3"/>
    <n v="62636.85"/>
    <x v="39"/>
    <n v="0"/>
    <x v="128"/>
    <n v="0.57069999999999999"/>
    <n v="1"/>
    <n v="38467.25"/>
    <n v="20399.7"/>
    <n v="89"/>
    <x v="2"/>
    <x v="0"/>
    <x v="0"/>
    <x v="134"/>
    <x v="1"/>
  </r>
  <r>
    <x v="138"/>
    <x v="0"/>
    <n v="123192.27"/>
    <x v="9"/>
    <n v="1"/>
    <x v="129"/>
    <n v="0.54559999999999997"/>
    <n v="1"/>
    <n v="63964.42"/>
    <n v="31229.5"/>
    <n v="10"/>
    <x v="1"/>
    <x v="2"/>
    <x v="3"/>
    <x v="135"/>
    <x v="1"/>
  </r>
  <r>
    <x v="139"/>
    <x v="5"/>
    <n v="49673.5"/>
    <x v="20"/>
    <n v="1"/>
    <x v="130"/>
    <n v="0.15540000000000001"/>
    <n v="1"/>
    <n v="29516.68"/>
    <n v="28235.42"/>
    <n v="64"/>
    <x v="1"/>
    <x v="2"/>
    <x v="0"/>
    <x v="136"/>
    <x v="1"/>
  </r>
  <r>
    <x v="140"/>
    <x v="0"/>
    <n v="26975.47"/>
    <x v="36"/>
    <n v="0"/>
    <x v="131"/>
    <n v="0.48099999999999998"/>
    <n v="2"/>
    <n v="500"/>
    <n v="0"/>
    <n v="54"/>
    <x v="0"/>
    <x v="0"/>
    <x v="0"/>
    <x v="137"/>
    <x v="1"/>
  </r>
  <r>
    <x v="141"/>
    <x v="0"/>
    <n v="46940.09"/>
    <x v="22"/>
    <n v="1"/>
    <x v="132"/>
    <n v="0.1076"/>
    <n v="2"/>
    <n v="8171.05"/>
    <n v="8178.71"/>
    <n v="175"/>
    <x v="1"/>
    <x v="0"/>
    <x v="3"/>
    <x v="138"/>
    <x v="1"/>
  </r>
  <r>
    <x v="142"/>
    <x v="4"/>
    <n v="34647.629999999997"/>
    <x v="8"/>
    <n v="0"/>
    <x v="133"/>
    <n v="0.45500000000000002"/>
    <n v="0"/>
    <n v="1437.21"/>
    <n v="0"/>
    <n v="162"/>
    <x v="1"/>
    <x v="1"/>
    <x v="0"/>
    <x v="139"/>
    <x v="1"/>
  </r>
  <r>
    <x v="143"/>
    <x v="2"/>
    <n v="192278.95"/>
    <x v="27"/>
    <n v="1"/>
    <x v="134"/>
    <n v="0.56530000000000002"/>
    <n v="3"/>
    <n v="96117.46"/>
    <n v="53247.42"/>
    <n v="76"/>
    <x v="0"/>
    <x v="2"/>
    <x v="1"/>
    <x v="140"/>
    <x v="1"/>
  </r>
  <r>
    <x v="144"/>
    <x v="1"/>
    <n v="57357.42"/>
    <x v="27"/>
    <n v="0"/>
    <x v="135"/>
    <n v="0.46970000000000001"/>
    <n v="1"/>
    <n v="21379.24"/>
    <n v="27814.38"/>
    <n v="94"/>
    <x v="2"/>
    <x v="2"/>
    <x v="1"/>
    <x v="141"/>
    <x v="1"/>
  </r>
  <r>
    <x v="145"/>
    <x v="5"/>
    <n v="172274.82"/>
    <x v="40"/>
    <n v="0"/>
    <x v="136"/>
    <n v="0.27179999999999999"/>
    <n v="0"/>
    <n v="33578.54"/>
    <n v="22913.21"/>
    <n v="141"/>
    <x v="0"/>
    <x v="0"/>
    <x v="0"/>
    <x v="142"/>
    <x v="1"/>
  </r>
  <r>
    <x v="146"/>
    <x v="4"/>
    <n v="22977.48"/>
    <x v="41"/>
    <n v="1"/>
    <x v="137"/>
    <n v="0.71589999999999998"/>
    <n v="4"/>
    <n v="30286.05"/>
    <n v="17703.05"/>
    <n v="127"/>
    <x v="1"/>
    <x v="0"/>
    <x v="3"/>
    <x v="143"/>
    <x v="1"/>
  </r>
  <r>
    <x v="147"/>
    <x v="0"/>
    <n v="148467.38"/>
    <x v="14"/>
    <n v="1"/>
    <x v="138"/>
    <n v="0.25140000000000001"/>
    <n v="1"/>
    <n v="8168.7"/>
    <n v="22834.04"/>
    <n v="112"/>
    <x v="2"/>
    <x v="0"/>
    <x v="2"/>
    <x v="144"/>
    <x v="1"/>
  </r>
  <r>
    <x v="148"/>
    <x v="0"/>
    <n v="48012.32"/>
    <x v="23"/>
    <n v="0"/>
    <x v="139"/>
    <n v="0.95450000000000002"/>
    <n v="4"/>
    <n v="47289.760000000002"/>
    <n v="34061.53"/>
    <n v="151"/>
    <x v="1"/>
    <x v="1"/>
    <x v="0"/>
    <x v="145"/>
    <x v="1"/>
  </r>
  <r>
    <x v="149"/>
    <x v="5"/>
    <n v="108231.05"/>
    <x v="41"/>
    <n v="0"/>
    <x v="140"/>
    <n v="0.1739"/>
    <n v="2"/>
    <n v="25682.99"/>
    <n v="23466.7"/>
    <n v="71"/>
    <x v="1"/>
    <x v="0"/>
    <x v="0"/>
    <x v="146"/>
    <x v="1"/>
  </r>
  <r>
    <x v="150"/>
    <x v="3"/>
    <n v="76516.17"/>
    <x v="26"/>
    <n v="0"/>
    <x v="141"/>
    <n v="0.7298"/>
    <n v="1"/>
    <n v="64234.26"/>
    <n v="32162.05"/>
    <n v="28"/>
    <x v="1"/>
    <x v="0"/>
    <x v="3"/>
    <x v="147"/>
    <x v="0"/>
  </r>
  <r>
    <x v="151"/>
    <x v="0"/>
    <n v="104889.61"/>
    <x v="48"/>
    <n v="1"/>
    <x v="142"/>
    <n v="0.81679999999999997"/>
    <n v="6"/>
    <n v="82052.960000000006"/>
    <n v="56588.66"/>
    <n v="173"/>
    <x v="1"/>
    <x v="0"/>
    <x v="1"/>
    <x v="148"/>
    <x v="1"/>
  </r>
  <r>
    <x v="152"/>
    <x v="2"/>
    <n v="126807.24"/>
    <x v="47"/>
    <n v="0"/>
    <x v="143"/>
    <n v="0.4476"/>
    <n v="0"/>
    <n v="33813.300000000003"/>
    <n v="11914.96"/>
    <n v="100"/>
    <x v="1"/>
    <x v="0"/>
    <x v="0"/>
    <x v="149"/>
    <x v="1"/>
  </r>
  <r>
    <x v="153"/>
    <x v="1"/>
    <n v="151288.54999999999"/>
    <x v="13"/>
    <n v="1"/>
    <x v="144"/>
    <n v="0"/>
    <n v="1"/>
    <n v="500"/>
    <n v="6512.11"/>
    <n v="180"/>
    <x v="2"/>
    <x v="2"/>
    <x v="0"/>
    <x v="150"/>
    <x v="1"/>
  </r>
  <r>
    <x v="154"/>
    <x v="3"/>
    <n v="84801.9"/>
    <x v="17"/>
    <n v="0"/>
    <x v="145"/>
    <n v="0.75770000000000004"/>
    <n v="7"/>
    <n v="72516.62"/>
    <n v="43988.87"/>
    <n v="143"/>
    <x v="0"/>
    <x v="0"/>
    <x v="1"/>
    <x v="151"/>
    <x v="1"/>
  </r>
  <r>
    <x v="155"/>
    <x v="2"/>
    <n v="110357.7"/>
    <x v="14"/>
    <n v="0"/>
    <x v="146"/>
    <n v="0.2389"/>
    <n v="3"/>
    <n v="29096.66"/>
    <n v="12934.98"/>
    <n v="149"/>
    <x v="1"/>
    <x v="2"/>
    <x v="1"/>
    <x v="152"/>
    <x v="1"/>
  </r>
  <r>
    <x v="156"/>
    <x v="0"/>
    <n v="120201.97"/>
    <x v="16"/>
    <n v="1"/>
    <x v="147"/>
    <n v="0.63529999999999998"/>
    <n v="5"/>
    <n v="70623.789999999994"/>
    <n v="29971.79"/>
    <n v="21"/>
    <x v="2"/>
    <x v="0"/>
    <x v="2"/>
    <x v="3"/>
    <x v="1"/>
  </r>
  <r>
    <x v="157"/>
    <x v="4"/>
    <n v="99139.81"/>
    <x v="27"/>
    <n v="0"/>
    <x v="148"/>
    <n v="8.6099999999999996E-2"/>
    <n v="3"/>
    <n v="5262.17"/>
    <n v="9921.17"/>
    <n v="102"/>
    <x v="1"/>
    <x v="2"/>
    <x v="1"/>
    <x v="153"/>
    <x v="1"/>
  </r>
  <r>
    <x v="158"/>
    <x v="0"/>
    <n v="66299.789999999994"/>
    <x v="25"/>
    <n v="0"/>
    <x v="149"/>
    <n v="0.64959999999999996"/>
    <n v="4"/>
    <n v="72062.539999999994"/>
    <n v="60549.440000000002"/>
    <n v="6"/>
    <x v="2"/>
    <x v="1"/>
    <x v="1"/>
    <x v="154"/>
    <x v="1"/>
  </r>
  <r>
    <x v="159"/>
    <x v="0"/>
    <n v="43612.02"/>
    <x v="5"/>
    <n v="1"/>
    <x v="150"/>
    <n v="0.63039999999999996"/>
    <n v="3"/>
    <n v="62349.94"/>
    <n v="41858"/>
    <n v="175"/>
    <x v="1"/>
    <x v="2"/>
    <x v="2"/>
    <x v="155"/>
    <x v="0"/>
  </r>
  <r>
    <x v="160"/>
    <x v="1"/>
    <n v="95654.73"/>
    <x v="39"/>
    <n v="0"/>
    <x v="151"/>
    <n v="4.7600000000000003E-2"/>
    <n v="2"/>
    <n v="12363.57"/>
    <n v="4534.18"/>
    <n v="17"/>
    <x v="1"/>
    <x v="0"/>
    <x v="0"/>
    <x v="156"/>
    <x v="1"/>
  </r>
  <r>
    <x v="161"/>
    <x v="5"/>
    <n v="78413.03"/>
    <x v="34"/>
    <n v="0"/>
    <x v="152"/>
    <n v="0.95420000000000005"/>
    <n v="3"/>
    <n v="65761.38"/>
    <n v="47967.76"/>
    <n v="66"/>
    <x v="0"/>
    <x v="0"/>
    <x v="1"/>
    <x v="157"/>
    <x v="1"/>
  </r>
  <r>
    <x v="162"/>
    <x v="3"/>
    <n v="85020.32"/>
    <x v="16"/>
    <n v="1"/>
    <x v="153"/>
    <n v="0.80069999999999997"/>
    <n v="1"/>
    <n v="56950.54"/>
    <n v="34252.660000000003"/>
    <n v="132"/>
    <x v="0"/>
    <x v="0"/>
    <x v="1"/>
    <x v="158"/>
    <x v="1"/>
  </r>
  <r>
    <x v="163"/>
    <x v="3"/>
    <n v="127268.02"/>
    <x v="13"/>
    <n v="0"/>
    <x v="154"/>
    <n v="0.59589999999999999"/>
    <n v="4"/>
    <n v="58851.59"/>
    <n v="46681.69"/>
    <n v="42"/>
    <x v="2"/>
    <x v="1"/>
    <x v="1"/>
    <x v="159"/>
    <x v="1"/>
  </r>
  <r>
    <x v="164"/>
    <x v="2"/>
    <n v="67399.81"/>
    <x v="18"/>
    <n v="1"/>
    <x v="155"/>
    <n v="0.39300000000000002"/>
    <n v="4"/>
    <n v="40900.870000000003"/>
    <n v="31362.21"/>
    <n v="100"/>
    <x v="0"/>
    <x v="2"/>
    <x v="0"/>
    <x v="160"/>
    <x v="1"/>
  </r>
  <r>
    <x v="165"/>
    <x v="0"/>
    <n v="156892.81"/>
    <x v="28"/>
    <n v="0"/>
    <x v="156"/>
    <n v="0.79190000000000005"/>
    <n v="4"/>
    <n v="105295.14"/>
    <n v="60996.34"/>
    <n v="91"/>
    <x v="0"/>
    <x v="1"/>
    <x v="0"/>
    <x v="161"/>
    <x v="1"/>
  </r>
  <r>
    <x v="166"/>
    <x v="1"/>
    <n v="86006.45"/>
    <x v="11"/>
    <n v="0"/>
    <x v="157"/>
    <n v="0.21529999999999999"/>
    <n v="2"/>
    <n v="10473.39"/>
    <n v="2434.2399999999998"/>
    <n v="67"/>
    <x v="1"/>
    <x v="2"/>
    <x v="0"/>
    <x v="162"/>
    <x v="1"/>
  </r>
  <r>
    <x v="167"/>
    <x v="5"/>
    <n v="81089.600000000006"/>
    <x v="9"/>
    <n v="1"/>
    <x v="158"/>
    <n v="0.21190000000000001"/>
    <n v="3"/>
    <n v="500"/>
    <n v="886.34"/>
    <n v="58"/>
    <x v="1"/>
    <x v="0"/>
    <x v="1"/>
    <x v="163"/>
    <x v="1"/>
  </r>
  <r>
    <x v="168"/>
    <x v="3"/>
    <n v="111279.88"/>
    <x v="16"/>
    <n v="1"/>
    <x v="159"/>
    <n v="0.17150000000000001"/>
    <n v="0"/>
    <n v="26812.2"/>
    <n v="25409.67"/>
    <n v="103"/>
    <x v="1"/>
    <x v="0"/>
    <x v="1"/>
    <x v="164"/>
    <x v="1"/>
  </r>
  <r>
    <x v="169"/>
    <x v="1"/>
    <n v="75795.820000000007"/>
    <x v="7"/>
    <n v="0"/>
    <x v="160"/>
    <n v="0.32519999999999999"/>
    <n v="1"/>
    <n v="25185"/>
    <n v="21307.34"/>
    <n v="145"/>
    <x v="1"/>
    <x v="1"/>
    <x v="1"/>
    <x v="165"/>
    <x v="1"/>
  </r>
  <r>
    <x v="170"/>
    <x v="1"/>
    <n v="101010.22"/>
    <x v="28"/>
    <n v="0"/>
    <x v="50"/>
    <n v="0.74960000000000004"/>
    <n v="3"/>
    <n v="77104.36"/>
    <n v="44798.43"/>
    <n v="167"/>
    <x v="0"/>
    <x v="2"/>
    <x v="0"/>
    <x v="166"/>
    <x v="1"/>
  </r>
  <r>
    <x v="171"/>
    <x v="2"/>
    <n v="88433.58"/>
    <x v="4"/>
    <n v="1"/>
    <x v="24"/>
    <n v="0.1772"/>
    <n v="1"/>
    <n v="13423.94"/>
    <n v="2671.51"/>
    <n v="10"/>
    <x v="1"/>
    <x v="0"/>
    <x v="3"/>
    <x v="167"/>
    <x v="1"/>
  </r>
  <r>
    <x v="172"/>
    <x v="0"/>
    <n v="116041.53"/>
    <x v="25"/>
    <n v="1"/>
    <x v="3"/>
    <n v="0.48799999999999999"/>
    <n v="4"/>
    <n v="62441.61"/>
    <n v="39765.99"/>
    <n v="140"/>
    <x v="0"/>
    <x v="0"/>
    <x v="1"/>
    <x v="168"/>
    <x v="1"/>
  </r>
  <r>
    <x v="173"/>
    <x v="1"/>
    <n v="144240.49"/>
    <x v="18"/>
    <n v="1"/>
    <x v="161"/>
    <n v="0.38900000000000001"/>
    <n v="1"/>
    <n v="29468.67"/>
    <n v="12730.68"/>
    <n v="14"/>
    <x v="0"/>
    <x v="0"/>
    <x v="1"/>
    <x v="169"/>
    <x v="1"/>
  </r>
  <r>
    <x v="174"/>
    <x v="5"/>
    <n v="117544.7"/>
    <x v="7"/>
    <n v="1"/>
    <x v="162"/>
    <n v="0.6028"/>
    <n v="1"/>
    <n v="50684.38"/>
    <n v="53820.21"/>
    <n v="30"/>
    <x v="2"/>
    <x v="1"/>
    <x v="0"/>
    <x v="170"/>
    <x v="1"/>
  </r>
  <r>
    <x v="175"/>
    <x v="3"/>
    <n v="49838.85"/>
    <x v="0"/>
    <n v="1"/>
    <x v="163"/>
    <n v="0.42830000000000001"/>
    <n v="6"/>
    <n v="6861.44"/>
    <n v="2965.6"/>
    <n v="86"/>
    <x v="0"/>
    <x v="0"/>
    <x v="0"/>
    <x v="171"/>
    <x v="1"/>
  </r>
  <r>
    <x v="176"/>
    <x v="2"/>
    <n v="134584.22"/>
    <x v="30"/>
    <n v="1"/>
    <x v="164"/>
    <n v="0.49690000000000001"/>
    <n v="4"/>
    <n v="74432.570000000007"/>
    <n v="31413.37"/>
    <n v="144"/>
    <x v="0"/>
    <x v="2"/>
    <x v="0"/>
    <x v="172"/>
    <x v="1"/>
  </r>
  <r>
    <x v="177"/>
    <x v="1"/>
    <n v="84775.96"/>
    <x v="21"/>
    <n v="0"/>
    <x v="165"/>
    <n v="0.48870000000000002"/>
    <n v="4"/>
    <n v="29812.81"/>
    <n v="25057.71"/>
    <n v="107"/>
    <x v="3"/>
    <x v="0"/>
    <x v="1"/>
    <x v="173"/>
    <x v="1"/>
  </r>
  <r>
    <x v="178"/>
    <x v="4"/>
    <n v="59166.22"/>
    <x v="40"/>
    <n v="0"/>
    <x v="166"/>
    <n v="0.64790000000000003"/>
    <n v="3"/>
    <n v="28903.75"/>
    <n v="9530.49"/>
    <n v="27"/>
    <x v="2"/>
    <x v="0"/>
    <x v="0"/>
    <x v="174"/>
    <x v="1"/>
  </r>
  <r>
    <x v="179"/>
    <x v="5"/>
    <n v="105838.57"/>
    <x v="24"/>
    <n v="1"/>
    <x v="167"/>
    <n v="0.6048"/>
    <n v="3"/>
    <n v="69058.899999999994"/>
    <n v="58192.71"/>
    <n v="75"/>
    <x v="0"/>
    <x v="0"/>
    <x v="0"/>
    <x v="175"/>
    <x v="1"/>
  </r>
  <r>
    <x v="180"/>
    <x v="4"/>
    <n v="69050.94"/>
    <x v="14"/>
    <n v="0"/>
    <x v="168"/>
    <n v="0.33289999999999997"/>
    <n v="3"/>
    <n v="12142.11"/>
    <n v="4127.3500000000004"/>
    <n v="104"/>
    <x v="0"/>
    <x v="0"/>
    <x v="1"/>
    <x v="176"/>
    <x v="1"/>
  </r>
  <r>
    <x v="181"/>
    <x v="3"/>
    <n v="33092.76"/>
    <x v="18"/>
    <n v="0"/>
    <x v="169"/>
    <n v="0.33339999999999997"/>
    <n v="1"/>
    <n v="16620.3"/>
    <n v="7627.81"/>
    <n v="22"/>
    <x v="0"/>
    <x v="0"/>
    <x v="0"/>
    <x v="177"/>
    <x v="1"/>
  </r>
  <r>
    <x v="182"/>
    <x v="5"/>
    <n v="20494.89"/>
    <x v="32"/>
    <n v="0"/>
    <x v="24"/>
    <n v="0.1628"/>
    <n v="0"/>
    <n v="5729.54"/>
    <n v="8168.55"/>
    <n v="83"/>
    <x v="0"/>
    <x v="0"/>
    <x v="2"/>
    <x v="178"/>
    <x v="1"/>
  </r>
  <r>
    <x v="183"/>
    <x v="1"/>
    <n v="151375.57999999999"/>
    <x v="29"/>
    <n v="0"/>
    <x v="170"/>
    <n v="0"/>
    <n v="2"/>
    <n v="500"/>
    <n v="0"/>
    <n v="57"/>
    <x v="1"/>
    <x v="0"/>
    <x v="0"/>
    <x v="24"/>
    <x v="1"/>
  </r>
  <r>
    <x v="184"/>
    <x v="4"/>
    <n v="83954.55"/>
    <x v="17"/>
    <n v="0"/>
    <x v="171"/>
    <n v="0.44429999999999997"/>
    <n v="1"/>
    <n v="32318.03"/>
    <n v="32123.97"/>
    <n v="99"/>
    <x v="0"/>
    <x v="2"/>
    <x v="1"/>
    <x v="179"/>
    <x v="1"/>
  </r>
  <r>
    <x v="185"/>
    <x v="0"/>
    <n v="70744.789999999994"/>
    <x v="32"/>
    <n v="1"/>
    <x v="172"/>
    <n v="0.49370000000000003"/>
    <n v="1"/>
    <n v="39623.11"/>
    <n v="16912.48"/>
    <n v="110"/>
    <x v="1"/>
    <x v="0"/>
    <x v="0"/>
    <x v="180"/>
    <x v="1"/>
  </r>
  <r>
    <x v="186"/>
    <x v="2"/>
    <n v="116741.34"/>
    <x v="48"/>
    <n v="0"/>
    <x v="173"/>
    <n v="1"/>
    <n v="8"/>
    <n v="101688.94"/>
    <n v="77233.63"/>
    <n v="135"/>
    <x v="2"/>
    <x v="2"/>
    <x v="0"/>
    <x v="181"/>
    <x v="1"/>
  </r>
  <r>
    <x v="187"/>
    <x v="3"/>
    <n v="117085.02"/>
    <x v="49"/>
    <n v="0"/>
    <x v="174"/>
    <n v="9.1800000000000007E-2"/>
    <n v="2"/>
    <n v="17941.099999999999"/>
    <n v="7090.24"/>
    <n v="162"/>
    <x v="0"/>
    <x v="1"/>
    <x v="1"/>
    <x v="182"/>
    <x v="1"/>
  </r>
  <r>
    <x v="188"/>
    <x v="0"/>
    <n v="91970.09"/>
    <x v="29"/>
    <n v="1"/>
    <x v="175"/>
    <n v="0.48959999999999998"/>
    <n v="4"/>
    <n v="49379.63"/>
    <n v="36375.1"/>
    <n v="148"/>
    <x v="1"/>
    <x v="2"/>
    <x v="0"/>
    <x v="183"/>
    <x v="1"/>
  </r>
  <r>
    <x v="189"/>
    <x v="1"/>
    <n v="138922.14000000001"/>
    <x v="9"/>
    <n v="1"/>
    <x v="24"/>
    <n v="1"/>
    <n v="4"/>
    <n v="140278.38"/>
    <n v="115198.72"/>
    <n v="42"/>
    <x v="0"/>
    <x v="0"/>
    <x v="1"/>
    <x v="184"/>
    <x v="1"/>
  </r>
  <r>
    <x v="190"/>
    <x v="1"/>
    <n v="78187.990000000005"/>
    <x v="32"/>
    <n v="0"/>
    <x v="176"/>
    <n v="0.3281"/>
    <n v="0"/>
    <n v="17157.72"/>
    <n v="26037.360000000001"/>
    <n v="35"/>
    <x v="0"/>
    <x v="0"/>
    <x v="0"/>
    <x v="185"/>
    <x v="1"/>
  </r>
  <r>
    <x v="191"/>
    <x v="5"/>
    <n v="2000"/>
    <x v="42"/>
    <n v="1"/>
    <x v="177"/>
    <n v="0.53139999999999998"/>
    <n v="0"/>
    <n v="500"/>
    <n v="1278.24"/>
    <n v="53"/>
    <x v="0"/>
    <x v="2"/>
    <x v="0"/>
    <x v="186"/>
    <x v="1"/>
  </r>
  <r>
    <x v="192"/>
    <x v="5"/>
    <n v="126494.8"/>
    <x v="29"/>
    <n v="0"/>
    <x v="178"/>
    <n v="0.1009"/>
    <n v="3"/>
    <n v="19642.41"/>
    <n v="25059.16"/>
    <n v="22"/>
    <x v="1"/>
    <x v="2"/>
    <x v="1"/>
    <x v="187"/>
    <x v="1"/>
  </r>
  <r>
    <x v="193"/>
    <x v="2"/>
    <n v="112266.2"/>
    <x v="4"/>
    <n v="1"/>
    <x v="179"/>
    <n v="0.1673"/>
    <n v="0"/>
    <n v="3275.16"/>
    <n v="0"/>
    <n v="95"/>
    <x v="1"/>
    <x v="0"/>
    <x v="0"/>
    <x v="188"/>
    <x v="1"/>
  </r>
  <r>
    <x v="194"/>
    <x v="5"/>
    <n v="121521.89"/>
    <x v="16"/>
    <n v="0"/>
    <x v="180"/>
    <n v="0.51549999999999996"/>
    <n v="4"/>
    <n v="72097.42"/>
    <n v="41360.550000000003"/>
    <n v="52"/>
    <x v="1"/>
    <x v="0"/>
    <x v="0"/>
    <x v="189"/>
    <x v="1"/>
  </r>
  <r>
    <x v="195"/>
    <x v="2"/>
    <n v="56485.33"/>
    <x v="7"/>
    <n v="0"/>
    <x v="181"/>
    <n v="0.1108"/>
    <n v="0"/>
    <n v="500"/>
    <n v="0"/>
    <n v="41"/>
    <x v="0"/>
    <x v="2"/>
    <x v="1"/>
    <x v="190"/>
    <x v="1"/>
  </r>
  <r>
    <x v="196"/>
    <x v="1"/>
    <n v="139457.91"/>
    <x v="1"/>
    <n v="1"/>
    <x v="18"/>
    <n v="0.65659999999999996"/>
    <n v="0"/>
    <n v="74048.929999999993"/>
    <n v="48001.35"/>
    <n v="131"/>
    <x v="1"/>
    <x v="2"/>
    <x v="1"/>
    <x v="191"/>
    <x v="1"/>
  </r>
  <r>
    <x v="197"/>
    <x v="0"/>
    <n v="95593.04"/>
    <x v="34"/>
    <n v="1"/>
    <x v="182"/>
    <n v="0.43640000000000001"/>
    <n v="2"/>
    <n v="67080.800000000003"/>
    <n v="36751.760000000002"/>
    <n v="132"/>
    <x v="1"/>
    <x v="0"/>
    <x v="0"/>
    <x v="192"/>
    <x v="1"/>
  </r>
  <r>
    <x v="198"/>
    <x v="0"/>
    <n v="109118.03"/>
    <x v="11"/>
    <n v="1"/>
    <x v="183"/>
    <n v="0.78480000000000005"/>
    <n v="5"/>
    <n v="42134.5"/>
    <n v="18809.54"/>
    <n v="32"/>
    <x v="1"/>
    <x v="2"/>
    <x v="0"/>
    <x v="193"/>
    <x v="1"/>
  </r>
  <r>
    <x v="199"/>
    <x v="1"/>
    <n v="81845.25"/>
    <x v="14"/>
    <n v="1"/>
    <x v="184"/>
    <n v="0.69850000000000001"/>
    <n v="4"/>
    <n v="46281.83"/>
    <n v="24458.22"/>
    <n v="95"/>
    <x v="2"/>
    <x v="2"/>
    <x v="0"/>
    <x v="194"/>
    <x v="1"/>
  </r>
  <r>
    <x v="200"/>
    <x v="0"/>
    <n v="107914.87"/>
    <x v="12"/>
    <n v="1"/>
    <x v="185"/>
    <n v="0.1212"/>
    <n v="0"/>
    <n v="5605.4"/>
    <n v="232.12"/>
    <n v="80"/>
    <x v="0"/>
    <x v="0"/>
    <x v="2"/>
    <x v="195"/>
    <x v="1"/>
  </r>
  <r>
    <x v="201"/>
    <x v="1"/>
    <n v="83820.53"/>
    <x v="11"/>
    <n v="1"/>
    <x v="186"/>
    <n v="0"/>
    <n v="5"/>
    <n v="500"/>
    <n v="11567.94"/>
    <n v="69"/>
    <x v="0"/>
    <x v="0"/>
    <x v="0"/>
    <x v="196"/>
    <x v="1"/>
  </r>
  <r>
    <x v="202"/>
    <x v="1"/>
    <n v="70531"/>
    <x v="24"/>
    <n v="0"/>
    <x v="187"/>
    <n v="0.36969999999999997"/>
    <n v="4"/>
    <n v="5775.74"/>
    <n v="7455.34"/>
    <n v="29"/>
    <x v="1"/>
    <x v="2"/>
    <x v="1"/>
    <x v="197"/>
    <x v="1"/>
  </r>
  <r>
    <x v="203"/>
    <x v="4"/>
    <n v="55471.35"/>
    <x v="16"/>
    <n v="0"/>
    <x v="24"/>
    <n v="0.40670000000000001"/>
    <n v="2"/>
    <n v="500"/>
    <n v="0"/>
    <n v="97"/>
    <x v="2"/>
    <x v="2"/>
    <x v="0"/>
    <x v="198"/>
    <x v="1"/>
  </r>
  <r>
    <x v="204"/>
    <x v="3"/>
    <n v="113825.99"/>
    <x v="10"/>
    <n v="0"/>
    <x v="188"/>
    <n v="0.50729999999999997"/>
    <n v="1"/>
    <n v="40633.440000000002"/>
    <n v="19382.259999999998"/>
    <n v="130"/>
    <x v="2"/>
    <x v="2"/>
    <x v="1"/>
    <x v="199"/>
    <x v="1"/>
  </r>
  <r>
    <x v="205"/>
    <x v="2"/>
    <n v="107970.93"/>
    <x v="43"/>
    <n v="0"/>
    <x v="189"/>
    <n v="0.74739999999999995"/>
    <n v="4"/>
    <n v="80894.47"/>
    <n v="69280.350000000006"/>
    <n v="39"/>
    <x v="2"/>
    <x v="0"/>
    <x v="2"/>
    <x v="200"/>
    <x v="1"/>
  </r>
  <r>
    <x v="206"/>
    <x v="3"/>
    <n v="125437.04"/>
    <x v="14"/>
    <n v="0"/>
    <x v="190"/>
    <n v="2.5100000000000001E-2"/>
    <n v="4"/>
    <n v="10780.65"/>
    <n v="14714.13"/>
    <n v="84"/>
    <x v="1"/>
    <x v="2"/>
    <x v="0"/>
    <x v="201"/>
    <x v="1"/>
  </r>
  <r>
    <x v="207"/>
    <x v="5"/>
    <n v="100912.3"/>
    <x v="28"/>
    <n v="1"/>
    <x v="191"/>
    <n v="0.53259999999999996"/>
    <n v="3"/>
    <n v="51889.06"/>
    <n v="32339.47"/>
    <n v="114"/>
    <x v="1"/>
    <x v="0"/>
    <x v="0"/>
    <x v="202"/>
    <x v="1"/>
  </r>
  <r>
    <x v="208"/>
    <x v="4"/>
    <n v="97233.32"/>
    <x v="3"/>
    <n v="0"/>
    <x v="192"/>
    <n v="0.49959999999999999"/>
    <n v="2"/>
    <n v="52258.6"/>
    <n v="20467.23"/>
    <n v="40"/>
    <x v="1"/>
    <x v="2"/>
    <x v="0"/>
    <x v="203"/>
    <x v="1"/>
  </r>
  <r>
    <x v="209"/>
    <x v="2"/>
    <n v="66074.16"/>
    <x v="21"/>
    <n v="0"/>
    <x v="193"/>
    <n v="5.3600000000000002E-2"/>
    <n v="2"/>
    <n v="16122.78"/>
    <n v="4494.5200000000004"/>
    <n v="28"/>
    <x v="2"/>
    <x v="0"/>
    <x v="0"/>
    <x v="204"/>
    <x v="1"/>
  </r>
  <r>
    <x v="210"/>
    <x v="0"/>
    <n v="61610.65"/>
    <x v="41"/>
    <n v="1"/>
    <x v="194"/>
    <n v="0.40500000000000003"/>
    <n v="5"/>
    <n v="25186.58"/>
    <n v="29685.33"/>
    <n v="161"/>
    <x v="0"/>
    <x v="1"/>
    <x v="0"/>
    <x v="205"/>
    <x v="1"/>
  </r>
  <r>
    <x v="211"/>
    <x v="5"/>
    <n v="14656.09"/>
    <x v="31"/>
    <n v="1"/>
    <x v="195"/>
    <n v="0.37519999999999998"/>
    <n v="2"/>
    <n v="10319.51"/>
    <n v="21593.96"/>
    <n v="132"/>
    <x v="1"/>
    <x v="0"/>
    <x v="1"/>
    <x v="206"/>
    <x v="1"/>
  </r>
  <r>
    <x v="212"/>
    <x v="5"/>
    <n v="95366.87"/>
    <x v="3"/>
    <n v="0"/>
    <x v="196"/>
    <n v="0.52170000000000005"/>
    <n v="3"/>
    <n v="62225.32"/>
    <n v="33857.31"/>
    <n v="99"/>
    <x v="1"/>
    <x v="0"/>
    <x v="1"/>
    <x v="207"/>
    <x v="1"/>
  </r>
  <r>
    <x v="213"/>
    <x v="0"/>
    <n v="88610.7"/>
    <x v="45"/>
    <n v="1"/>
    <x v="197"/>
    <n v="0.47110000000000002"/>
    <n v="6"/>
    <n v="51559.05"/>
    <n v="23720.67"/>
    <n v="134"/>
    <x v="2"/>
    <x v="0"/>
    <x v="0"/>
    <x v="208"/>
    <x v="1"/>
  </r>
  <r>
    <x v="214"/>
    <x v="1"/>
    <n v="64818.09"/>
    <x v="14"/>
    <n v="0"/>
    <x v="198"/>
    <n v="0.28999999999999998"/>
    <n v="4"/>
    <n v="26698.7"/>
    <n v="31778.21"/>
    <n v="143"/>
    <x v="0"/>
    <x v="2"/>
    <x v="1"/>
    <x v="209"/>
    <x v="1"/>
  </r>
  <r>
    <x v="215"/>
    <x v="3"/>
    <n v="37774.730000000003"/>
    <x v="29"/>
    <n v="0"/>
    <x v="199"/>
    <n v="0"/>
    <n v="1"/>
    <n v="2266.66"/>
    <n v="0"/>
    <n v="161"/>
    <x v="0"/>
    <x v="2"/>
    <x v="1"/>
    <x v="210"/>
    <x v="1"/>
  </r>
  <r>
    <x v="216"/>
    <x v="2"/>
    <n v="114371.02"/>
    <x v="45"/>
    <n v="0"/>
    <x v="200"/>
    <n v="0.71860000000000002"/>
    <n v="8"/>
    <n v="56241.68"/>
    <n v="36424.32"/>
    <n v="72"/>
    <x v="0"/>
    <x v="0"/>
    <x v="1"/>
    <x v="211"/>
    <x v="1"/>
  </r>
  <r>
    <x v="217"/>
    <x v="0"/>
    <n v="183207.7"/>
    <x v="43"/>
    <n v="0"/>
    <x v="201"/>
    <n v="0.62790000000000001"/>
    <n v="2"/>
    <n v="113288.61"/>
    <n v="83254.67"/>
    <n v="133"/>
    <x v="1"/>
    <x v="0"/>
    <x v="1"/>
    <x v="212"/>
    <x v="1"/>
  </r>
  <r>
    <x v="218"/>
    <x v="4"/>
    <n v="66725.759999999995"/>
    <x v="2"/>
    <n v="0"/>
    <x v="202"/>
    <n v="0.69479999999999997"/>
    <n v="2"/>
    <n v="64812.62"/>
    <n v="55726.85"/>
    <n v="6"/>
    <x v="0"/>
    <x v="2"/>
    <x v="0"/>
    <x v="213"/>
    <x v="1"/>
  </r>
  <r>
    <x v="219"/>
    <x v="3"/>
    <n v="97804.2"/>
    <x v="39"/>
    <n v="0"/>
    <x v="203"/>
    <n v="0.21940000000000001"/>
    <n v="1"/>
    <n v="5848.32"/>
    <n v="0"/>
    <n v="87"/>
    <x v="0"/>
    <x v="0"/>
    <x v="0"/>
    <x v="214"/>
    <x v="1"/>
  </r>
  <r>
    <x v="220"/>
    <x v="5"/>
    <n v="113090.56"/>
    <x v="42"/>
    <n v="0"/>
    <x v="204"/>
    <n v="1"/>
    <n v="5"/>
    <n v="128320.88"/>
    <n v="87284"/>
    <n v="78"/>
    <x v="2"/>
    <x v="0"/>
    <x v="0"/>
    <x v="215"/>
    <x v="1"/>
  </r>
  <r>
    <x v="221"/>
    <x v="4"/>
    <n v="101590.53"/>
    <x v="30"/>
    <n v="0"/>
    <x v="205"/>
    <n v="0.214"/>
    <n v="0"/>
    <n v="51260.12"/>
    <n v="48491.54"/>
    <n v="145"/>
    <x v="2"/>
    <x v="0"/>
    <x v="0"/>
    <x v="216"/>
    <x v="1"/>
  </r>
  <r>
    <x v="222"/>
    <x v="4"/>
    <n v="94425.2"/>
    <x v="20"/>
    <n v="0"/>
    <x v="206"/>
    <n v="0.84009999999999996"/>
    <n v="1"/>
    <n v="101278.39"/>
    <n v="76406.78"/>
    <n v="84"/>
    <x v="0"/>
    <x v="2"/>
    <x v="0"/>
    <x v="217"/>
    <x v="1"/>
  </r>
  <r>
    <x v="223"/>
    <x v="4"/>
    <n v="90791.79"/>
    <x v="47"/>
    <n v="1"/>
    <x v="207"/>
    <n v="0.47360000000000002"/>
    <n v="3"/>
    <n v="71792.63"/>
    <n v="33967.67"/>
    <n v="123"/>
    <x v="3"/>
    <x v="0"/>
    <x v="0"/>
    <x v="218"/>
    <x v="1"/>
  </r>
  <r>
    <x v="224"/>
    <x v="1"/>
    <n v="97553.11"/>
    <x v="17"/>
    <n v="1"/>
    <x v="208"/>
    <n v="0.74060000000000004"/>
    <n v="5"/>
    <n v="80734.2"/>
    <n v="57457.46"/>
    <n v="86"/>
    <x v="2"/>
    <x v="0"/>
    <x v="2"/>
    <x v="219"/>
    <x v="1"/>
  </r>
  <r>
    <x v="225"/>
    <x v="0"/>
    <n v="133849.12"/>
    <x v="1"/>
    <n v="0"/>
    <x v="209"/>
    <n v="0.72360000000000002"/>
    <n v="5"/>
    <n v="101329.73"/>
    <n v="71423.92"/>
    <n v="36"/>
    <x v="1"/>
    <x v="1"/>
    <x v="0"/>
    <x v="220"/>
    <x v="1"/>
  </r>
  <r>
    <x v="226"/>
    <x v="5"/>
    <n v="87858.39"/>
    <x v="44"/>
    <n v="0"/>
    <x v="210"/>
    <n v="0.47539999999999999"/>
    <n v="1"/>
    <n v="36039.65"/>
    <n v="15516.65"/>
    <n v="61"/>
    <x v="2"/>
    <x v="0"/>
    <x v="0"/>
    <x v="68"/>
    <x v="1"/>
  </r>
  <r>
    <x v="227"/>
    <x v="2"/>
    <n v="132194.65"/>
    <x v="8"/>
    <n v="0"/>
    <x v="211"/>
    <n v="0.84140000000000004"/>
    <n v="7"/>
    <n v="144057.60000000001"/>
    <n v="97738.69"/>
    <n v="146"/>
    <x v="0"/>
    <x v="0"/>
    <x v="2"/>
    <x v="221"/>
    <x v="0"/>
  </r>
  <r>
    <x v="228"/>
    <x v="3"/>
    <n v="174527.08"/>
    <x v="5"/>
    <n v="1"/>
    <x v="212"/>
    <n v="0.71730000000000005"/>
    <n v="7"/>
    <n v="110487.45"/>
    <n v="84498.559999999998"/>
    <n v="171"/>
    <x v="0"/>
    <x v="2"/>
    <x v="2"/>
    <x v="24"/>
    <x v="1"/>
  </r>
  <r>
    <x v="229"/>
    <x v="5"/>
    <n v="159955.1"/>
    <x v="6"/>
    <n v="0"/>
    <x v="213"/>
    <n v="0.44569999999999999"/>
    <n v="6"/>
    <n v="55445.81"/>
    <n v="34360.85"/>
    <n v="124"/>
    <x v="0"/>
    <x v="1"/>
    <x v="0"/>
    <x v="222"/>
    <x v="1"/>
  </r>
  <r>
    <x v="230"/>
    <x v="1"/>
    <n v="45809.99"/>
    <x v="29"/>
    <n v="0"/>
    <x v="214"/>
    <n v="0.48099999999999998"/>
    <n v="4"/>
    <n v="26712.41"/>
    <n v="24199.11"/>
    <n v="44"/>
    <x v="0"/>
    <x v="2"/>
    <x v="0"/>
    <x v="223"/>
    <x v="1"/>
  </r>
  <r>
    <x v="231"/>
    <x v="4"/>
    <n v="134524.75"/>
    <x v="12"/>
    <n v="1"/>
    <x v="215"/>
    <n v="0.52869999999999995"/>
    <n v="1"/>
    <n v="81575.899999999994"/>
    <n v="62705.2"/>
    <n v="145"/>
    <x v="2"/>
    <x v="1"/>
    <x v="1"/>
    <x v="224"/>
    <x v="1"/>
  </r>
  <r>
    <x v="232"/>
    <x v="1"/>
    <n v="40196.78"/>
    <x v="17"/>
    <n v="0"/>
    <x v="216"/>
    <n v="0.15210000000000001"/>
    <n v="1"/>
    <n v="11725.81"/>
    <n v="14015.6"/>
    <n v="62"/>
    <x v="0"/>
    <x v="2"/>
    <x v="0"/>
    <x v="225"/>
    <x v="1"/>
  </r>
  <r>
    <x v="233"/>
    <x v="1"/>
    <n v="42578.67"/>
    <x v="16"/>
    <n v="1"/>
    <x v="24"/>
    <n v="0.39829999999999999"/>
    <n v="5"/>
    <n v="29870.82"/>
    <n v="22370.13"/>
    <n v="20"/>
    <x v="2"/>
    <x v="1"/>
    <x v="1"/>
    <x v="226"/>
    <x v="1"/>
  </r>
  <r>
    <x v="234"/>
    <x v="0"/>
    <n v="9552.68"/>
    <x v="25"/>
    <n v="0"/>
    <x v="24"/>
    <n v="0.55000000000000004"/>
    <n v="6"/>
    <n v="13278.62"/>
    <n v="0"/>
    <n v="157"/>
    <x v="0"/>
    <x v="2"/>
    <x v="2"/>
    <x v="227"/>
    <x v="1"/>
  </r>
  <r>
    <x v="235"/>
    <x v="1"/>
    <n v="67466.98"/>
    <x v="7"/>
    <n v="0"/>
    <x v="217"/>
    <n v="0.3594"/>
    <n v="3"/>
    <n v="25450.240000000002"/>
    <n v="14796.43"/>
    <n v="128"/>
    <x v="0"/>
    <x v="1"/>
    <x v="0"/>
    <x v="228"/>
    <x v="1"/>
  </r>
  <r>
    <x v="236"/>
    <x v="4"/>
    <n v="69202.929999999993"/>
    <x v="10"/>
    <n v="0"/>
    <x v="218"/>
    <n v="0.53159999999999996"/>
    <n v="4"/>
    <n v="34457.660000000003"/>
    <n v="13143.2"/>
    <n v="34"/>
    <x v="2"/>
    <x v="2"/>
    <x v="3"/>
    <x v="229"/>
    <x v="1"/>
  </r>
  <r>
    <x v="237"/>
    <x v="0"/>
    <n v="166584.47"/>
    <x v="2"/>
    <n v="1"/>
    <x v="219"/>
    <n v="0.58879999999999999"/>
    <n v="7"/>
    <n v="94407.46"/>
    <n v="50210.62"/>
    <n v="130"/>
    <x v="1"/>
    <x v="0"/>
    <x v="3"/>
    <x v="230"/>
    <x v="1"/>
  </r>
  <r>
    <x v="238"/>
    <x v="0"/>
    <n v="161360.95000000001"/>
    <x v="5"/>
    <n v="1"/>
    <x v="220"/>
    <n v="0.16769999999999999"/>
    <n v="0"/>
    <n v="9442.18"/>
    <n v="14854.59"/>
    <n v="81"/>
    <x v="0"/>
    <x v="2"/>
    <x v="2"/>
    <x v="231"/>
    <x v="1"/>
  </r>
  <r>
    <x v="239"/>
    <x v="0"/>
    <n v="75788.539999999994"/>
    <x v="17"/>
    <n v="0"/>
    <x v="221"/>
    <n v="0.46860000000000002"/>
    <n v="7"/>
    <n v="16820.14"/>
    <n v="15106.09"/>
    <n v="133"/>
    <x v="0"/>
    <x v="2"/>
    <x v="0"/>
    <x v="232"/>
    <x v="1"/>
  </r>
  <r>
    <x v="240"/>
    <x v="5"/>
    <n v="136202.62"/>
    <x v="14"/>
    <n v="0"/>
    <x v="24"/>
    <n v="0.56200000000000006"/>
    <n v="1"/>
    <n v="74787.34"/>
    <n v="52654.76"/>
    <n v="8"/>
    <x v="0"/>
    <x v="0"/>
    <x v="0"/>
    <x v="233"/>
    <x v="0"/>
  </r>
  <r>
    <x v="241"/>
    <x v="0"/>
    <n v="111499.26"/>
    <x v="48"/>
    <n v="1"/>
    <x v="222"/>
    <n v="0.49869999999999998"/>
    <n v="4"/>
    <n v="69020.7"/>
    <n v="47083.75"/>
    <n v="102"/>
    <x v="0"/>
    <x v="0"/>
    <x v="2"/>
    <x v="234"/>
    <x v="1"/>
  </r>
  <r>
    <x v="242"/>
    <x v="0"/>
    <n v="79686.11"/>
    <x v="28"/>
    <n v="1"/>
    <x v="223"/>
    <n v="0.41980000000000001"/>
    <n v="2"/>
    <n v="45031.39"/>
    <n v="29423.02"/>
    <n v="32"/>
    <x v="0"/>
    <x v="0"/>
    <x v="0"/>
    <x v="235"/>
    <x v="1"/>
  </r>
  <r>
    <x v="243"/>
    <x v="2"/>
    <n v="33727.980000000003"/>
    <x v="14"/>
    <n v="0"/>
    <x v="172"/>
    <n v="1"/>
    <n v="8"/>
    <n v="19167.03"/>
    <n v="113.98"/>
    <n v="161"/>
    <x v="2"/>
    <x v="0"/>
    <x v="0"/>
    <x v="236"/>
    <x v="0"/>
  </r>
  <r>
    <x v="244"/>
    <x v="4"/>
    <n v="115612.68"/>
    <x v="32"/>
    <n v="0"/>
    <x v="224"/>
    <n v="0.67820000000000003"/>
    <n v="3"/>
    <n v="71690.17"/>
    <n v="51302.92"/>
    <n v="30"/>
    <x v="0"/>
    <x v="2"/>
    <x v="2"/>
    <x v="237"/>
    <x v="1"/>
  </r>
  <r>
    <x v="245"/>
    <x v="0"/>
    <n v="125000.34"/>
    <x v="34"/>
    <n v="1"/>
    <x v="225"/>
    <n v="8.6900000000000005E-2"/>
    <n v="0"/>
    <n v="11695.76"/>
    <n v="11587.95"/>
    <n v="26"/>
    <x v="1"/>
    <x v="0"/>
    <x v="1"/>
    <x v="238"/>
    <x v="1"/>
  </r>
  <r>
    <x v="246"/>
    <x v="4"/>
    <n v="117885.51"/>
    <x v="6"/>
    <n v="1"/>
    <x v="226"/>
    <n v="0.24629999999999999"/>
    <n v="1"/>
    <n v="39863.99"/>
    <n v="20509.57"/>
    <n v="120"/>
    <x v="0"/>
    <x v="0"/>
    <x v="0"/>
    <x v="239"/>
    <x v="1"/>
  </r>
  <r>
    <x v="247"/>
    <x v="3"/>
    <n v="40465"/>
    <x v="20"/>
    <n v="0"/>
    <x v="227"/>
    <n v="0.30809999999999998"/>
    <n v="1"/>
    <n v="28038.2"/>
    <n v="29093.88"/>
    <n v="147"/>
    <x v="0"/>
    <x v="0"/>
    <x v="1"/>
    <x v="240"/>
    <x v="1"/>
  </r>
  <r>
    <x v="248"/>
    <x v="0"/>
    <n v="49315.7"/>
    <x v="17"/>
    <n v="0"/>
    <x v="228"/>
    <n v="0.60929999999999995"/>
    <n v="2"/>
    <n v="58528.83"/>
    <n v="37879.08"/>
    <n v="14"/>
    <x v="1"/>
    <x v="1"/>
    <x v="2"/>
    <x v="241"/>
    <x v="0"/>
  </r>
  <r>
    <x v="249"/>
    <x v="1"/>
    <n v="33756.870000000003"/>
    <x v="11"/>
    <n v="0"/>
    <x v="229"/>
    <n v="0.59199999999999997"/>
    <n v="4"/>
    <n v="28965.14"/>
    <n v="15161.39"/>
    <n v="26"/>
    <x v="3"/>
    <x v="0"/>
    <x v="3"/>
    <x v="242"/>
    <x v="1"/>
  </r>
  <r>
    <x v="250"/>
    <x v="5"/>
    <n v="107523.92"/>
    <x v="32"/>
    <n v="1"/>
    <x v="230"/>
    <n v="0.47989999999999999"/>
    <n v="3"/>
    <n v="40084.82"/>
    <n v="30324.61"/>
    <n v="89"/>
    <x v="2"/>
    <x v="2"/>
    <x v="2"/>
    <x v="243"/>
    <x v="1"/>
  </r>
  <r>
    <x v="251"/>
    <x v="0"/>
    <n v="95422.24"/>
    <x v="13"/>
    <n v="0"/>
    <x v="231"/>
    <n v="0.49249999999999999"/>
    <n v="1"/>
    <n v="38933.980000000003"/>
    <n v="31410.43"/>
    <n v="33"/>
    <x v="1"/>
    <x v="0"/>
    <x v="0"/>
    <x v="244"/>
    <x v="1"/>
  </r>
  <r>
    <x v="252"/>
    <x v="4"/>
    <n v="64252.26"/>
    <x v="48"/>
    <n v="0"/>
    <x v="232"/>
    <n v="0.21659999999999999"/>
    <n v="0"/>
    <n v="4824.91"/>
    <n v="4439.8900000000003"/>
    <n v="109"/>
    <x v="0"/>
    <x v="2"/>
    <x v="1"/>
    <x v="24"/>
    <x v="1"/>
  </r>
  <r>
    <x v="253"/>
    <x v="2"/>
    <n v="112792.13"/>
    <x v="18"/>
    <n v="1"/>
    <x v="233"/>
    <n v="0.48649999999999999"/>
    <n v="3"/>
    <n v="69257.3"/>
    <n v="45633.3"/>
    <n v="85"/>
    <x v="0"/>
    <x v="0"/>
    <x v="1"/>
    <x v="245"/>
    <x v="1"/>
  </r>
  <r>
    <x v="254"/>
    <x v="2"/>
    <n v="106427.41"/>
    <x v="23"/>
    <n v="1"/>
    <x v="234"/>
    <n v="0"/>
    <n v="2"/>
    <n v="500"/>
    <n v="8569.98"/>
    <n v="171"/>
    <x v="0"/>
    <x v="0"/>
    <x v="2"/>
    <x v="246"/>
    <x v="1"/>
  </r>
  <r>
    <x v="255"/>
    <x v="4"/>
    <n v="118529.26"/>
    <x v="3"/>
    <n v="1"/>
    <x v="235"/>
    <n v="0.12859999999999999"/>
    <n v="2"/>
    <n v="26131.33"/>
    <n v="14539.3"/>
    <n v="140"/>
    <x v="2"/>
    <x v="0"/>
    <x v="0"/>
    <x v="247"/>
    <x v="1"/>
  </r>
  <r>
    <x v="256"/>
    <x v="5"/>
    <n v="107718.08"/>
    <x v="15"/>
    <n v="1"/>
    <x v="236"/>
    <n v="0.62450000000000006"/>
    <n v="4"/>
    <n v="71791.69"/>
    <n v="52380.59"/>
    <n v="124"/>
    <x v="1"/>
    <x v="2"/>
    <x v="0"/>
    <x v="248"/>
    <x v="1"/>
  </r>
  <r>
    <x v="257"/>
    <x v="4"/>
    <n v="98291.01"/>
    <x v="25"/>
    <n v="1"/>
    <x v="237"/>
    <n v="0.33040000000000003"/>
    <n v="0"/>
    <n v="28103.79"/>
    <n v="24822.33"/>
    <n v="29"/>
    <x v="0"/>
    <x v="0"/>
    <x v="0"/>
    <x v="249"/>
    <x v="1"/>
  </r>
  <r>
    <x v="258"/>
    <x v="0"/>
    <n v="176621.69"/>
    <x v="6"/>
    <n v="0"/>
    <x v="238"/>
    <n v="0.42649999999999999"/>
    <n v="4"/>
    <n v="64893.95"/>
    <n v="34065.86"/>
    <n v="180"/>
    <x v="0"/>
    <x v="1"/>
    <x v="1"/>
    <x v="250"/>
    <x v="1"/>
  </r>
  <r>
    <x v="259"/>
    <x v="2"/>
    <n v="86517.38"/>
    <x v="30"/>
    <n v="1"/>
    <x v="239"/>
    <n v="1.77E-2"/>
    <n v="0"/>
    <n v="33006.449999999997"/>
    <n v="26764.93"/>
    <n v="61"/>
    <x v="1"/>
    <x v="2"/>
    <x v="2"/>
    <x v="251"/>
    <x v="1"/>
  </r>
  <r>
    <x v="260"/>
    <x v="4"/>
    <n v="133114.35"/>
    <x v="4"/>
    <n v="0"/>
    <x v="240"/>
    <n v="0.86750000000000005"/>
    <n v="4"/>
    <n v="96831.52"/>
    <n v="67360.06"/>
    <n v="78"/>
    <x v="0"/>
    <x v="0"/>
    <x v="0"/>
    <x v="252"/>
    <x v="1"/>
  </r>
  <r>
    <x v="261"/>
    <x v="3"/>
    <n v="85296.3"/>
    <x v="19"/>
    <n v="0"/>
    <x v="241"/>
    <n v="0"/>
    <n v="0"/>
    <n v="500"/>
    <n v="0"/>
    <n v="20"/>
    <x v="2"/>
    <x v="2"/>
    <x v="1"/>
    <x v="253"/>
    <x v="1"/>
  </r>
  <r>
    <x v="262"/>
    <x v="2"/>
    <n v="59682.54"/>
    <x v="6"/>
    <n v="0"/>
    <x v="242"/>
    <n v="0.19070000000000001"/>
    <n v="1"/>
    <n v="24119.9"/>
    <n v="9106.5499999999993"/>
    <n v="15"/>
    <x v="1"/>
    <x v="1"/>
    <x v="2"/>
    <x v="254"/>
    <x v="1"/>
  </r>
  <r>
    <x v="263"/>
    <x v="2"/>
    <n v="149294.07"/>
    <x v="24"/>
    <n v="0"/>
    <x v="243"/>
    <n v="0"/>
    <n v="0"/>
    <n v="500"/>
    <n v="9010.4"/>
    <n v="148"/>
    <x v="0"/>
    <x v="0"/>
    <x v="0"/>
    <x v="255"/>
    <x v="1"/>
  </r>
  <r>
    <x v="264"/>
    <x v="2"/>
    <n v="117366.22"/>
    <x v="25"/>
    <n v="0"/>
    <x v="244"/>
    <n v="0.90649999999999997"/>
    <n v="4"/>
    <n v="100381.52"/>
    <n v="50859.59"/>
    <n v="63"/>
    <x v="1"/>
    <x v="0"/>
    <x v="1"/>
    <x v="256"/>
    <x v="1"/>
  </r>
  <r>
    <x v="265"/>
    <x v="2"/>
    <n v="120499.44"/>
    <x v="38"/>
    <n v="0"/>
    <x v="245"/>
    <n v="0.49230000000000002"/>
    <n v="0"/>
    <n v="41253.800000000003"/>
    <n v="36679.89"/>
    <n v="134"/>
    <x v="0"/>
    <x v="2"/>
    <x v="1"/>
    <x v="257"/>
    <x v="1"/>
  </r>
  <r>
    <x v="266"/>
    <x v="1"/>
    <n v="107711.61"/>
    <x v="1"/>
    <n v="1"/>
    <x v="246"/>
    <n v="0"/>
    <n v="5"/>
    <n v="34454.28"/>
    <n v="7629.59"/>
    <n v="42"/>
    <x v="0"/>
    <x v="2"/>
    <x v="1"/>
    <x v="258"/>
    <x v="1"/>
  </r>
  <r>
    <x v="267"/>
    <x v="5"/>
    <n v="94953.55"/>
    <x v="24"/>
    <n v="0"/>
    <x v="247"/>
    <n v="0.49780000000000002"/>
    <n v="4"/>
    <n v="72278.75"/>
    <n v="50905.94"/>
    <n v="28"/>
    <x v="0"/>
    <x v="0"/>
    <x v="0"/>
    <x v="259"/>
    <x v="1"/>
  </r>
  <r>
    <x v="268"/>
    <x v="4"/>
    <n v="85690.17"/>
    <x v="49"/>
    <n v="1"/>
    <x v="248"/>
    <n v="0.47549999999999998"/>
    <n v="5"/>
    <n v="53923.64"/>
    <n v="37350.39"/>
    <n v="141"/>
    <x v="0"/>
    <x v="2"/>
    <x v="1"/>
    <x v="260"/>
    <x v="1"/>
  </r>
  <r>
    <x v="269"/>
    <x v="2"/>
    <n v="159205.07"/>
    <x v="41"/>
    <n v="1"/>
    <x v="249"/>
    <n v="0.57789999999999997"/>
    <n v="3"/>
    <n v="97176.9"/>
    <n v="92112.61"/>
    <n v="122"/>
    <x v="1"/>
    <x v="2"/>
    <x v="0"/>
    <x v="261"/>
    <x v="1"/>
  </r>
  <r>
    <x v="270"/>
    <x v="5"/>
    <n v="131210.03"/>
    <x v="7"/>
    <n v="0"/>
    <x v="250"/>
    <n v="0.29759999999999998"/>
    <n v="3"/>
    <n v="70844.67"/>
    <n v="42290.39"/>
    <n v="109"/>
    <x v="0"/>
    <x v="0"/>
    <x v="3"/>
    <x v="262"/>
    <x v="1"/>
  </r>
  <r>
    <x v="271"/>
    <x v="4"/>
    <n v="99192.639999999999"/>
    <x v="38"/>
    <n v="0"/>
    <x v="251"/>
    <n v="0.66949999999999998"/>
    <n v="8"/>
    <n v="73548.22"/>
    <n v="43946.82"/>
    <n v="18"/>
    <x v="1"/>
    <x v="0"/>
    <x v="0"/>
    <x v="263"/>
    <x v="1"/>
  </r>
  <r>
    <x v="272"/>
    <x v="4"/>
    <n v="111307.31"/>
    <x v="46"/>
    <n v="0"/>
    <x v="252"/>
    <n v="0.17019999999999999"/>
    <n v="3"/>
    <n v="10410.34"/>
    <n v="7941.15"/>
    <n v="167"/>
    <x v="0"/>
    <x v="0"/>
    <x v="0"/>
    <x v="264"/>
    <x v="1"/>
  </r>
  <r>
    <x v="273"/>
    <x v="1"/>
    <n v="82003.17"/>
    <x v="13"/>
    <n v="1"/>
    <x v="253"/>
    <n v="0.29709999999999998"/>
    <n v="2"/>
    <n v="16998.38"/>
    <n v="14729.65"/>
    <n v="56"/>
    <x v="1"/>
    <x v="2"/>
    <x v="2"/>
    <x v="265"/>
    <x v="1"/>
  </r>
  <r>
    <x v="274"/>
    <x v="1"/>
    <n v="61012.9"/>
    <x v="44"/>
    <n v="1"/>
    <x v="4"/>
    <n v="0.68389999999999995"/>
    <n v="4"/>
    <n v="50890.45"/>
    <n v="55814.96"/>
    <n v="90"/>
    <x v="0"/>
    <x v="0"/>
    <x v="0"/>
    <x v="266"/>
    <x v="1"/>
  </r>
  <r>
    <x v="224"/>
    <x v="3"/>
    <n v="127602.75"/>
    <x v="14"/>
    <n v="0"/>
    <x v="254"/>
    <n v="0.3029"/>
    <n v="1"/>
    <n v="6573.75"/>
    <n v="0"/>
    <n v="81"/>
    <x v="0"/>
    <x v="0"/>
    <x v="2"/>
    <x v="267"/>
    <x v="1"/>
  </r>
  <r>
    <x v="275"/>
    <x v="4"/>
    <n v="115482.28"/>
    <x v="8"/>
    <n v="0"/>
    <x v="255"/>
    <n v="0.24279999999999999"/>
    <n v="5"/>
    <n v="48944.25"/>
    <n v="37896.15"/>
    <n v="17"/>
    <x v="0"/>
    <x v="0"/>
    <x v="1"/>
    <x v="268"/>
    <x v="1"/>
  </r>
  <r>
    <x v="276"/>
    <x v="2"/>
    <n v="174022.75"/>
    <x v="0"/>
    <n v="0"/>
    <x v="256"/>
    <n v="0.3236"/>
    <n v="3"/>
    <n v="47570.38"/>
    <n v="16930.97"/>
    <n v="75"/>
    <x v="2"/>
    <x v="2"/>
    <x v="1"/>
    <x v="269"/>
    <x v="1"/>
  </r>
  <r>
    <x v="277"/>
    <x v="4"/>
    <n v="110517.14"/>
    <x v="41"/>
    <n v="1"/>
    <x v="257"/>
    <n v="0.37119999999999997"/>
    <n v="2"/>
    <n v="49287.65"/>
    <n v="30285.77"/>
    <n v="112"/>
    <x v="2"/>
    <x v="0"/>
    <x v="1"/>
    <x v="270"/>
    <x v="1"/>
  </r>
  <r>
    <x v="278"/>
    <x v="4"/>
    <n v="113436.48"/>
    <x v="26"/>
    <n v="0"/>
    <x v="258"/>
    <n v="0.46839999999999998"/>
    <n v="6"/>
    <n v="18815.34"/>
    <n v="27309.73"/>
    <n v="34"/>
    <x v="2"/>
    <x v="0"/>
    <x v="0"/>
    <x v="271"/>
    <x v="1"/>
  </r>
  <r>
    <x v="279"/>
    <x v="0"/>
    <n v="180342.92"/>
    <x v="42"/>
    <n v="0"/>
    <x v="259"/>
    <n v="0.436"/>
    <n v="0"/>
    <n v="40624.99"/>
    <n v="19358.5"/>
    <n v="177"/>
    <x v="2"/>
    <x v="2"/>
    <x v="1"/>
    <x v="272"/>
    <x v="1"/>
  </r>
  <r>
    <x v="280"/>
    <x v="5"/>
    <n v="57581.19"/>
    <x v="22"/>
    <n v="1"/>
    <x v="260"/>
    <n v="0.70960000000000001"/>
    <n v="1"/>
    <n v="59833.62"/>
    <n v="14448.71"/>
    <n v="19"/>
    <x v="0"/>
    <x v="1"/>
    <x v="1"/>
    <x v="273"/>
    <x v="1"/>
  </r>
  <r>
    <x v="281"/>
    <x v="5"/>
    <n v="62948.78"/>
    <x v="11"/>
    <n v="1"/>
    <x v="261"/>
    <n v="0.21460000000000001"/>
    <n v="2"/>
    <n v="18248.669999999998"/>
    <n v="11952.51"/>
    <n v="63"/>
    <x v="1"/>
    <x v="0"/>
    <x v="2"/>
    <x v="274"/>
    <x v="1"/>
  </r>
  <r>
    <x v="282"/>
    <x v="2"/>
    <n v="113181.26"/>
    <x v="14"/>
    <n v="1"/>
    <x v="262"/>
    <n v="0.18659999999999999"/>
    <n v="3"/>
    <n v="33063.25"/>
    <n v="22146.29"/>
    <n v="111"/>
    <x v="0"/>
    <x v="2"/>
    <x v="2"/>
    <x v="275"/>
    <x v="1"/>
  </r>
  <r>
    <x v="283"/>
    <x v="2"/>
    <n v="152401.15"/>
    <x v="9"/>
    <n v="0"/>
    <x v="263"/>
    <n v="6.3100000000000003E-2"/>
    <n v="0"/>
    <n v="500"/>
    <n v="2311.4499999999998"/>
    <n v="19"/>
    <x v="2"/>
    <x v="2"/>
    <x v="0"/>
    <x v="276"/>
    <x v="1"/>
  </r>
  <r>
    <x v="284"/>
    <x v="0"/>
    <n v="29450.62"/>
    <x v="3"/>
    <n v="0"/>
    <x v="264"/>
    <n v="0.27979999999999999"/>
    <n v="2"/>
    <n v="500"/>
    <n v="0"/>
    <n v="80"/>
    <x v="1"/>
    <x v="0"/>
    <x v="0"/>
    <x v="277"/>
    <x v="1"/>
  </r>
  <r>
    <x v="285"/>
    <x v="1"/>
    <n v="6509.34"/>
    <x v="23"/>
    <n v="0"/>
    <x v="265"/>
    <n v="0.37890000000000001"/>
    <n v="1"/>
    <n v="500"/>
    <n v="0"/>
    <n v="106"/>
    <x v="0"/>
    <x v="2"/>
    <x v="0"/>
    <x v="278"/>
    <x v="1"/>
  </r>
  <r>
    <x v="286"/>
    <x v="5"/>
    <n v="154445.35999999999"/>
    <x v="24"/>
    <n v="0"/>
    <x v="266"/>
    <n v="0.1158"/>
    <n v="1"/>
    <n v="1625.62"/>
    <n v="0"/>
    <n v="40"/>
    <x v="3"/>
    <x v="0"/>
    <x v="1"/>
    <x v="279"/>
    <x v="1"/>
  </r>
  <r>
    <x v="287"/>
    <x v="0"/>
    <n v="35549.29"/>
    <x v="9"/>
    <n v="0"/>
    <x v="267"/>
    <n v="0.50649999999999995"/>
    <n v="0"/>
    <n v="14694.06"/>
    <n v="6016.28"/>
    <n v="38"/>
    <x v="0"/>
    <x v="2"/>
    <x v="1"/>
    <x v="280"/>
    <x v="1"/>
  </r>
  <r>
    <x v="288"/>
    <x v="3"/>
    <n v="173613.28"/>
    <x v="31"/>
    <n v="0"/>
    <x v="268"/>
    <n v="0.18629999999999999"/>
    <n v="1"/>
    <n v="70539.55"/>
    <n v="64864.36"/>
    <n v="40"/>
    <x v="0"/>
    <x v="2"/>
    <x v="2"/>
    <x v="281"/>
    <x v="1"/>
  </r>
  <r>
    <x v="289"/>
    <x v="5"/>
    <n v="121297.36"/>
    <x v="10"/>
    <n v="1"/>
    <x v="269"/>
    <n v="0.2611"/>
    <n v="0"/>
    <n v="24915.15"/>
    <n v="10883.82"/>
    <n v="165"/>
    <x v="1"/>
    <x v="2"/>
    <x v="2"/>
    <x v="282"/>
    <x v="1"/>
  </r>
  <r>
    <x v="290"/>
    <x v="5"/>
    <n v="142450.15"/>
    <x v="25"/>
    <n v="0"/>
    <x v="270"/>
    <n v="0.3906"/>
    <n v="2"/>
    <n v="62312.26"/>
    <n v="29215.63"/>
    <n v="152"/>
    <x v="2"/>
    <x v="2"/>
    <x v="1"/>
    <x v="283"/>
    <x v="1"/>
  </r>
  <r>
    <x v="291"/>
    <x v="2"/>
    <n v="2000"/>
    <x v="29"/>
    <n v="1"/>
    <x v="271"/>
    <n v="0.50890000000000002"/>
    <n v="1"/>
    <n v="9318.4"/>
    <n v="6722.49"/>
    <n v="177"/>
    <x v="0"/>
    <x v="0"/>
    <x v="1"/>
    <x v="284"/>
    <x v="1"/>
  </r>
  <r>
    <x v="292"/>
    <x v="0"/>
    <n v="82951"/>
    <x v="12"/>
    <n v="0"/>
    <x v="272"/>
    <n v="0.20530000000000001"/>
    <n v="2"/>
    <n v="13186.99"/>
    <n v="10101.94"/>
    <n v="178"/>
    <x v="1"/>
    <x v="2"/>
    <x v="1"/>
    <x v="285"/>
    <x v="1"/>
  </r>
  <r>
    <x v="293"/>
    <x v="5"/>
    <n v="96136.86"/>
    <x v="20"/>
    <n v="0"/>
    <x v="24"/>
    <n v="0.31340000000000001"/>
    <n v="5"/>
    <n v="43429.66"/>
    <n v="31213.23"/>
    <n v="86"/>
    <x v="3"/>
    <x v="0"/>
    <x v="1"/>
    <x v="286"/>
    <x v="1"/>
  </r>
  <r>
    <x v="294"/>
    <x v="1"/>
    <n v="176792.11"/>
    <x v="46"/>
    <n v="1"/>
    <x v="273"/>
    <n v="0"/>
    <n v="0"/>
    <n v="500"/>
    <n v="705.3"/>
    <n v="160"/>
    <x v="0"/>
    <x v="2"/>
    <x v="0"/>
    <x v="287"/>
    <x v="1"/>
  </r>
  <r>
    <x v="295"/>
    <x v="4"/>
    <n v="107608.08"/>
    <x v="25"/>
    <n v="1"/>
    <x v="274"/>
    <n v="0.38819999999999999"/>
    <n v="1"/>
    <n v="53515.74"/>
    <n v="37850.47"/>
    <n v="73"/>
    <x v="0"/>
    <x v="2"/>
    <x v="0"/>
    <x v="288"/>
    <x v="1"/>
  </r>
  <r>
    <x v="296"/>
    <x v="3"/>
    <n v="151899.35999999999"/>
    <x v="36"/>
    <n v="0"/>
    <x v="275"/>
    <n v="0.25390000000000001"/>
    <n v="2"/>
    <n v="17778.53"/>
    <n v="17557.98"/>
    <n v="152"/>
    <x v="1"/>
    <x v="0"/>
    <x v="1"/>
    <x v="289"/>
    <x v="1"/>
  </r>
  <r>
    <x v="297"/>
    <x v="1"/>
    <n v="142587.59"/>
    <x v="9"/>
    <n v="1"/>
    <x v="276"/>
    <n v="0.56869999999999998"/>
    <n v="5"/>
    <n v="69665.13"/>
    <n v="49798.2"/>
    <n v="60"/>
    <x v="1"/>
    <x v="0"/>
    <x v="0"/>
    <x v="290"/>
    <x v="1"/>
  </r>
  <r>
    <x v="298"/>
    <x v="2"/>
    <n v="70815.91"/>
    <x v="40"/>
    <n v="0"/>
    <x v="277"/>
    <n v="0"/>
    <n v="3"/>
    <n v="1233.0999999999999"/>
    <n v="0"/>
    <n v="163"/>
    <x v="2"/>
    <x v="0"/>
    <x v="0"/>
    <x v="291"/>
    <x v="1"/>
  </r>
  <r>
    <x v="299"/>
    <x v="2"/>
    <n v="31019.22"/>
    <x v="38"/>
    <n v="1"/>
    <x v="278"/>
    <n v="0.1651"/>
    <n v="3"/>
    <n v="500"/>
    <n v="17625.62"/>
    <n v="101"/>
    <x v="1"/>
    <x v="2"/>
    <x v="1"/>
    <x v="292"/>
    <x v="1"/>
  </r>
  <r>
    <x v="300"/>
    <x v="5"/>
    <n v="152580.17000000001"/>
    <x v="14"/>
    <n v="1"/>
    <x v="279"/>
    <n v="0.35160000000000002"/>
    <n v="5"/>
    <n v="48594.03"/>
    <n v="38214.5"/>
    <n v="177"/>
    <x v="1"/>
    <x v="0"/>
    <x v="1"/>
    <x v="293"/>
    <x v="1"/>
  </r>
  <r>
    <x v="301"/>
    <x v="5"/>
    <n v="113289.65"/>
    <x v="23"/>
    <n v="0"/>
    <x v="24"/>
    <n v="0.45689999999999997"/>
    <n v="0"/>
    <n v="74862.899999999994"/>
    <n v="54989.21"/>
    <n v="45"/>
    <x v="0"/>
    <x v="2"/>
    <x v="0"/>
    <x v="294"/>
    <x v="1"/>
  </r>
  <r>
    <x v="302"/>
    <x v="3"/>
    <n v="102514"/>
    <x v="28"/>
    <n v="1"/>
    <x v="280"/>
    <n v="0.31850000000000001"/>
    <n v="2"/>
    <n v="47490.19"/>
    <n v="24034.38"/>
    <n v="10"/>
    <x v="1"/>
    <x v="0"/>
    <x v="0"/>
    <x v="295"/>
    <x v="1"/>
  </r>
  <r>
    <x v="303"/>
    <x v="5"/>
    <n v="158691.04999999999"/>
    <x v="39"/>
    <n v="0"/>
    <x v="281"/>
    <n v="0.3705"/>
    <n v="2"/>
    <n v="65190.02"/>
    <n v="46014.5"/>
    <n v="83"/>
    <x v="1"/>
    <x v="0"/>
    <x v="2"/>
    <x v="296"/>
    <x v="0"/>
  </r>
  <r>
    <x v="304"/>
    <x v="1"/>
    <n v="146700.88"/>
    <x v="44"/>
    <n v="1"/>
    <x v="282"/>
    <n v="0.37169999999999997"/>
    <n v="0"/>
    <n v="71493.08"/>
    <n v="26109.9"/>
    <n v="42"/>
    <x v="0"/>
    <x v="2"/>
    <x v="3"/>
    <x v="297"/>
    <x v="1"/>
  </r>
  <r>
    <x v="305"/>
    <x v="5"/>
    <n v="22372.23"/>
    <x v="45"/>
    <n v="1"/>
    <x v="283"/>
    <n v="9.9699999999999997E-2"/>
    <n v="0"/>
    <n v="3306.46"/>
    <n v="2277.62"/>
    <n v="158"/>
    <x v="1"/>
    <x v="2"/>
    <x v="0"/>
    <x v="298"/>
    <x v="1"/>
  </r>
  <r>
    <x v="306"/>
    <x v="3"/>
    <n v="161694.29999999999"/>
    <x v="35"/>
    <n v="1"/>
    <x v="284"/>
    <n v="0.58789999999999998"/>
    <n v="2"/>
    <n v="94365.43"/>
    <n v="57658.080000000002"/>
    <n v="55"/>
    <x v="0"/>
    <x v="2"/>
    <x v="1"/>
    <x v="299"/>
    <x v="0"/>
  </r>
  <r>
    <x v="307"/>
    <x v="0"/>
    <n v="90894.7"/>
    <x v="40"/>
    <n v="1"/>
    <x v="285"/>
    <n v="9.35E-2"/>
    <n v="2"/>
    <n v="7085.17"/>
    <n v="5987.13"/>
    <n v="31"/>
    <x v="0"/>
    <x v="2"/>
    <x v="3"/>
    <x v="300"/>
    <x v="1"/>
  </r>
  <r>
    <x v="308"/>
    <x v="3"/>
    <n v="142483.07"/>
    <x v="34"/>
    <n v="0"/>
    <x v="286"/>
    <n v="3.3799999999999997E-2"/>
    <n v="0"/>
    <n v="19773.52"/>
    <n v="5876.12"/>
    <n v="155"/>
    <x v="0"/>
    <x v="2"/>
    <x v="2"/>
    <x v="301"/>
    <x v="1"/>
  </r>
  <r>
    <x v="309"/>
    <x v="4"/>
    <n v="109084.37"/>
    <x v="5"/>
    <n v="1"/>
    <x v="287"/>
    <n v="0.31580000000000003"/>
    <n v="0"/>
    <n v="32089"/>
    <n v="31206.82"/>
    <n v="179"/>
    <x v="1"/>
    <x v="2"/>
    <x v="1"/>
    <x v="302"/>
    <x v="1"/>
  </r>
  <r>
    <x v="310"/>
    <x v="0"/>
    <n v="119798.04"/>
    <x v="25"/>
    <n v="0"/>
    <x v="288"/>
    <n v="0.31809999999999999"/>
    <n v="1"/>
    <n v="65660.08"/>
    <n v="47427.25"/>
    <n v="166"/>
    <x v="0"/>
    <x v="0"/>
    <x v="0"/>
    <x v="303"/>
    <x v="1"/>
  </r>
  <r>
    <x v="311"/>
    <x v="5"/>
    <n v="148289.84"/>
    <x v="37"/>
    <n v="0"/>
    <x v="289"/>
    <n v="0.42080000000000001"/>
    <n v="1"/>
    <n v="73750.59"/>
    <n v="53087.02"/>
    <n v="144"/>
    <x v="1"/>
    <x v="2"/>
    <x v="0"/>
    <x v="304"/>
    <x v="1"/>
  </r>
  <r>
    <x v="312"/>
    <x v="0"/>
    <n v="166309.93"/>
    <x v="34"/>
    <n v="0"/>
    <x v="290"/>
    <n v="0.61980000000000002"/>
    <n v="5"/>
    <n v="110762.08"/>
    <n v="88181.67"/>
    <n v="163"/>
    <x v="1"/>
    <x v="2"/>
    <x v="0"/>
    <x v="305"/>
    <x v="1"/>
  </r>
  <r>
    <x v="313"/>
    <x v="4"/>
    <n v="36851.839999999997"/>
    <x v="36"/>
    <n v="1"/>
    <x v="291"/>
    <n v="0.37459999999999999"/>
    <n v="0"/>
    <n v="7147.19"/>
    <n v="8919.99"/>
    <n v="130"/>
    <x v="0"/>
    <x v="0"/>
    <x v="0"/>
    <x v="306"/>
    <x v="1"/>
  </r>
  <r>
    <x v="314"/>
    <x v="3"/>
    <n v="42600.49"/>
    <x v="48"/>
    <n v="0"/>
    <x v="292"/>
    <n v="0.4521"/>
    <n v="8"/>
    <n v="31376.560000000001"/>
    <n v="13021.82"/>
    <n v="139"/>
    <x v="1"/>
    <x v="0"/>
    <x v="1"/>
    <x v="307"/>
    <x v="1"/>
  </r>
  <r>
    <x v="315"/>
    <x v="5"/>
    <n v="50430.3"/>
    <x v="48"/>
    <n v="1"/>
    <x v="293"/>
    <n v="0.1588"/>
    <n v="3"/>
    <n v="17263.55"/>
    <n v="2877.34"/>
    <n v="102"/>
    <x v="3"/>
    <x v="0"/>
    <x v="0"/>
    <x v="308"/>
    <x v="1"/>
  </r>
  <r>
    <x v="316"/>
    <x v="1"/>
    <n v="52241.14"/>
    <x v="31"/>
    <n v="1"/>
    <x v="24"/>
    <n v="0.4214"/>
    <n v="1"/>
    <n v="26014.16"/>
    <n v="14342.84"/>
    <n v="44"/>
    <x v="0"/>
    <x v="0"/>
    <x v="1"/>
    <x v="309"/>
    <x v="1"/>
  </r>
  <r>
    <x v="317"/>
    <x v="4"/>
    <n v="100120.55"/>
    <x v="32"/>
    <n v="0"/>
    <x v="24"/>
    <n v="0.68379999999999996"/>
    <n v="6"/>
    <n v="48586.15"/>
    <n v="40274.519999999997"/>
    <n v="171"/>
    <x v="2"/>
    <x v="0"/>
    <x v="0"/>
    <x v="310"/>
    <x v="1"/>
  </r>
  <r>
    <x v="318"/>
    <x v="1"/>
    <n v="78116.17"/>
    <x v="39"/>
    <n v="1"/>
    <x v="294"/>
    <n v="0.31069999999999998"/>
    <n v="4"/>
    <n v="53613.61"/>
    <n v="30214.05"/>
    <n v="150"/>
    <x v="1"/>
    <x v="2"/>
    <x v="1"/>
    <x v="311"/>
    <x v="1"/>
  </r>
  <r>
    <x v="319"/>
    <x v="2"/>
    <n v="119731.33"/>
    <x v="31"/>
    <n v="0"/>
    <x v="295"/>
    <n v="0.90190000000000003"/>
    <n v="5"/>
    <n v="121513.76"/>
    <n v="93650.39"/>
    <n v="159"/>
    <x v="0"/>
    <x v="2"/>
    <x v="1"/>
    <x v="312"/>
    <x v="1"/>
  </r>
  <r>
    <x v="320"/>
    <x v="0"/>
    <n v="52379.14"/>
    <x v="8"/>
    <n v="0"/>
    <x v="296"/>
    <n v="0.62949999999999995"/>
    <n v="2"/>
    <n v="27131.45"/>
    <n v="14252.93"/>
    <n v="57"/>
    <x v="1"/>
    <x v="1"/>
    <x v="1"/>
    <x v="313"/>
    <x v="1"/>
  </r>
  <r>
    <x v="321"/>
    <x v="3"/>
    <n v="67832.37"/>
    <x v="26"/>
    <n v="0"/>
    <x v="297"/>
    <n v="0"/>
    <n v="0"/>
    <n v="500"/>
    <n v="0"/>
    <n v="29"/>
    <x v="1"/>
    <x v="0"/>
    <x v="1"/>
    <x v="314"/>
    <x v="1"/>
  </r>
  <r>
    <x v="322"/>
    <x v="4"/>
    <n v="5217.43"/>
    <x v="6"/>
    <n v="0"/>
    <x v="298"/>
    <n v="0.50900000000000001"/>
    <n v="5"/>
    <n v="500"/>
    <n v="0"/>
    <n v="129"/>
    <x v="2"/>
    <x v="0"/>
    <x v="1"/>
    <x v="315"/>
    <x v="1"/>
  </r>
  <r>
    <x v="323"/>
    <x v="1"/>
    <n v="95035.4"/>
    <x v="2"/>
    <n v="1"/>
    <x v="299"/>
    <n v="0.22900000000000001"/>
    <n v="2"/>
    <n v="25038.85"/>
    <n v="0"/>
    <n v="27"/>
    <x v="0"/>
    <x v="2"/>
    <x v="0"/>
    <x v="316"/>
    <x v="1"/>
  </r>
  <r>
    <x v="324"/>
    <x v="1"/>
    <n v="155593.75"/>
    <x v="17"/>
    <n v="1"/>
    <x v="300"/>
    <n v="0.35730000000000001"/>
    <n v="1"/>
    <n v="62778.79"/>
    <n v="39411.61"/>
    <n v="33"/>
    <x v="0"/>
    <x v="2"/>
    <x v="0"/>
    <x v="317"/>
    <x v="1"/>
  </r>
  <r>
    <x v="325"/>
    <x v="4"/>
    <n v="51923.16"/>
    <x v="0"/>
    <n v="0"/>
    <x v="301"/>
    <n v="0.65129999999999999"/>
    <n v="4"/>
    <n v="39271.71"/>
    <n v="37803.019999999997"/>
    <n v="148"/>
    <x v="1"/>
    <x v="0"/>
    <x v="1"/>
    <x v="318"/>
    <x v="1"/>
  </r>
  <r>
    <x v="326"/>
    <x v="3"/>
    <n v="128501.62"/>
    <x v="47"/>
    <n v="1"/>
    <x v="302"/>
    <n v="0.48139999999999999"/>
    <n v="4"/>
    <n v="56157.26"/>
    <n v="37995.64"/>
    <n v="47"/>
    <x v="0"/>
    <x v="2"/>
    <x v="1"/>
    <x v="319"/>
    <x v="1"/>
  </r>
  <r>
    <x v="327"/>
    <x v="2"/>
    <n v="38447.61"/>
    <x v="12"/>
    <n v="0"/>
    <x v="303"/>
    <n v="0.74370000000000003"/>
    <n v="9"/>
    <n v="35145.56"/>
    <n v="21210.32"/>
    <n v="43"/>
    <x v="1"/>
    <x v="2"/>
    <x v="0"/>
    <x v="320"/>
    <x v="1"/>
  </r>
  <r>
    <x v="328"/>
    <x v="1"/>
    <n v="133173.44"/>
    <x v="32"/>
    <n v="0"/>
    <x v="304"/>
    <n v="0.87939999999999996"/>
    <n v="3"/>
    <n v="105162.13"/>
    <n v="50789.47"/>
    <n v="50"/>
    <x v="1"/>
    <x v="0"/>
    <x v="0"/>
    <x v="321"/>
    <x v="1"/>
  </r>
  <r>
    <x v="329"/>
    <x v="0"/>
    <n v="102273.76"/>
    <x v="39"/>
    <n v="1"/>
    <x v="305"/>
    <n v="0.46329999999999999"/>
    <n v="0"/>
    <n v="40783.879999999997"/>
    <n v="14725.74"/>
    <n v="178"/>
    <x v="0"/>
    <x v="0"/>
    <x v="0"/>
    <x v="322"/>
    <x v="1"/>
  </r>
  <r>
    <x v="330"/>
    <x v="5"/>
    <n v="217516.88"/>
    <x v="21"/>
    <n v="0"/>
    <x v="306"/>
    <n v="0.1769"/>
    <n v="1"/>
    <n v="40981.440000000002"/>
    <n v="21095.32"/>
    <n v="146"/>
    <x v="0"/>
    <x v="2"/>
    <x v="2"/>
    <x v="323"/>
    <x v="1"/>
  </r>
  <r>
    <x v="331"/>
    <x v="0"/>
    <n v="125246.64"/>
    <x v="31"/>
    <n v="1"/>
    <x v="307"/>
    <n v="0.66800000000000004"/>
    <n v="3"/>
    <n v="82467.42"/>
    <n v="55302.66"/>
    <n v="50"/>
    <x v="1"/>
    <x v="0"/>
    <x v="0"/>
    <x v="324"/>
    <x v="1"/>
  </r>
  <r>
    <x v="332"/>
    <x v="2"/>
    <n v="194888.37"/>
    <x v="19"/>
    <n v="1"/>
    <x v="308"/>
    <n v="7.85E-2"/>
    <n v="0"/>
    <n v="4826.3500000000004"/>
    <n v="13848.33"/>
    <n v="68"/>
    <x v="2"/>
    <x v="1"/>
    <x v="1"/>
    <x v="325"/>
    <x v="1"/>
  </r>
  <r>
    <x v="333"/>
    <x v="5"/>
    <n v="80940.539999999994"/>
    <x v="38"/>
    <n v="0"/>
    <x v="309"/>
    <n v="0.38790000000000002"/>
    <n v="4"/>
    <n v="33945.65"/>
    <n v="17271.89"/>
    <n v="64"/>
    <x v="2"/>
    <x v="0"/>
    <x v="0"/>
    <x v="326"/>
    <x v="1"/>
  </r>
  <r>
    <x v="334"/>
    <x v="4"/>
    <n v="74470.679999999993"/>
    <x v="34"/>
    <n v="0"/>
    <x v="310"/>
    <n v="0.60640000000000005"/>
    <n v="4"/>
    <n v="39780.26"/>
    <n v="39292.99"/>
    <n v="96"/>
    <x v="0"/>
    <x v="2"/>
    <x v="0"/>
    <x v="327"/>
    <x v="1"/>
  </r>
  <r>
    <x v="335"/>
    <x v="2"/>
    <n v="116465.93"/>
    <x v="23"/>
    <n v="0"/>
    <x v="311"/>
    <n v="0.52680000000000005"/>
    <n v="6"/>
    <n v="68469.88"/>
    <n v="41145.230000000003"/>
    <n v="57"/>
    <x v="2"/>
    <x v="2"/>
    <x v="0"/>
    <x v="328"/>
    <x v="1"/>
  </r>
  <r>
    <x v="336"/>
    <x v="0"/>
    <n v="67633.600000000006"/>
    <x v="4"/>
    <n v="0"/>
    <x v="312"/>
    <n v="0.40129999999999999"/>
    <n v="6"/>
    <n v="500"/>
    <n v="4786.6400000000003"/>
    <n v="86"/>
    <x v="1"/>
    <x v="1"/>
    <x v="2"/>
    <x v="329"/>
    <x v="1"/>
  </r>
  <r>
    <x v="337"/>
    <x v="5"/>
    <n v="2000"/>
    <x v="9"/>
    <n v="1"/>
    <x v="313"/>
    <n v="0.36649999999999999"/>
    <n v="4"/>
    <n v="500"/>
    <n v="0"/>
    <n v="114"/>
    <x v="1"/>
    <x v="2"/>
    <x v="1"/>
    <x v="330"/>
    <x v="1"/>
  </r>
  <r>
    <x v="338"/>
    <x v="3"/>
    <n v="132434.88"/>
    <x v="38"/>
    <n v="1"/>
    <x v="314"/>
    <n v="0.13700000000000001"/>
    <n v="1"/>
    <n v="15995.35"/>
    <n v="12998.81"/>
    <n v="89"/>
    <x v="1"/>
    <x v="2"/>
    <x v="0"/>
    <x v="331"/>
    <x v="1"/>
  </r>
  <r>
    <x v="339"/>
    <x v="1"/>
    <n v="76189.33"/>
    <x v="33"/>
    <n v="1"/>
    <x v="24"/>
    <n v="0.2044"/>
    <n v="3"/>
    <n v="21292.63"/>
    <n v="29080.28"/>
    <n v="101"/>
    <x v="1"/>
    <x v="0"/>
    <x v="1"/>
    <x v="332"/>
    <x v="1"/>
  </r>
  <r>
    <x v="340"/>
    <x v="1"/>
    <n v="35649.660000000003"/>
    <x v="2"/>
    <n v="1"/>
    <x v="315"/>
    <n v="0"/>
    <n v="0"/>
    <n v="500"/>
    <n v="5098.68"/>
    <n v="44"/>
    <x v="1"/>
    <x v="0"/>
    <x v="0"/>
    <x v="333"/>
    <x v="1"/>
  </r>
  <r>
    <x v="341"/>
    <x v="1"/>
    <n v="139758.9"/>
    <x v="49"/>
    <n v="0"/>
    <x v="316"/>
    <n v="0.31929999999999997"/>
    <n v="0"/>
    <n v="38669.440000000002"/>
    <n v="33359.39"/>
    <n v="151"/>
    <x v="0"/>
    <x v="0"/>
    <x v="0"/>
    <x v="334"/>
    <x v="1"/>
  </r>
  <r>
    <x v="342"/>
    <x v="3"/>
    <n v="123664.08"/>
    <x v="2"/>
    <n v="0"/>
    <x v="317"/>
    <n v="0.46989999999999998"/>
    <n v="1"/>
    <n v="72856.78"/>
    <n v="50158.67"/>
    <n v="11"/>
    <x v="1"/>
    <x v="0"/>
    <x v="1"/>
    <x v="335"/>
    <x v="1"/>
  </r>
  <r>
    <x v="343"/>
    <x v="2"/>
    <n v="32260.62"/>
    <x v="49"/>
    <n v="0"/>
    <x v="318"/>
    <n v="0.59870000000000001"/>
    <n v="7"/>
    <n v="5553.19"/>
    <n v="12926.23"/>
    <n v="130"/>
    <x v="2"/>
    <x v="0"/>
    <x v="0"/>
    <x v="336"/>
    <x v="1"/>
  </r>
  <r>
    <x v="344"/>
    <x v="0"/>
    <n v="57094.99"/>
    <x v="44"/>
    <n v="1"/>
    <x v="319"/>
    <n v="0"/>
    <n v="0"/>
    <n v="9740.75"/>
    <n v="0"/>
    <n v="26"/>
    <x v="0"/>
    <x v="0"/>
    <x v="0"/>
    <x v="337"/>
    <x v="1"/>
  </r>
  <r>
    <x v="345"/>
    <x v="1"/>
    <n v="82907.8"/>
    <x v="0"/>
    <n v="1"/>
    <x v="320"/>
    <n v="0.73160000000000003"/>
    <n v="2"/>
    <n v="83739.289999999994"/>
    <n v="61537.21"/>
    <n v="139"/>
    <x v="3"/>
    <x v="0"/>
    <x v="0"/>
    <x v="338"/>
    <x v="1"/>
  </r>
  <r>
    <x v="346"/>
    <x v="1"/>
    <n v="100499.58"/>
    <x v="23"/>
    <n v="0"/>
    <x v="321"/>
    <n v="0.30270000000000002"/>
    <n v="2"/>
    <n v="36486.46"/>
    <n v="39576.730000000003"/>
    <n v="146"/>
    <x v="0"/>
    <x v="2"/>
    <x v="1"/>
    <x v="339"/>
    <x v="1"/>
  </r>
  <r>
    <x v="347"/>
    <x v="1"/>
    <n v="139592.47"/>
    <x v="14"/>
    <n v="1"/>
    <x v="322"/>
    <n v="0.107"/>
    <n v="0"/>
    <n v="10816.55"/>
    <n v="13701.48"/>
    <n v="78"/>
    <x v="1"/>
    <x v="0"/>
    <x v="1"/>
    <x v="340"/>
    <x v="1"/>
  </r>
  <r>
    <x v="348"/>
    <x v="1"/>
    <n v="100572.05"/>
    <x v="10"/>
    <n v="1"/>
    <x v="323"/>
    <n v="0.18870000000000001"/>
    <n v="5"/>
    <n v="500"/>
    <n v="0"/>
    <n v="144"/>
    <x v="0"/>
    <x v="2"/>
    <x v="1"/>
    <x v="341"/>
    <x v="1"/>
  </r>
  <r>
    <x v="349"/>
    <x v="5"/>
    <n v="39579"/>
    <x v="24"/>
    <n v="0"/>
    <x v="324"/>
    <n v="0"/>
    <n v="0"/>
    <n v="500"/>
    <n v="981.53"/>
    <n v="28"/>
    <x v="1"/>
    <x v="0"/>
    <x v="0"/>
    <x v="342"/>
    <x v="1"/>
  </r>
  <r>
    <x v="350"/>
    <x v="4"/>
    <n v="90577.25"/>
    <x v="41"/>
    <n v="0"/>
    <x v="325"/>
    <n v="0.63380000000000003"/>
    <n v="8"/>
    <n v="59179.89"/>
    <n v="45886.45"/>
    <n v="8"/>
    <x v="2"/>
    <x v="2"/>
    <x v="1"/>
    <x v="343"/>
    <x v="1"/>
  </r>
  <r>
    <x v="351"/>
    <x v="4"/>
    <n v="62233.66"/>
    <x v="40"/>
    <n v="0"/>
    <x v="326"/>
    <n v="0.22500000000000001"/>
    <n v="2"/>
    <n v="9280.32"/>
    <n v="0"/>
    <n v="102"/>
    <x v="0"/>
    <x v="0"/>
    <x v="1"/>
    <x v="344"/>
    <x v="1"/>
  </r>
  <r>
    <x v="352"/>
    <x v="2"/>
    <n v="81589.929999999993"/>
    <x v="20"/>
    <n v="0"/>
    <x v="327"/>
    <n v="0.21240000000000001"/>
    <n v="1"/>
    <n v="500"/>
    <n v="0"/>
    <n v="52"/>
    <x v="0"/>
    <x v="0"/>
    <x v="1"/>
    <x v="345"/>
    <x v="1"/>
  </r>
  <r>
    <x v="353"/>
    <x v="1"/>
    <n v="73963.839999999997"/>
    <x v="10"/>
    <n v="1"/>
    <x v="328"/>
    <n v="0.47920000000000001"/>
    <n v="3"/>
    <n v="26051.71"/>
    <n v="14287.58"/>
    <n v="32"/>
    <x v="0"/>
    <x v="0"/>
    <x v="0"/>
    <x v="346"/>
    <x v="0"/>
  </r>
  <r>
    <x v="354"/>
    <x v="0"/>
    <n v="91008.15"/>
    <x v="35"/>
    <n v="1"/>
    <x v="329"/>
    <n v="0.58099999999999996"/>
    <n v="6"/>
    <n v="2599.4699999999998"/>
    <n v="0"/>
    <n v="90"/>
    <x v="0"/>
    <x v="2"/>
    <x v="0"/>
    <x v="347"/>
    <x v="1"/>
  </r>
  <r>
    <x v="355"/>
    <x v="1"/>
    <n v="46055.16"/>
    <x v="25"/>
    <n v="0"/>
    <x v="330"/>
    <n v="0.57050000000000001"/>
    <n v="7"/>
    <n v="37820.6"/>
    <n v="14391.63"/>
    <n v="37"/>
    <x v="3"/>
    <x v="2"/>
    <x v="0"/>
    <x v="348"/>
    <x v="1"/>
  </r>
  <r>
    <x v="356"/>
    <x v="5"/>
    <n v="84689.62"/>
    <x v="1"/>
    <n v="0"/>
    <x v="331"/>
    <n v="0.50460000000000005"/>
    <n v="0"/>
    <n v="37096.33"/>
    <n v="8358.81"/>
    <n v="85"/>
    <x v="2"/>
    <x v="0"/>
    <x v="1"/>
    <x v="349"/>
    <x v="1"/>
  </r>
  <r>
    <x v="357"/>
    <x v="2"/>
    <n v="68136.149999999994"/>
    <x v="22"/>
    <n v="1"/>
    <x v="103"/>
    <n v="0.29270000000000002"/>
    <n v="1"/>
    <n v="42718.15"/>
    <n v="18143.28"/>
    <n v="61"/>
    <x v="3"/>
    <x v="0"/>
    <x v="0"/>
    <x v="350"/>
    <x v="1"/>
  </r>
  <r>
    <x v="358"/>
    <x v="4"/>
    <n v="97566.2"/>
    <x v="37"/>
    <n v="1"/>
    <x v="332"/>
    <n v="0.36749999999999999"/>
    <n v="6"/>
    <n v="42701.14"/>
    <n v="18503.98"/>
    <n v="101"/>
    <x v="2"/>
    <x v="0"/>
    <x v="1"/>
    <x v="351"/>
    <x v="1"/>
  </r>
  <r>
    <x v="359"/>
    <x v="4"/>
    <n v="27249.58"/>
    <x v="11"/>
    <n v="1"/>
    <x v="24"/>
    <n v="0.33800000000000002"/>
    <n v="2"/>
    <n v="500"/>
    <n v="0"/>
    <n v="33"/>
    <x v="0"/>
    <x v="0"/>
    <x v="3"/>
    <x v="352"/>
    <x v="1"/>
  </r>
  <r>
    <x v="360"/>
    <x v="5"/>
    <n v="16549.73"/>
    <x v="46"/>
    <n v="0"/>
    <x v="197"/>
    <n v="0.3483"/>
    <n v="0"/>
    <n v="22495.040000000001"/>
    <n v="15247.27"/>
    <n v="118"/>
    <x v="1"/>
    <x v="2"/>
    <x v="1"/>
    <x v="353"/>
    <x v="1"/>
  </r>
  <r>
    <x v="361"/>
    <x v="4"/>
    <n v="51687.01"/>
    <x v="15"/>
    <n v="1"/>
    <x v="333"/>
    <n v="0.32529999999999998"/>
    <n v="6"/>
    <n v="33198.65"/>
    <n v="16731.66"/>
    <n v="23"/>
    <x v="1"/>
    <x v="0"/>
    <x v="2"/>
    <x v="354"/>
    <x v="1"/>
  </r>
  <r>
    <x v="362"/>
    <x v="2"/>
    <n v="77203.73"/>
    <x v="9"/>
    <n v="0"/>
    <x v="334"/>
    <n v="0.51029999999999998"/>
    <n v="7"/>
    <n v="42870.76"/>
    <n v="28521.19"/>
    <n v="22"/>
    <x v="1"/>
    <x v="2"/>
    <x v="0"/>
    <x v="355"/>
    <x v="1"/>
  </r>
  <r>
    <x v="363"/>
    <x v="4"/>
    <n v="33022.65"/>
    <x v="26"/>
    <n v="1"/>
    <x v="335"/>
    <n v="0.34689999999999999"/>
    <n v="4"/>
    <n v="8506.16"/>
    <n v="9034.43"/>
    <n v="174"/>
    <x v="0"/>
    <x v="2"/>
    <x v="0"/>
    <x v="356"/>
    <x v="1"/>
  </r>
  <r>
    <x v="364"/>
    <x v="5"/>
    <n v="68417.77"/>
    <x v="2"/>
    <n v="0"/>
    <x v="336"/>
    <n v="0.47110000000000002"/>
    <n v="1"/>
    <n v="43445.86"/>
    <n v="26818.32"/>
    <n v="18"/>
    <x v="1"/>
    <x v="2"/>
    <x v="0"/>
    <x v="357"/>
    <x v="1"/>
  </r>
  <r>
    <x v="365"/>
    <x v="4"/>
    <n v="103414.9"/>
    <x v="14"/>
    <n v="1"/>
    <x v="337"/>
    <n v="5.0299999999999997E-2"/>
    <n v="1"/>
    <n v="500"/>
    <n v="10503.96"/>
    <n v="112"/>
    <x v="2"/>
    <x v="2"/>
    <x v="0"/>
    <x v="358"/>
    <x v="1"/>
  </r>
  <r>
    <x v="366"/>
    <x v="2"/>
    <n v="52980.91"/>
    <x v="30"/>
    <n v="0"/>
    <x v="338"/>
    <n v="0.48199999999999998"/>
    <n v="2"/>
    <n v="24691.040000000001"/>
    <n v="18944.78"/>
    <n v="55"/>
    <x v="1"/>
    <x v="0"/>
    <x v="1"/>
    <x v="359"/>
    <x v="1"/>
  </r>
  <r>
    <x v="367"/>
    <x v="3"/>
    <n v="89764.05"/>
    <x v="2"/>
    <n v="1"/>
    <x v="339"/>
    <n v="0.4335"/>
    <n v="0"/>
    <n v="28239.45"/>
    <n v="5780.72"/>
    <n v="115"/>
    <x v="2"/>
    <x v="0"/>
    <x v="0"/>
    <x v="360"/>
    <x v="1"/>
  </r>
  <r>
    <x v="368"/>
    <x v="4"/>
    <n v="113678.6"/>
    <x v="31"/>
    <n v="0"/>
    <x v="340"/>
    <n v="0.48170000000000002"/>
    <n v="0"/>
    <n v="97227.03"/>
    <n v="55837.81"/>
    <n v="168"/>
    <x v="1"/>
    <x v="2"/>
    <x v="1"/>
    <x v="361"/>
    <x v="1"/>
  </r>
  <r>
    <x v="369"/>
    <x v="0"/>
    <n v="107227.14"/>
    <x v="23"/>
    <n v="0"/>
    <x v="24"/>
    <n v="0.3836"/>
    <n v="8"/>
    <n v="26856.12"/>
    <n v="24091.71"/>
    <n v="14"/>
    <x v="3"/>
    <x v="2"/>
    <x v="1"/>
    <x v="322"/>
    <x v="1"/>
  </r>
  <r>
    <x v="370"/>
    <x v="5"/>
    <n v="88421.41"/>
    <x v="5"/>
    <n v="0"/>
    <x v="341"/>
    <n v="0.61209999999999998"/>
    <n v="4"/>
    <n v="18511.650000000001"/>
    <n v="20746.79"/>
    <n v="136"/>
    <x v="1"/>
    <x v="1"/>
    <x v="0"/>
    <x v="362"/>
    <x v="0"/>
  </r>
  <r>
    <x v="371"/>
    <x v="4"/>
    <n v="74865.289999999994"/>
    <x v="3"/>
    <n v="0"/>
    <x v="342"/>
    <n v="0.54579999999999995"/>
    <n v="2"/>
    <n v="40362.83"/>
    <n v="35590.639999999999"/>
    <n v="152"/>
    <x v="1"/>
    <x v="1"/>
    <x v="1"/>
    <x v="363"/>
    <x v="1"/>
  </r>
  <r>
    <x v="372"/>
    <x v="0"/>
    <n v="11241.45"/>
    <x v="20"/>
    <n v="0"/>
    <x v="343"/>
    <n v="0"/>
    <n v="3"/>
    <n v="12129.64"/>
    <n v="21866.560000000001"/>
    <n v="103"/>
    <x v="0"/>
    <x v="0"/>
    <x v="1"/>
    <x v="364"/>
    <x v="1"/>
  </r>
  <r>
    <x v="373"/>
    <x v="1"/>
    <n v="109126.41"/>
    <x v="38"/>
    <n v="1"/>
    <x v="344"/>
    <n v="0.52249999999999996"/>
    <n v="2"/>
    <n v="45340.04"/>
    <n v="18496.98"/>
    <n v="8"/>
    <x v="1"/>
    <x v="2"/>
    <x v="0"/>
    <x v="365"/>
    <x v="1"/>
  </r>
  <r>
    <x v="374"/>
    <x v="1"/>
    <n v="83976.65"/>
    <x v="10"/>
    <n v="1"/>
    <x v="345"/>
    <n v="0.39729999999999999"/>
    <n v="6"/>
    <n v="40960.1"/>
    <n v="18743.900000000001"/>
    <n v="158"/>
    <x v="1"/>
    <x v="0"/>
    <x v="0"/>
    <x v="366"/>
    <x v="1"/>
  </r>
  <r>
    <x v="375"/>
    <x v="0"/>
    <n v="114353.5"/>
    <x v="22"/>
    <n v="0"/>
    <x v="346"/>
    <n v="0.32840000000000003"/>
    <n v="2"/>
    <n v="32451.84"/>
    <n v="25947.96"/>
    <n v="134"/>
    <x v="1"/>
    <x v="2"/>
    <x v="1"/>
    <x v="367"/>
    <x v="1"/>
  </r>
  <r>
    <x v="376"/>
    <x v="4"/>
    <n v="93575.77"/>
    <x v="17"/>
    <n v="1"/>
    <x v="347"/>
    <n v="0.72619999999999996"/>
    <n v="4"/>
    <n v="56725.45"/>
    <n v="53133.47"/>
    <n v="88"/>
    <x v="1"/>
    <x v="2"/>
    <x v="0"/>
    <x v="368"/>
    <x v="1"/>
  </r>
  <r>
    <x v="377"/>
    <x v="0"/>
    <n v="70616.28"/>
    <x v="21"/>
    <n v="0"/>
    <x v="348"/>
    <n v="0.35399999999999998"/>
    <n v="2"/>
    <n v="9983.23"/>
    <n v="29500.87"/>
    <n v="163"/>
    <x v="2"/>
    <x v="2"/>
    <x v="1"/>
    <x v="369"/>
    <x v="1"/>
  </r>
  <r>
    <x v="378"/>
    <x v="1"/>
    <n v="127351.7"/>
    <x v="8"/>
    <n v="1"/>
    <x v="349"/>
    <n v="0.69989999999999997"/>
    <n v="5"/>
    <n v="83279.69"/>
    <n v="67135.27"/>
    <n v="43"/>
    <x v="2"/>
    <x v="2"/>
    <x v="0"/>
    <x v="370"/>
    <x v="1"/>
  </r>
  <r>
    <x v="379"/>
    <x v="2"/>
    <n v="127664.4"/>
    <x v="43"/>
    <n v="0"/>
    <x v="350"/>
    <n v="0.1981"/>
    <n v="4"/>
    <n v="29763.42"/>
    <n v="31687.33"/>
    <n v="72"/>
    <x v="1"/>
    <x v="2"/>
    <x v="3"/>
    <x v="371"/>
    <x v="1"/>
  </r>
  <r>
    <x v="380"/>
    <x v="2"/>
    <n v="27092.92"/>
    <x v="4"/>
    <n v="1"/>
    <x v="351"/>
    <n v="0.36780000000000002"/>
    <n v="4"/>
    <n v="13667.8"/>
    <n v="6367.75"/>
    <n v="125"/>
    <x v="1"/>
    <x v="0"/>
    <x v="0"/>
    <x v="372"/>
    <x v="1"/>
  </r>
  <r>
    <x v="381"/>
    <x v="0"/>
    <n v="129554.4"/>
    <x v="2"/>
    <n v="1"/>
    <x v="352"/>
    <n v="0.89890000000000003"/>
    <n v="5"/>
    <n v="110037.28"/>
    <n v="59782.97"/>
    <n v="103"/>
    <x v="1"/>
    <x v="2"/>
    <x v="2"/>
    <x v="373"/>
    <x v="0"/>
  </r>
  <r>
    <x v="382"/>
    <x v="3"/>
    <n v="95838.5"/>
    <x v="1"/>
    <n v="0"/>
    <x v="353"/>
    <n v="0.39889999999999998"/>
    <n v="3"/>
    <n v="36831.230000000003"/>
    <n v="21945.119999999999"/>
    <n v="91"/>
    <x v="1"/>
    <x v="2"/>
    <x v="0"/>
    <x v="374"/>
    <x v="1"/>
  </r>
  <r>
    <x v="383"/>
    <x v="2"/>
    <n v="66525.16"/>
    <x v="9"/>
    <n v="0"/>
    <x v="354"/>
    <n v="0.38550000000000001"/>
    <n v="3"/>
    <n v="24930.75"/>
    <n v="26195.37"/>
    <n v="13"/>
    <x v="2"/>
    <x v="1"/>
    <x v="0"/>
    <x v="375"/>
    <x v="1"/>
  </r>
  <r>
    <x v="384"/>
    <x v="5"/>
    <n v="127683.03"/>
    <x v="32"/>
    <n v="0"/>
    <x v="355"/>
    <n v="0.82879999999999998"/>
    <n v="3"/>
    <n v="92172.33"/>
    <n v="49668.18"/>
    <n v="45"/>
    <x v="1"/>
    <x v="0"/>
    <x v="1"/>
    <x v="376"/>
    <x v="1"/>
  </r>
  <r>
    <x v="385"/>
    <x v="2"/>
    <n v="134253.01"/>
    <x v="16"/>
    <n v="1"/>
    <x v="356"/>
    <n v="0"/>
    <n v="0"/>
    <n v="8381.16"/>
    <n v="1189.3900000000001"/>
    <n v="140"/>
    <x v="2"/>
    <x v="0"/>
    <x v="2"/>
    <x v="377"/>
    <x v="1"/>
  </r>
  <r>
    <x v="386"/>
    <x v="3"/>
    <n v="24759.91"/>
    <x v="44"/>
    <n v="1"/>
    <x v="47"/>
    <n v="0.69089999999999996"/>
    <n v="5"/>
    <n v="14716.77"/>
    <n v="2605.21"/>
    <n v="13"/>
    <x v="2"/>
    <x v="2"/>
    <x v="0"/>
    <x v="378"/>
    <x v="1"/>
  </r>
  <r>
    <x v="387"/>
    <x v="1"/>
    <n v="2000"/>
    <x v="24"/>
    <n v="1"/>
    <x v="357"/>
    <n v="0.58260000000000001"/>
    <n v="3"/>
    <n v="2461.71"/>
    <n v="0"/>
    <n v="53"/>
    <x v="0"/>
    <x v="1"/>
    <x v="1"/>
    <x v="379"/>
    <x v="1"/>
  </r>
  <r>
    <x v="388"/>
    <x v="2"/>
    <n v="51843.19"/>
    <x v="5"/>
    <n v="0"/>
    <x v="358"/>
    <n v="0.18210000000000001"/>
    <n v="1"/>
    <n v="500"/>
    <n v="0"/>
    <n v="172"/>
    <x v="1"/>
    <x v="2"/>
    <x v="1"/>
    <x v="380"/>
    <x v="1"/>
  </r>
  <r>
    <x v="389"/>
    <x v="3"/>
    <n v="94020.07"/>
    <x v="11"/>
    <n v="0"/>
    <x v="359"/>
    <n v="0.95879999999999999"/>
    <n v="4"/>
    <n v="100269.12"/>
    <n v="68359.740000000005"/>
    <n v="177"/>
    <x v="3"/>
    <x v="2"/>
    <x v="0"/>
    <x v="381"/>
    <x v="1"/>
  </r>
  <r>
    <x v="390"/>
    <x v="3"/>
    <n v="32039.56"/>
    <x v="7"/>
    <n v="0"/>
    <x v="360"/>
    <n v="0"/>
    <n v="2"/>
    <n v="500"/>
    <n v="2104.48"/>
    <n v="103"/>
    <x v="1"/>
    <x v="0"/>
    <x v="2"/>
    <x v="382"/>
    <x v="1"/>
  </r>
  <r>
    <x v="391"/>
    <x v="2"/>
    <n v="27209.3"/>
    <x v="47"/>
    <n v="0"/>
    <x v="361"/>
    <n v="0.46970000000000001"/>
    <n v="0"/>
    <n v="500"/>
    <n v="4813.6400000000003"/>
    <n v="16"/>
    <x v="2"/>
    <x v="0"/>
    <x v="1"/>
    <x v="383"/>
    <x v="1"/>
  </r>
  <r>
    <x v="392"/>
    <x v="4"/>
    <n v="88708.44"/>
    <x v="11"/>
    <n v="0"/>
    <x v="362"/>
    <n v="0.34179999999999999"/>
    <n v="2"/>
    <n v="44933.32"/>
    <n v="24733.759999999998"/>
    <n v="124"/>
    <x v="0"/>
    <x v="0"/>
    <x v="2"/>
    <x v="384"/>
    <x v="1"/>
  </r>
  <r>
    <x v="393"/>
    <x v="5"/>
    <n v="131303.24"/>
    <x v="6"/>
    <n v="0"/>
    <x v="363"/>
    <n v="1.7899999999999999E-2"/>
    <n v="2"/>
    <n v="22091.49"/>
    <n v="22968.58"/>
    <n v="145"/>
    <x v="0"/>
    <x v="0"/>
    <x v="1"/>
    <x v="385"/>
    <x v="1"/>
  </r>
  <r>
    <x v="394"/>
    <x v="1"/>
    <n v="144214.04999999999"/>
    <x v="1"/>
    <n v="1"/>
    <x v="364"/>
    <n v="0.32690000000000002"/>
    <n v="1"/>
    <n v="66525.61"/>
    <n v="45801.35"/>
    <n v="37"/>
    <x v="0"/>
    <x v="2"/>
    <x v="1"/>
    <x v="386"/>
    <x v="1"/>
  </r>
  <r>
    <x v="395"/>
    <x v="3"/>
    <n v="70772.3"/>
    <x v="9"/>
    <n v="0"/>
    <x v="365"/>
    <n v="0.28749999999999998"/>
    <n v="1"/>
    <n v="16076.8"/>
    <n v="8188.56"/>
    <n v="49"/>
    <x v="2"/>
    <x v="2"/>
    <x v="1"/>
    <x v="387"/>
    <x v="1"/>
  </r>
  <r>
    <x v="396"/>
    <x v="5"/>
    <n v="163406.82999999999"/>
    <x v="47"/>
    <n v="0"/>
    <x v="366"/>
    <n v="0.46800000000000003"/>
    <n v="2"/>
    <n v="38563.85"/>
    <n v="27516.11"/>
    <n v="39"/>
    <x v="3"/>
    <x v="0"/>
    <x v="1"/>
    <x v="388"/>
    <x v="0"/>
  </r>
  <r>
    <x v="397"/>
    <x v="1"/>
    <n v="37126.17"/>
    <x v="45"/>
    <n v="1"/>
    <x v="367"/>
    <n v="0.17299999999999999"/>
    <n v="0"/>
    <n v="10972.27"/>
    <n v="18965.68"/>
    <n v="122"/>
    <x v="1"/>
    <x v="0"/>
    <x v="1"/>
    <x v="389"/>
    <x v="1"/>
  </r>
  <r>
    <x v="398"/>
    <x v="5"/>
    <n v="146626.5"/>
    <x v="40"/>
    <n v="0"/>
    <x v="368"/>
    <n v="0.2457"/>
    <n v="2"/>
    <n v="40660.980000000003"/>
    <n v="25982.59"/>
    <n v="14"/>
    <x v="1"/>
    <x v="2"/>
    <x v="0"/>
    <x v="390"/>
    <x v="1"/>
  </r>
  <r>
    <x v="399"/>
    <x v="0"/>
    <n v="134542.76"/>
    <x v="25"/>
    <n v="1"/>
    <x v="369"/>
    <n v="0.5081"/>
    <n v="4"/>
    <n v="56010.32"/>
    <n v="28980.59"/>
    <n v="152"/>
    <x v="2"/>
    <x v="0"/>
    <x v="1"/>
    <x v="391"/>
    <x v="1"/>
  </r>
  <r>
    <x v="400"/>
    <x v="5"/>
    <n v="40397.9"/>
    <x v="30"/>
    <n v="1"/>
    <x v="370"/>
    <n v="0.87870000000000004"/>
    <n v="6"/>
    <n v="12639.72"/>
    <n v="9263.31"/>
    <n v="126"/>
    <x v="0"/>
    <x v="2"/>
    <x v="0"/>
    <x v="392"/>
    <x v="1"/>
  </r>
  <r>
    <x v="401"/>
    <x v="3"/>
    <n v="21403.31"/>
    <x v="26"/>
    <n v="0"/>
    <x v="371"/>
    <n v="0.70389999999999997"/>
    <n v="5"/>
    <n v="33316.51"/>
    <n v="20750.919999999998"/>
    <n v="28"/>
    <x v="1"/>
    <x v="2"/>
    <x v="2"/>
    <x v="393"/>
    <x v="1"/>
  </r>
  <r>
    <x v="402"/>
    <x v="0"/>
    <n v="86811.58"/>
    <x v="10"/>
    <n v="1"/>
    <x v="372"/>
    <n v="0.72650000000000003"/>
    <n v="1"/>
    <n v="39064.67"/>
    <n v="19259.55"/>
    <n v="167"/>
    <x v="1"/>
    <x v="2"/>
    <x v="2"/>
    <x v="394"/>
    <x v="1"/>
  </r>
  <r>
    <x v="403"/>
    <x v="3"/>
    <n v="82571.850000000006"/>
    <x v="38"/>
    <n v="0"/>
    <x v="373"/>
    <n v="0.74639999999999995"/>
    <n v="5"/>
    <n v="83116.53"/>
    <n v="71223.210000000006"/>
    <n v="163"/>
    <x v="3"/>
    <x v="0"/>
    <x v="0"/>
    <x v="395"/>
    <x v="0"/>
  </r>
  <r>
    <x v="404"/>
    <x v="2"/>
    <n v="66245.13"/>
    <x v="1"/>
    <n v="1"/>
    <x v="374"/>
    <n v="0.22189999999999999"/>
    <n v="3"/>
    <n v="19939.04"/>
    <n v="121.21"/>
    <n v="35"/>
    <x v="1"/>
    <x v="0"/>
    <x v="1"/>
    <x v="396"/>
    <x v="1"/>
  </r>
  <r>
    <x v="405"/>
    <x v="5"/>
    <n v="117501.01"/>
    <x v="33"/>
    <n v="1"/>
    <x v="375"/>
    <n v="0.68410000000000004"/>
    <n v="0"/>
    <n v="63508.22"/>
    <n v="44947.89"/>
    <n v="15"/>
    <x v="1"/>
    <x v="0"/>
    <x v="1"/>
    <x v="397"/>
    <x v="1"/>
  </r>
  <r>
    <x v="406"/>
    <x v="0"/>
    <n v="54964.38"/>
    <x v="13"/>
    <n v="1"/>
    <x v="376"/>
    <n v="0.36280000000000001"/>
    <n v="0"/>
    <n v="17385.68"/>
    <n v="7807.07"/>
    <n v="10"/>
    <x v="0"/>
    <x v="2"/>
    <x v="1"/>
    <x v="398"/>
    <x v="1"/>
  </r>
  <r>
    <x v="407"/>
    <x v="1"/>
    <n v="17925.45"/>
    <x v="0"/>
    <n v="0"/>
    <x v="24"/>
    <n v="0.52280000000000004"/>
    <n v="2"/>
    <n v="500"/>
    <n v="7382.69"/>
    <n v="48"/>
    <x v="1"/>
    <x v="0"/>
    <x v="1"/>
    <x v="399"/>
    <x v="1"/>
  </r>
  <r>
    <x v="408"/>
    <x v="5"/>
    <n v="33542.5"/>
    <x v="10"/>
    <n v="0"/>
    <x v="377"/>
    <n v="0.20730000000000001"/>
    <n v="5"/>
    <n v="22884.799999999999"/>
    <n v="4789.07"/>
    <n v="83"/>
    <x v="0"/>
    <x v="0"/>
    <x v="0"/>
    <x v="400"/>
    <x v="1"/>
  </r>
  <r>
    <x v="409"/>
    <x v="3"/>
    <n v="107290.77"/>
    <x v="46"/>
    <n v="1"/>
    <x v="378"/>
    <n v="0"/>
    <n v="0"/>
    <n v="7175.57"/>
    <n v="1026.69"/>
    <n v="93"/>
    <x v="2"/>
    <x v="2"/>
    <x v="1"/>
    <x v="401"/>
    <x v="1"/>
  </r>
  <r>
    <x v="410"/>
    <x v="5"/>
    <n v="65293.8"/>
    <x v="42"/>
    <n v="1"/>
    <x v="379"/>
    <n v="0.28050000000000003"/>
    <n v="2"/>
    <n v="1889.63"/>
    <n v="0"/>
    <n v="7"/>
    <x v="0"/>
    <x v="0"/>
    <x v="2"/>
    <x v="402"/>
    <x v="1"/>
  </r>
  <r>
    <x v="411"/>
    <x v="1"/>
    <n v="42827.05"/>
    <x v="2"/>
    <n v="0"/>
    <x v="24"/>
    <n v="3.6299999999999999E-2"/>
    <n v="0"/>
    <n v="500"/>
    <n v="10103.36"/>
    <n v="85"/>
    <x v="1"/>
    <x v="0"/>
    <x v="0"/>
    <x v="403"/>
    <x v="1"/>
  </r>
  <r>
    <x v="412"/>
    <x v="2"/>
    <n v="144017.39000000001"/>
    <x v="4"/>
    <n v="1"/>
    <x v="380"/>
    <n v="0.49580000000000002"/>
    <n v="3"/>
    <n v="74003.460000000006"/>
    <n v="45927.24"/>
    <n v="58"/>
    <x v="1"/>
    <x v="2"/>
    <x v="0"/>
    <x v="404"/>
    <x v="1"/>
  </r>
  <r>
    <x v="413"/>
    <x v="1"/>
    <n v="109568.73"/>
    <x v="44"/>
    <n v="1"/>
    <x v="381"/>
    <n v="0.7107"/>
    <n v="5"/>
    <n v="69270.23"/>
    <n v="47627.519999999997"/>
    <n v="39"/>
    <x v="0"/>
    <x v="1"/>
    <x v="0"/>
    <x v="405"/>
    <x v="1"/>
  </r>
  <r>
    <x v="414"/>
    <x v="4"/>
    <n v="102755.14"/>
    <x v="47"/>
    <n v="0"/>
    <x v="382"/>
    <n v="0.2097"/>
    <n v="3"/>
    <n v="1618.01"/>
    <n v="0"/>
    <n v="56"/>
    <x v="1"/>
    <x v="2"/>
    <x v="1"/>
    <x v="406"/>
    <x v="1"/>
  </r>
  <r>
    <x v="415"/>
    <x v="4"/>
    <n v="91817.64"/>
    <x v="41"/>
    <n v="0"/>
    <x v="383"/>
    <n v="0.77559999999999996"/>
    <n v="6"/>
    <n v="69061.25"/>
    <n v="37347.879999999997"/>
    <n v="85"/>
    <x v="1"/>
    <x v="2"/>
    <x v="1"/>
    <x v="407"/>
    <x v="1"/>
  </r>
  <r>
    <x v="416"/>
    <x v="3"/>
    <n v="121819.88"/>
    <x v="26"/>
    <n v="0"/>
    <x v="384"/>
    <n v="0.63729999999999998"/>
    <n v="6"/>
    <n v="108231.79"/>
    <n v="65499.24"/>
    <n v="89"/>
    <x v="1"/>
    <x v="0"/>
    <x v="1"/>
    <x v="408"/>
    <x v="1"/>
  </r>
  <r>
    <x v="417"/>
    <x v="4"/>
    <n v="63270.9"/>
    <x v="27"/>
    <n v="0"/>
    <x v="385"/>
    <n v="0.2102"/>
    <n v="4"/>
    <n v="500"/>
    <n v="0"/>
    <n v="33"/>
    <x v="0"/>
    <x v="2"/>
    <x v="1"/>
    <x v="409"/>
    <x v="1"/>
  </r>
  <r>
    <x v="418"/>
    <x v="2"/>
    <n v="80695.22"/>
    <x v="26"/>
    <n v="1"/>
    <x v="386"/>
    <n v="0.54700000000000004"/>
    <n v="3"/>
    <n v="44754.68"/>
    <n v="33710.519999999997"/>
    <n v="116"/>
    <x v="2"/>
    <x v="0"/>
    <x v="1"/>
    <x v="410"/>
    <x v="1"/>
  </r>
  <r>
    <x v="419"/>
    <x v="0"/>
    <n v="95763.59"/>
    <x v="28"/>
    <n v="1"/>
    <x v="387"/>
    <n v="0.37369999999999998"/>
    <n v="0"/>
    <n v="39616.06"/>
    <n v="28222.36"/>
    <n v="158"/>
    <x v="1"/>
    <x v="2"/>
    <x v="2"/>
    <x v="411"/>
    <x v="1"/>
  </r>
  <r>
    <x v="420"/>
    <x v="1"/>
    <n v="190546.55"/>
    <x v="2"/>
    <n v="0"/>
    <x v="388"/>
    <n v="9.0499999999999997E-2"/>
    <n v="2"/>
    <n v="5150.8999999999996"/>
    <n v="1536.89"/>
    <n v="61"/>
    <x v="2"/>
    <x v="2"/>
    <x v="2"/>
    <x v="412"/>
    <x v="1"/>
  </r>
  <r>
    <x v="421"/>
    <x v="0"/>
    <n v="115350.11"/>
    <x v="36"/>
    <n v="0"/>
    <x v="389"/>
    <n v="0.2014"/>
    <n v="2"/>
    <n v="11025.48"/>
    <n v="1714.44"/>
    <n v="58"/>
    <x v="1"/>
    <x v="0"/>
    <x v="1"/>
    <x v="413"/>
    <x v="1"/>
  </r>
  <r>
    <x v="422"/>
    <x v="2"/>
    <n v="70105.56"/>
    <x v="29"/>
    <n v="0"/>
    <x v="390"/>
    <n v="0"/>
    <n v="3"/>
    <n v="500"/>
    <n v="0"/>
    <n v="38"/>
    <x v="2"/>
    <x v="0"/>
    <x v="2"/>
    <x v="414"/>
    <x v="1"/>
  </r>
  <r>
    <x v="423"/>
    <x v="4"/>
    <n v="147664.17000000001"/>
    <x v="21"/>
    <n v="1"/>
    <x v="391"/>
    <n v="0.55710000000000004"/>
    <n v="4"/>
    <n v="97907.31"/>
    <n v="68286"/>
    <n v="157"/>
    <x v="1"/>
    <x v="0"/>
    <x v="0"/>
    <x v="415"/>
    <x v="1"/>
  </r>
  <r>
    <x v="424"/>
    <x v="4"/>
    <n v="128258.12"/>
    <x v="22"/>
    <n v="1"/>
    <x v="392"/>
    <n v="0.64410000000000001"/>
    <n v="5"/>
    <n v="70798.539999999994"/>
    <n v="47044.63"/>
    <n v="177"/>
    <x v="0"/>
    <x v="0"/>
    <x v="1"/>
    <x v="416"/>
    <x v="1"/>
  </r>
  <r>
    <x v="425"/>
    <x v="4"/>
    <n v="139411.76"/>
    <x v="41"/>
    <n v="1"/>
    <x v="393"/>
    <n v="0.70889999999999997"/>
    <n v="5"/>
    <n v="84539.19"/>
    <n v="55383.26"/>
    <n v="160"/>
    <x v="2"/>
    <x v="2"/>
    <x v="1"/>
    <x v="417"/>
    <x v="1"/>
  </r>
  <r>
    <x v="426"/>
    <x v="5"/>
    <n v="128246.1"/>
    <x v="5"/>
    <n v="0"/>
    <x v="394"/>
    <n v="0.71319999999999995"/>
    <n v="1"/>
    <n v="77799.67"/>
    <n v="57017.42"/>
    <n v="111"/>
    <x v="2"/>
    <x v="2"/>
    <x v="0"/>
    <x v="418"/>
    <x v="1"/>
  </r>
  <r>
    <x v="427"/>
    <x v="4"/>
    <n v="47086"/>
    <x v="16"/>
    <n v="0"/>
    <x v="395"/>
    <n v="1.9699999999999999E-2"/>
    <n v="1"/>
    <n v="16180.98"/>
    <n v="21234.1"/>
    <n v="77"/>
    <x v="1"/>
    <x v="0"/>
    <x v="2"/>
    <x v="419"/>
    <x v="1"/>
  </r>
  <r>
    <x v="428"/>
    <x v="2"/>
    <n v="116848.74"/>
    <x v="4"/>
    <n v="0"/>
    <x v="396"/>
    <n v="0.56689999999999996"/>
    <n v="4"/>
    <n v="53849.01"/>
    <n v="48942.67"/>
    <n v="8"/>
    <x v="1"/>
    <x v="2"/>
    <x v="1"/>
    <x v="420"/>
    <x v="1"/>
  </r>
  <r>
    <x v="429"/>
    <x v="4"/>
    <n v="2000"/>
    <x v="34"/>
    <n v="0"/>
    <x v="397"/>
    <n v="0.3836"/>
    <n v="3"/>
    <n v="22849.19"/>
    <n v="11549.72"/>
    <n v="150"/>
    <x v="0"/>
    <x v="2"/>
    <x v="1"/>
    <x v="421"/>
    <x v="1"/>
  </r>
  <r>
    <x v="430"/>
    <x v="2"/>
    <n v="60932.06"/>
    <x v="23"/>
    <n v="0"/>
    <x v="398"/>
    <n v="0.25530000000000003"/>
    <n v="4"/>
    <n v="24376.69"/>
    <n v="19278.91"/>
    <n v="39"/>
    <x v="1"/>
    <x v="0"/>
    <x v="0"/>
    <x v="422"/>
    <x v="1"/>
  </r>
  <r>
    <x v="431"/>
    <x v="2"/>
    <n v="11499.88"/>
    <x v="23"/>
    <n v="1"/>
    <x v="399"/>
    <n v="0.55830000000000002"/>
    <n v="5"/>
    <n v="10569.75"/>
    <n v="241.65"/>
    <n v="66"/>
    <x v="1"/>
    <x v="2"/>
    <x v="2"/>
    <x v="423"/>
    <x v="1"/>
  </r>
  <r>
    <x v="432"/>
    <x v="4"/>
    <n v="105772"/>
    <x v="36"/>
    <n v="0"/>
    <x v="400"/>
    <n v="4.3799999999999999E-2"/>
    <n v="0"/>
    <n v="12302.07"/>
    <n v="2374.06"/>
    <n v="48"/>
    <x v="0"/>
    <x v="2"/>
    <x v="0"/>
    <x v="424"/>
    <x v="1"/>
  </r>
  <r>
    <x v="433"/>
    <x v="4"/>
    <n v="90769.8"/>
    <x v="44"/>
    <n v="1"/>
    <x v="401"/>
    <n v="0.1229"/>
    <n v="2"/>
    <n v="500"/>
    <n v="3212.74"/>
    <n v="142"/>
    <x v="0"/>
    <x v="2"/>
    <x v="0"/>
    <x v="425"/>
    <x v="1"/>
  </r>
  <r>
    <x v="434"/>
    <x v="4"/>
    <n v="145158.21"/>
    <x v="34"/>
    <n v="1"/>
    <x v="402"/>
    <n v="0.27950000000000003"/>
    <n v="0"/>
    <n v="6054.04"/>
    <n v="3643.26"/>
    <n v="142"/>
    <x v="1"/>
    <x v="1"/>
    <x v="0"/>
    <x v="426"/>
    <x v="1"/>
  </r>
  <r>
    <x v="435"/>
    <x v="3"/>
    <n v="115583.6"/>
    <x v="0"/>
    <n v="1"/>
    <x v="403"/>
    <n v="0.46200000000000002"/>
    <n v="1"/>
    <n v="38996.1"/>
    <n v="19839.080000000002"/>
    <n v="178"/>
    <x v="1"/>
    <x v="2"/>
    <x v="1"/>
    <x v="427"/>
    <x v="1"/>
  </r>
  <r>
    <x v="436"/>
    <x v="4"/>
    <n v="128408.15"/>
    <x v="25"/>
    <n v="0"/>
    <x v="404"/>
    <n v="0.43359999999999999"/>
    <n v="3"/>
    <n v="55979.42"/>
    <n v="29527.3"/>
    <n v="120"/>
    <x v="1"/>
    <x v="2"/>
    <x v="0"/>
    <x v="428"/>
    <x v="0"/>
  </r>
  <r>
    <x v="437"/>
    <x v="5"/>
    <n v="78733.48"/>
    <x v="31"/>
    <n v="1"/>
    <x v="405"/>
    <n v="0.13700000000000001"/>
    <n v="0"/>
    <n v="31147.11"/>
    <n v="17107.39"/>
    <n v="36"/>
    <x v="0"/>
    <x v="2"/>
    <x v="0"/>
    <x v="429"/>
    <x v="1"/>
  </r>
  <r>
    <x v="438"/>
    <x v="3"/>
    <n v="25226.17"/>
    <x v="25"/>
    <n v="0"/>
    <x v="406"/>
    <n v="0.1656"/>
    <n v="1"/>
    <n v="20999.26"/>
    <n v="26847.95"/>
    <n v="76"/>
    <x v="2"/>
    <x v="2"/>
    <x v="1"/>
    <x v="430"/>
    <x v="1"/>
  </r>
  <r>
    <x v="439"/>
    <x v="3"/>
    <n v="86387.51"/>
    <x v="0"/>
    <n v="1"/>
    <x v="24"/>
    <n v="0.44159999999999999"/>
    <n v="1"/>
    <n v="35530.870000000003"/>
    <n v="30869.119999999999"/>
    <n v="73"/>
    <x v="0"/>
    <x v="0"/>
    <x v="3"/>
    <x v="431"/>
    <x v="1"/>
  </r>
  <r>
    <x v="440"/>
    <x v="0"/>
    <n v="132796.64000000001"/>
    <x v="2"/>
    <n v="0"/>
    <x v="407"/>
    <n v="0.73619999999999997"/>
    <n v="5"/>
    <n v="118875.06"/>
    <n v="101718.35"/>
    <n v="32"/>
    <x v="0"/>
    <x v="0"/>
    <x v="1"/>
    <x v="432"/>
    <x v="1"/>
  </r>
  <r>
    <x v="441"/>
    <x v="3"/>
    <n v="142441.24"/>
    <x v="6"/>
    <n v="1"/>
    <x v="408"/>
    <n v="3.0499999999999999E-2"/>
    <n v="0"/>
    <n v="500"/>
    <n v="0"/>
    <n v="90"/>
    <x v="2"/>
    <x v="2"/>
    <x v="1"/>
    <x v="433"/>
    <x v="1"/>
  </r>
  <r>
    <x v="442"/>
    <x v="1"/>
    <n v="70729.95"/>
    <x v="32"/>
    <n v="1"/>
    <x v="409"/>
    <n v="0"/>
    <n v="0"/>
    <n v="500"/>
    <n v="14512.12"/>
    <n v="129"/>
    <x v="0"/>
    <x v="2"/>
    <x v="3"/>
    <x v="434"/>
    <x v="1"/>
  </r>
  <r>
    <x v="443"/>
    <x v="3"/>
    <n v="85058.58"/>
    <x v="6"/>
    <n v="0"/>
    <x v="410"/>
    <n v="0.66039999999999999"/>
    <n v="5"/>
    <n v="62130.7"/>
    <n v="43035.98"/>
    <n v="123"/>
    <x v="2"/>
    <x v="0"/>
    <x v="0"/>
    <x v="435"/>
    <x v="1"/>
  </r>
  <r>
    <x v="444"/>
    <x v="3"/>
    <n v="50459.09"/>
    <x v="30"/>
    <n v="0"/>
    <x v="411"/>
    <n v="0"/>
    <n v="0"/>
    <n v="500"/>
    <n v="10063.629999999999"/>
    <n v="54"/>
    <x v="0"/>
    <x v="0"/>
    <x v="1"/>
    <x v="197"/>
    <x v="1"/>
  </r>
  <r>
    <x v="445"/>
    <x v="5"/>
    <n v="73804.149999999994"/>
    <x v="49"/>
    <n v="0"/>
    <x v="412"/>
    <n v="0.21740000000000001"/>
    <n v="0"/>
    <n v="42794.3"/>
    <n v="25989.98"/>
    <n v="10"/>
    <x v="0"/>
    <x v="0"/>
    <x v="1"/>
    <x v="436"/>
    <x v="1"/>
  </r>
  <r>
    <x v="446"/>
    <x v="1"/>
    <n v="95998.54"/>
    <x v="4"/>
    <n v="0"/>
    <x v="413"/>
    <n v="0.31409999999999999"/>
    <n v="4"/>
    <n v="16611.16"/>
    <n v="7848.26"/>
    <n v="24"/>
    <x v="0"/>
    <x v="0"/>
    <x v="1"/>
    <x v="437"/>
    <x v="1"/>
  </r>
  <r>
    <x v="447"/>
    <x v="2"/>
    <n v="101991.66"/>
    <x v="20"/>
    <n v="1"/>
    <x v="414"/>
    <n v="0.37469999999999998"/>
    <n v="2"/>
    <n v="16357.46"/>
    <n v="0"/>
    <n v="30"/>
    <x v="1"/>
    <x v="0"/>
    <x v="1"/>
    <x v="438"/>
    <x v="1"/>
  </r>
  <r>
    <x v="448"/>
    <x v="2"/>
    <n v="70569.27"/>
    <x v="26"/>
    <n v="1"/>
    <x v="415"/>
    <n v="0.84399999999999997"/>
    <n v="1"/>
    <n v="71812.240000000005"/>
    <n v="62715.37"/>
    <n v="89"/>
    <x v="0"/>
    <x v="2"/>
    <x v="1"/>
    <x v="439"/>
    <x v="1"/>
  </r>
  <r>
    <x v="449"/>
    <x v="4"/>
    <n v="120401.57"/>
    <x v="39"/>
    <n v="0"/>
    <x v="416"/>
    <n v="0.21149999999999999"/>
    <n v="1"/>
    <n v="31476.959999999999"/>
    <n v="24057.72"/>
    <n v="112"/>
    <x v="0"/>
    <x v="0"/>
    <x v="0"/>
    <x v="440"/>
    <x v="1"/>
  </r>
  <r>
    <x v="450"/>
    <x v="5"/>
    <n v="149388.06"/>
    <x v="24"/>
    <n v="0"/>
    <x v="417"/>
    <n v="0.1186"/>
    <n v="3"/>
    <n v="19412.009999999998"/>
    <n v="16178.67"/>
    <n v="28"/>
    <x v="1"/>
    <x v="2"/>
    <x v="0"/>
    <x v="441"/>
    <x v="1"/>
  </r>
  <r>
    <x v="451"/>
    <x v="4"/>
    <n v="103419.64"/>
    <x v="41"/>
    <n v="0"/>
    <x v="418"/>
    <n v="0.49719999999999998"/>
    <n v="6"/>
    <n v="36120.620000000003"/>
    <n v="20199.96"/>
    <n v="50"/>
    <x v="1"/>
    <x v="0"/>
    <x v="0"/>
    <x v="442"/>
    <x v="1"/>
  </r>
  <r>
    <x v="452"/>
    <x v="0"/>
    <n v="90077.84"/>
    <x v="30"/>
    <n v="0"/>
    <x v="419"/>
    <n v="0.41949999999999998"/>
    <n v="3"/>
    <n v="45261.48"/>
    <n v="27054.29"/>
    <n v="98"/>
    <x v="2"/>
    <x v="1"/>
    <x v="1"/>
    <x v="443"/>
    <x v="1"/>
  </r>
  <r>
    <x v="453"/>
    <x v="1"/>
    <n v="68463.94"/>
    <x v="12"/>
    <n v="0"/>
    <x v="420"/>
    <n v="0.55449999999999999"/>
    <n v="7"/>
    <n v="22348.41"/>
    <n v="0"/>
    <n v="127"/>
    <x v="1"/>
    <x v="0"/>
    <x v="2"/>
    <x v="444"/>
    <x v="1"/>
  </r>
  <r>
    <x v="454"/>
    <x v="1"/>
    <n v="104260.41"/>
    <x v="19"/>
    <n v="1"/>
    <x v="421"/>
    <n v="0.79020000000000001"/>
    <n v="4"/>
    <n v="77929.179999999993"/>
    <n v="46199.87"/>
    <n v="51"/>
    <x v="0"/>
    <x v="0"/>
    <x v="1"/>
    <x v="445"/>
    <x v="0"/>
  </r>
  <r>
    <x v="455"/>
    <x v="0"/>
    <n v="94502.69"/>
    <x v="16"/>
    <n v="0"/>
    <x v="422"/>
    <n v="0.32350000000000001"/>
    <n v="3"/>
    <n v="24668.32"/>
    <n v="12541.18"/>
    <n v="34"/>
    <x v="0"/>
    <x v="0"/>
    <x v="1"/>
    <x v="446"/>
    <x v="1"/>
  </r>
  <r>
    <x v="456"/>
    <x v="0"/>
    <n v="58145.45"/>
    <x v="22"/>
    <n v="0"/>
    <x v="423"/>
    <n v="0.3574"/>
    <n v="1"/>
    <n v="24887.69"/>
    <n v="12479.39"/>
    <n v="101"/>
    <x v="0"/>
    <x v="2"/>
    <x v="1"/>
    <x v="447"/>
    <x v="1"/>
  </r>
  <r>
    <x v="457"/>
    <x v="2"/>
    <n v="96943.2"/>
    <x v="20"/>
    <n v="1"/>
    <x v="186"/>
    <n v="0.2157"/>
    <n v="1"/>
    <n v="33772.42"/>
    <n v="30067.62"/>
    <n v="113"/>
    <x v="0"/>
    <x v="0"/>
    <x v="2"/>
    <x v="448"/>
    <x v="1"/>
  </r>
  <r>
    <x v="458"/>
    <x v="3"/>
    <n v="41845.9"/>
    <x v="26"/>
    <n v="0"/>
    <x v="424"/>
    <n v="0.21640000000000001"/>
    <n v="0"/>
    <n v="5527.5"/>
    <n v="0"/>
    <n v="61"/>
    <x v="1"/>
    <x v="2"/>
    <x v="0"/>
    <x v="449"/>
    <x v="1"/>
  </r>
  <r>
    <x v="459"/>
    <x v="4"/>
    <n v="87062.52"/>
    <x v="10"/>
    <n v="1"/>
    <x v="425"/>
    <n v="0.23760000000000001"/>
    <n v="2"/>
    <n v="53255.47"/>
    <n v="24506.71"/>
    <n v="152"/>
    <x v="2"/>
    <x v="0"/>
    <x v="0"/>
    <x v="450"/>
    <x v="1"/>
  </r>
  <r>
    <x v="460"/>
    <x v="3"/>
    <n v="85989.55"/>
    <x v="29"/>
    <n v="1"/>
    <x v="426"/>
    <n v="0.34449999999999997"/>
    <n v="3"/>
    <n v="3044.48"/>
    <n v="0"/>
    <n v="148"/>
    <x v="2"/>
    <x v="2"/>
    <x v="0"/>
    <x v="451"/>
    <x v="1"/>
  </r>
  <r>
    <x v="461"/>
    <x v="5"/>
    <n v="69054.710000000006"/>
    <x v="14"/>
    <n v="1"/>
    <x v="427"/>
    <n v="0.76990000000000003"/>
    <n v="5"/>
    <n v="61919.56"/>
    <n v="52493.63"/>
    <n v="152"/>
    <x v="1"/>
    <x v="0"/>
    <x v="1"/>
    <x v="452"/>
    <x v="1"/>
  </r>
  <r>
    <x v="462"/>
    <x v="2"/>
    <n v="2000"/>
    <x v="3"/>
    <n v="1"/>
    <x v="428"/>
    <n v="0.1211"/>
    <n v="4"/>
    <n v="500"/>
    <n v="0"/>
    <n v="141"/>
    <x v="0"/>
    <x v="0"/>
    <x v="0"/>
    <x v="453"/>
    <x v="1"/>
  </r>
  <r>
    <x v="463"/>
    <x v="4"/>
    <n v="12778.99"/>
    <x v="8"/>
    <n v="1"/>
    <x v="429"/>
    <n v="0.85040000000000004"/>
    <n v="7"/>
    <n v="10417.02"/>
    <n v="4017.55"/>
    <n v="178"/>
    <x v="1"/>
    <x v="0"/>
    <x v="0"/>
    <x v="454"/>
    <x v="1"/>
  </r>
  <r>
    <x v="464"/>
    <x v="3"/>
    <n v="92807.89"/>
    <x v="6"/>
    <n v="1"/>
    <x v="430"/>
    <n v="0.3664"/>
    <n v="2"/>
    <n v="24180.26"/>
    <n v="21637.21"/>
    <n v="35"/>
    <x v="1"/>
    <x v="2"/>
    <x v="1"/>
    <x v="455"/>
    <x v="1"/>
  </r>
  <r>
    <x v="465"/>
    <x v="3"/>
    <n v="68021.679999999993"/>
    <x v="11"/>
    <n v="1"/>
    <x v="431"/>
    <n v="0.43580000000000002"/>
    <n v="5"/>
    <n v="27181.35"/>
    <n v="27013.1"/>
    <n v="76"/>
    <x v="0"/>
    <x v="0"/>
    <x v="1"/>
    <x v="456"/>
    <x v="1"/>
  </r>
  <r>
    <x v="466"/>
    <x v="5"/>
    <n v="89228.73"/>
    <x v="49"/>
    <n v="1"/>
    <x v="432"/>
    <n v="0.12230000000000001"/>
    <n v="0"/>
    <n v="31075.68"/>
    <n v="25745.94"/>
    <n v="22"/>
    <x v="0"/>
    <x v="2"/>
    <x v="0"/>
    <x v="457"/>
    <x v="1"/>
  </r>
  <r>
    <x v="467"/>
    <x v="2"/>
    <n v="139055.85"/>
    <x v="28"/>
    <n v="1"/>
    <x v="24"/>
    <n v="0.55530000000000002"/>
    <n v="4"/>
    <n v="71484.37"/>
    <n v="48331.199999999997"/>
    <n v="58"/>
    <x v="1"/>
    <x v="2"/>
    <x v="0"/>
    <x v="458"/>
    <x v="1"/>
  </r>
  <r>
    <x v="468"/>
    <x v="3"/>
    <n v="79323.08"/>
    <x v="21"/>
    <n v="0"/>
    <x v="433"/>
    <n v="0.59670000000000001"/>
    <n v="5"/>
    <n v="48642.71"/>
    <n v="41755.24"/>
    <n v="139"/>
    <x v="1"/>
    <x v="0"/>
    <x v="0"/>
    <x v="459"/>
    <x v="1"/>
  </r>
  <r>
    <x v="469"/>
    <x v="5"/>
    <n v="62153"/>
    <x v="20"/>
    <n v="1"/>
    <x v="434"/>
    <n v="9.0399999999999994E-2"/>
    <n v="0"/>
    <n v="500"/>
    <n v="3088.01"/>
    <n v="84"/>
    <x v="0"/>
    <x v="0"/>
    <x v="1"/>
    <x v="24"/>
    <x v="1"/>
  </r>
  <r>
    <x v="470"/>
    <x v="5"/>
    <n v="75893.59"/>
    <x v="21"/>
    <n v="0"/>
    <x v="435"/>
    <n v="1"/>
    <n v="5"/>
    <n v="69869.679999999993"/>
    <n v="39563.58"/>
    <n v="50"/>
    <x v="2"/>
    <x v="2"/>
    <x v="1"/>
    <x v="460"/>
    <x v="0"/>
  </r>
  <r>
    <x v="471"/>
    <x v="4"/>
    <n v="90990.43"/>
    <x v="10"/>
    <n v="1"/>
    <x v="436"/>
    <n v="0.15939999999999999"/>
    <n v="0"/>
    <n v="7563.97"/>
    <n v="9277.9699999999993"/>
    <n v="14"/>
    <x v="1"/>
    <x v="1"/>
    <x v="0"/>
    <x v="461"/>
    <x v="1"/>
  </r>
  <r>
    <x v="472"/>
    <x v="5"/>
    <n v="129015.47"/>
    <x v="38"/>
    <n v="0"/>
    <x v="437"/>
    <n v="0.27800000000000002"/>
    <n v="1"/>
    <n v="35892.89"/>
    <n v="20187.21"/>
    <n v="7"/>
    <x v="3"/>
    <x v="2"/>
    <x v="1"/>
    <x v="462"/>
    <x v="1"/>
  </r>
  <r>
    <x v="473"/>
    <x v="2"/>
    <n v="62968.46"/>
    <x v="11"/>
    <n v="0"/>
    <x v="24"/>
    <n v="0.72409999999999997"/>
    <n v="4"/>
    <n v="57258.59"/>
    <n v="54047.78"/>
    <n v="119"/>
    <x v="0"/>
    <x v="0"/>
    <x v="1"/>
    <x v="463"/>
    <x v="1"/>
  </r>
  <r>
    <x v="474"/>
    <x v="4"/>
    <n v="106881.21"/>
    <x v="43"/>
    <n v="0"/>
    <x v="438"/>
    <n v="0.67779999999999996"/>
    <n v="3"/>
    <n v="74640.06"/>
    <n v="52202.43"/>
    <n v="155"/>
    <x v="1"/>
    <x v="2"/>
    <x v="1"/>
    <x v="464"/>
    <x v="1"/>
  </r>
  <r>
    <x v="475"/>
    <x v="0"/>
    <n v="165767.48000000001"/>
    <x v="8"/>
    <n v="1"/>
    <x v="439"/>
    <n v="0.34939999999999999"/>
    <n v="1"/>
    <n v="48084.72"/>
    <n v="36061.68"/>
    <n v="87"/>
    <x v="1"/>
    <x v="2"/>
    <x v="0"/>
    <x v="465"/>
    <x v="1"/>
  </r>
  <r>
    <x v="476"/>
    <x v="0"/>
    <n v="50751.96"/>
    <x v="29"/>
    <n v="0"/>
    <x v="440"/>
    <n v="0.57640000000000002"/>
    <n v="3"/>
    <n v="42881.87"/>
    <n v="43027.46"/>
    <n v="28"/>
    <x v="0"/>
    <x v="2"/>
    <x v="1"/>
    <x v="466"/>
    <x v="1"/>
  </r>
  <r>
    <x v="477"/>
    <x v="1"/>
    <n v="64821.74"/>
    <x v="32"/>
    <n v="1"/>
    <x v="441"/>
    <n v="0.65800000000000003"/>
    <n v="3"/>
    <n v="49195.51"/>
    <n v="31627.7"/>
    <n v="156"/>
    <x v="1"/>
    <x v="0"/>
    <x v="0"/>
    <x v="467"/>
    <x v="1"/>
  </r>
  <r>
    <x v="478"/>
    <x v="5"/>
    <n v="85993.76"/>
    <x v="16"/>
    <n v="0"/>
    <x v="442"/>
    <n v="0.29249999999999998"/>
    <n v="0"/>
    <n v="43068.49"/>
    <n v="20586.87"/>
    <n v="151"/>
    <x v="2"/>
    <x v="0"/>
    <x v="0"/>
    <x v="468"/>
    <x v="1"/>
  </r>
  <r>
    <x v="479"/>
    <x v="2"/>
    <n v="77530.28"/>
    <x v="30"/>
    <n v="1"/>
    <x v="443"/>
    <n v="0.50780000000000003"/>
    <n v="2"/>
    <n v="23783.08"/>
    <n v="12738.16"/>
    <n v="12"/>
    <x v="2"/>
    <x v="0"/>
    <x v="0"/>
    <x v="469"/>
    <x v="1"/>
  </r>
  <r>
    <x v="480"/>
    <x v="3"/>
    <n v="40525.94"/>
    <x v="4"/>
    <n v="0"/>
    <x v="444"/>
    <n v="0.23780000000000001"/>
    <n v="0"/>
    <n v="10804.21"/>
    <n v="8181.45"/>
    <n v="76"/>
    <x v="1"/>
    <x v="1"/>
    <x v="1"/>
    <x v="470"/>
    <x v="1"/>
  </r>
  <r>
    <x v="481"/>
    <x v="4"/>
    <n v="42195.93"/>
    <x v="19"/>
    <n v="1"/>
    <x v="445"/>
    <n v="0.20280000000000001"/>
    <n v="0"/>
    <n v="5960.46"/>
    <n v="323.17"/>
    <n v="137"/>
    <x v="1"/>
    <x v="0"/>
    <x v="0"/>
    <x v="471"/>
    <x v="1"/>
  </r>
  <r>
    <x v="482"/>
    <x v="1"/>
    <n v="77584.27"/>
    <x v="20"/>
    <n v="1"/>
    <x v="446"/>
    <n v="0.51229999999999998"/>
    <n v="3"/>
    <n v="55231.87"/>
    <n v="45685.65"/>
    <n v="80"/>
    <x v="0"/>
    <x v="2"/>
    <x v="0"/>
    <x v="472"/>
    <x v="1"/>
  </r>
  <r>
    <x v="483"/>
    <x v="5"/>
    <n v="36911.96"/>
    <x v="31"/>
    <n v="0"/>
    <x v="447"/>
    <n v="0.4052"/>
    <n v="0"/>
    <n v="34496.65"/>
    <n v="9313.39"/>
    <n v="83"/>
    <x v="0"/>
    <x v="2"/>
    <x v="0"/>
    <x v="473"/>
    <x v="1"/>
  </r>
  <r>
    <x v="484"/>
    <x v="4"/>
    <n v="81010.77"/>
    <x v="41"/>
    <n v="0"/>
    <x v="448"/>
    <n v="0.3725"/>
    <n v="1"/>
    <n v="31471.14"/>
    <n v="22133.29"/>
    <n v="45"/>
    <x v="1"/>
    <x v="2"/>
    <x v="1"/>
    <x v="474"/>
    <x v="1"/>
  </r>
  <r>
    <x v="485"/>
    <x v="3"/>
    <n v="48881.4"/>
    <x v="49"/>
    <n v="1"/>
    <x v="449"/>
    <n v="0.30930000000000002"/>
    <n v="0"/>
    <n v="20174.88"/>
    <n v="2152.23"/>
    <n v="25"/>
    <x v="0"/>
    <x v="0"/>
    <x v="0"/>
    <x v="475"/>
    <x v="1"/>
  </r>
  <r>
    <x v="486"/>
    <x v="1"/>
    <n v="146251.4"/>
    <x v="46"/>
    <n v="0"/>
    <x v="450"/>
    <n v="0.1845"/>
    <n v="2"/>
    <n v="13311.16"/>
    <n v="9675.34"/>
    <n v="36"/>
    <x v="0"/>
    <x v="2"/>
    <x v="0"/>
    <x v="476"/>
    <x v="1"/>
  </r>
  <r>
    <x v="487"/>
    <x v="3"/>
    <n v="106771.76"/>
    <x v="14"/>
    <n v="1"/>
    <x v="451"/>
    <n v="2.2200000000000001E-2"/>
    <n v="2"/>
    <n v="4606.57"/>
    <n v="4277.03"/>
    <n v="129"/>
    <x v="2"/>
    <x v="0"/>
    <x v="0"/>
    <x v="477"/>
    <x v="1"/>
  </r>
  <r>
    <x v="488"/>
    <x v="1"/>
    <n v="37946.74"/>
    <x v="38"/>
    <n v="0"/>
    <x v="452"/>
    <n v="0.35959999999999998"/>
    <n v="2"/>
    <n v="15687.68"/>
    <n v="14360.66"/>
    <n v="160"/>
    <x v="0"/>
    <x v="1"/>
    <x v="0"/>
    <x v="478"/>
    <x v="1"/>
  </r>
  <r>
    <x v="489"/>
    <x v="4"/>
    <n v="163247.26999999999"/>
    <x v="0"/>
    <n v="0"/>
    <x v="453"/>
    <n v="0.61929999999999996"/>
    <n v="3"/>
    <n v="110517.47"/>
    <n v="92361.91"/>
    <n v="162"/>
    <x v="0"/>
    <x v="2"/>
    <x v="0"/>
    <x v="479"/>
    <x v="1"/>
  </r>
  <r>
    <x v="490"/>
    <x v="3"/>
    <n v="86439.54"/>
    <x v="1"/>
    <n v="0"/>
    <x v="454"/>
    <n v="0.36580000000000001"/>
    <n v="2"/>
    <n v="30224.97"/>
    <n v="19196.8"/>
    <n v="135"/>
    <x v="2"/>
    <x v="0"/>
    <x v="1"/>
    <x v="480"/>
    <x v="1"/>
  </r>
  <r>
    <x v="491"/>
    <x v="4"/>
    <n v="80088.490000000005"/>
    <x v="21"/>
    <n v="1"/>
    <x v="455"/>
    <n v="0.66080000000000005"/>
    <n v="4"/>
    <n v="37636.75"/>
    <n v="23588.69"/>
    <n v="86"/>
    <x v="0"/>
    <x v="0"/>
    <x v="0"/>
    <x v="481"/>
    <x v="1"/>
  </r>
  <r>
    <x v="492"/>
    <x v="1"/>
    <n v="19920.45"/>
    <x v="39"/>
    <n v="0"/>
    <x v="456"/>
    <n v="0.54410000000000003"/>
    <n v="2"/>
    <n v="21817.7"/>
    <n v="15548.61"/>
    <n v="119"/>
    <x v="0"/>
    <x v="0"/>
    <x v="3"/>
    <x v="482"/>
    <x v="1"/>
  </r>
  <r>
    <x v="493"/>
    <x v="5"/>
    <n v="149363.99"/>
    <x v="22"/>
    <n v="0"/>
    <x v="457"/>
    <n v="0.622"/>
    <n v="3"/>
    <n v="115288.11"/>
    <n v="64027.55"/>
    <n v="178"/>
    <x v="0"/>
    <x v="0"/>
    <x v="1"/>
    <x v="483"/>
    <x v="1"/>
  </r>
  <r>
    <x v="494"/>
    <x v="0"/>
    <n v="102744.36"/>
    <x v="16"/>
    <n v="1"/>
    <x v="24"/>
    <n v="0.3422"/>
    <n v="3"/>
    <n v="29458.85"/>
    <n v="20074.36"/>
    <n v="57"/>
    <x v="1"/>
    <x v="1"/>
    <x v="0"/>
    <x v="484"/>
    <x v="1"/>
  </r>
  <r>
    <x v="495"/>
    <x v="1"/>
    <n v="84357.15"/>
    <x v="47"/>
    <n v="1"/>
    <x v="458"/>
    <n v="0.43359999999999999"/>
    <n v="0"/>
    <n v="37645.58"/>
    <n v="8831.31"/>
    <n v="108"/>
    <x v="1"/>
    <x v="2"/>
    <x v="3"/>
    <x v="485"/>
    <x v="1"/>
  </r>
  <r>
    <x v="496"/>
    <x v="3"/>
    <n v="85782.11"/>
    <x v="15"/>
    <n v="1"/>
    <x v="459"/>
    <n v="0.51929999999999998"/>
    <n v="0"/>
    <n v="44904.26"/>
    <n v="35089.360000000001"/>
    <n v="19"/>
    <x v="2"/>
    <x v="0"/>
    <x v="0"/>
    <x v="486"/>
    <x v="1"/>
  </r>
  <r>
    <x v="497"/>
    <x v="2"/>
    <n v="58294.45"/>
    <x v="30"/>
    <n v="0"/>
    <x v="460"/>
    <n v="0.31890000000000002"/>
    <n v="1"/>
    <n v="40788.68"/>
    <n v="32137.33"/>
    <n v="132"/>
    <x v="2"/>
    <x v="0"/>
    <x v="1"/>
    <x v="487"/>
    <x v="1"/>
  </r>
  <r>
    <x v="498"/>
    <x v="0"/>
    <n v="92145.86"/>
    <x v="49"/>
    <n v="1"/>
    <x v="461"/>
    <n v="0.22170000000000001"/>
    <n v="4"/>
    <n v="23571.99"/>
    <n v="18343.48"/>
    <n v="86"/>
    <x v="2"/>
    <x v="0"/>
    <x v="0"/>
    <x v="488"/>
    <x v="1"/>
  </r>
  <r>
    <x v="499"/>
    <x v="0"/>
    <n v="47834.91"/>
    <x v="47"/>
    <n v="0"/>
    <x v="462"/>
    <n v="0.5363"/>
    <n v="5"/>
    <n v="19958.82"/>
    <n v="18571.990000000002"/>
    <n v="34"/>
    <x v="1"/>
    <x v="0"/>
    <x v="1"/>
    <x v="489"/>
    <x v="1"/>
  </r>
  <r>
    <x v="500"/>
    <x v="0"/>
    <n v="77580.490000000005"/>
    <x v="44"/>
    <n v="0"/>
    <x v="463"/>
    <n v="0.38950000000000001"/>
    <n v="0"/>
    <n v="31550.92"/>
    <n v="13404.46"/>
    <n v="78"/>
    <x v="0"/>
    <x v="0"/>
    <x v="0"/>
    <x v="490"/>
    <x v="1"/>
  </r>
  <r>
    <x v="501"/>
    <x v="4"/>
    <n v="46881.02"/>
    <x v="43"/>
    <n v="0"/>
    <x v="464"/>
    <n v="0.43340000000000001"/>
    <n v="0"/>
    <n v="8718.0400000000009"/>
    <n v="12629.46"/>
    <n v="97"/>
    <x v="1"/>
    <x v="0"/>
    <x v="0"/>
    <x v="491"/>
    <x v="1"/>
  </r>
  <r>
    <x v="502"/>
    <x v="5"/>
    <n v="128743.37"/>
    <x v="20"/>
    <n v="1"/>
    <x v="465"/>
    <n v="0.48530000000000001"/>
    <n v="3"/>
    <n v="65029.84"/>
    <n v="44194.01"/>
    <n v="114"/>
    <x v="1"/>
    <x v="1"/>
    <x v="0"/>
    <x v="492"/>
    <x v="1"/>
  </r>
  <r>
    <x v="503"/>
    <x v="2"/>
    <n v="2000"/>
    <x v="48"/>
    <n v="1"/>
    <x v="466"/>
    <n v="0.2006"/>
    <n v="1"/>
    <n v="14594.62"/>
    <n v="13472.6"/>
    <n v="178"/>
    <x v="0"/>
    <x v="0"/>
    <x v="2"/>
    <x v="493"/>
    <x v="1"/>
  </r>
  <r>
    <x v="504"/>
    <x v="1"/>
    <n v="66408.77"/>
    <x v="29"/>
    <n v="0"/>
    <x v="467"/>
    <n v="0.73899999999999999"/>
    <n v="5"/>
    <n v="48112.17"/>
    <n v="37621.760000000002"/>
    <n v="73"/>
    <x v="0"/>
    <x v="1"/>
    <x v="0"/>
    <x v="494"/>
    <x v="1"/>
  </r>
  <r>
    <x v="505"/>
    <x v="1"/>
    <n v="89117.05"/>
    <x v="16"/>
    <n v="0"/>
    <x v="468"/>
    <n v="0.58760000000000001"/>
    <n v="4"/>
    <n v="76955.72"/>
    <n v="55526.84"/>
    <n v="127"/>
    <x v="1"/>
    <x v="0"/>
    <x v="0"/>
    <x v="495"/>
    <x v="1"/>
  </r>
  <r>
    <x v="506"/>
    <x v="2"/>
    <n v="42284.62"/>
    <x v="4"/>
    <n v="1"/>
    <x v="236"/>
    <n v="0.35849999999999999"/>
    <n v="0"/>
    <n v="27260.58"/>
    <n v="4124.17"/>
    <n v="52"/>
    <x v="2"/>
    <x v="2"/>
    <x v="1"/>
    <x v="426"/>
    <x v="1"/>
  </r>
  <r>
    <x v="507"/>
    <x v="0"/>
    <n v="23828.37"/>
    <x v="23"/>
    <n v="0"/>
    <x v="469"/>
    <n v="0.5827"/>
    <n v="3"/>
    <n v="500"/>
    <n v="0"/>
    <n v="117"/>
    <x v="2"/>
    <x v="2"/>
    <x v="0"/>
    <x v="496"/>
    <x v="1"/>
  </r>
  <r>
    <x v="508"/>
    <x v="3"/>
    <n v="137750.82999999999"/>
    <x v="23"/>
    <n v="0"/>
    <x v="470"/>
    <n v="0.2059"/>
    <n v="0"/>
    <n v="33558.49"/>
    <n v="23332.76"/>
    <n v="58"/>
    <x v="2"/>
    <x v="0"/>
    <x v="0"/>
    <x v="497"/>
    <x v="1"/>
  </r>
  <r>
    <x v="509"/>
    <x v="4"/>
    <n v="77236.87"/>
    <x v="18"/>
    <n v="1"/>
    <x v="471"/>
    <n v="0.52339999999999998"/>
    <n v="4"/>
    <n v="41204.75"/>
    <n v="40773.31"/>
    <n v="124"/>
    <x v="1"/>
    <x v="1"/>
    <x v="0"/>
    <x v="498"/>
    <x v="1"/>
  </r>
  <r>
    <x v="510"/>
    <x v="2"/>
    <n v="73111.66"/>
    <x v="43"/>
    <n v="1"/>
    <x v="472"/>
    <n v="0.85040000000000004"/>
    <n v="4"/>
    <n v="54334.86"/>
    <n v="48910.64"/>
    <n v="130"/>
    <x v="2"/>
    <x v="0"/>
    <x v="2"/>
    <x v="499"/>
    <x v="1"/>
  </r>
  <r>
    <x v="511"/>
    <x v="5"/>
    <n v="85156.92"/>
    <x v="13"/>
    <n v="1"/>
    <x v="473"/>
    <n v="0.69740000000000002"/>
    <n v="2"/>
    <n v="70744.490000000005"/>
    <n v="44772.13"/>
    <n v="41"/>
    <x v="0"/>
    <x v="2"/>
    <x v="1"/>
    <x v="500"/>
    <x v="1"/>
  </r>
  <r>
    <x v="512"/>
    <x v="2"/>
    <n v="135704.70000000001"/>
    <x v="27"/>
    <n v="0"/>
    <x v="474"/>
    <n v="0.3206"/>
    <n v="3"/>
    <n v="36170.26"/>
    <n v="37028.89"/>
    <n v="90"/>
    <x v="2"/>
    <x v="2"/>
    <x v="2"/>
    <x v="501"/>
    <x v="1"/>
  </r>
  <r>
    <x v="513"/>
    <x v="3"/>
    <n v="119002.22"/>
    <x v="2"/>
    <n v="1"/>
    <x v="475"/>
    <n v="0.69989999999999997"/>
    <n v="9"/>
    <n v="72617.83"/>
    <n v="50048.71"/>
    <n v="156"/>
    <x v="0"/>
    <x v="2"/>
    <x v="1"/>
    <x v="502"/>
    <x v="1"/>
  </r>
  <r>
    <x v="514"/>
    <x v="0"/>
    <n v="126838.9"/>
    <x v="18"/>
    <n v="0"/>
    <x v="24"/>
    <n v="0.28249999999999997"/>
    <n v="4"/>
    <n v="30338.78"/>
    <n v="21093.13"/>
    <n v="11"/>
    <x v="1"/>
    <x v="1"/>
    <x v="0"/>
    <x v="503"/>
    <x v="1"/>
  </r>
  <r>
    <x v="515"/>
    <x v="5"/>
    <n v="94567.48"/>
    <x v="4"/>
    <n v="0"/>
    <x v="476"/>
    <n v="0.42059999999999997"/>
    <n v="5"/>
    <n v="26003.64"/>
    <n v="35814.93"/>
    <n v="98"/>
    <x v="2"/>
    <x v="2"/>
    <x v="1"/>
    <x v="504"/>
    <x v="0"/>
  </r>
  <r>
    <x v="516"/>
    <x v="4"/>
    <n v="138460.31"/>
    <x v="37"/>
    <n v="0"/>
    <x v="24"/>
    <n v="0.15409999999999999"/>
    <n v="0"/>
    <n v="54753.37"/>
    <n v="44084.23"/>
    <n v="47"/>
    <x v="2"/>
    <x v="2"/>
    <x v="2"/>
    <x v="505"/>
    <x v="1"/>
  </r>
  <r>
    <x v="517"/>
    <x v="2"/>
    <n v="80174.41"/>
    <x v="14"/>
    <n v="0"/>
    <x v="477"/>
    <n v="0.66359999999999997"/>
    <n v="0"/>
    <n v="37977.339999999997"/>
    <n v="27759.200000000001"/>
    <n v="91"/>
    <x v="1"/>
    <x v="2"/>
    <x v="2"/>
    <x v="506"/>
    <x v="1"/>
  </r>
  <r>
    <x v="518"/>
    <x v="1"/>
    <n v="27793.79"/>
    <x v="21"/>
    <n v="0"/>
    <x v="478"/>
    <n v="0.5927"/>
    <n v="2"/>
    <n v="12532.86"/>
    <n v="2523.21"/>
    <n v="170"/>
    <x v="1"/>
    <x v="2"/>
    <x v="1"/>
    <x v="507"/>
    <x v="1"/>
  </r>
  <r>
    <x v="519"/>
    <x v="2"/>
    <n v="38627.089999999997"/>
    <x v="10"/>
    <n v="1"/>
    <x v="479"/>
    <n v="0.2923"/>
    <n v="2"/>
    <n v="11350.34"/>
    <n v="21115.1"/>
    <n v="172"/>
    <x v="2"/>
    <x v="2"/>
    <x v="1"/>
    <x v="508"/>
    <x v="1"/>
  </r>
  <r>
    <x v="520"/>
    <x v="0"/>
    <n v="51932.44"/>
    <x v="23"/>
    <n v="0"/>
    <x v="480"/>
    <n v="0.51480000000000004"/>
    <n v="2"/>
    <n v="19361.29"/>
    <n v="13137.94"/>
    <n v="100"/>
    <x v="0"/>
    <x v="2"/>
    <x v="2"/>
    <x v="509"/>
    <x v="1"/>
  </r>
  <r>
    <x v="521"/>
    <x v="3"/>
    <n v="107472.27"/>
    <x v="40"/>
    <n v="1"/>
    <x v="24"/>
    <n v="0.18859999999999999"/>
    <n v="0"/>
    <n v="54072.56"/>
    <n v="31309.27"/>
    <n v="56"/>
    <x v="0"/>
    <x v="2"/>
    <x v="0"/>
    <x v="510"/>
    <x v="1"/>
  </r>
  <r>
    <x v="522"/>
    <x v="0"/>
    <n v="48837.03"/>
    <x v="3"/>
    <n v="1"/>
    <x v="481"/>
    <n v="0.68369999999999997"/>
    <n v="6"/>
    <n v="35011.26"/>
    <n v="28237.47"/>
    <n v="178"/>
    <x v="1"/>
    <x v="0"/>
    <x v="0"/>
    <x v="511"/>
    <x v="1"/>
  </r>
  <r>
    <x v="523"/>
    <x v="5"/>
    <n v="103736.5"/>
    <x v="23"/>
    <n v="1"/>
    <x v="482"/>
    <n v="0.26800000000000002"/>
    <n v="2"/>
    <n v="40387.19"/>
    <n v="16618.189999999999"/>
    <n v="78"/>
    <x v="1"/>
    <x v="0"/>
    <x v="0"/>
    <x v="512"/>
    <x v="1"/>
  </r>
  <r>
    <x v="524"/>
    <x v="5"/>
    <n v="79510.899999999994"/>
    <x v="18"/>
    <n v="0"/>
    <x v="483"/>
    <n v="3.2599999999999997E-2"/>
    <n v="0"/>
    <n v="19227.91"/>
    <n v="9483.25"/>
    <n v="40"/>
    <x v="2"/>
    <x v="1"/>
    <x v="0"/>
    <x v="513"/>
    <x v="1"/>
  </r>
  <r>
    <x v="525"/>
    <x v="2"/>
    <n v="54880.77"/>
    <x v="31"/>
    <n v="0"/>
    <x v="484"/>
    <n v="0.39560000000000001"/>
    <n v="3"/>
    <n v="34299.01"/>
    <n v="27844.7"/>
    <n v="66"/>
    <x v="1"/>
    <x v="0"/>
    <x v="1"/>
    <x v="514"/>
    <x v="1"/>
  </r>
  <r>
    <x v="526"/>
    <x v="5"/>
    <n v="18809.62"/>
    <x v="39"/>
    <n v="1"/>
    <x v="485"/>
    <n v="0.41"/>
    <n v="0"/>
    <n v="35823.54"/>
    <n v="25731.51"/>
    <n v="149"/>
    <x v="0"/>
    <x v="0"/>
    <x v="0"/>
    <x v="515"/>
    <x v="1"/>
  </r>
  <r>
    <x v="527"/>
    <x v="2"/>
    <n v="63128.02"/>
    <x v="14"/>
    <n v="1"/>
    <x v="486"/>
    <n v="0.27379999999999999"/>
    <n v="4"/>
    <n v="21987.05"/>
    <n v="19726.689999999999"/>
    <n v="17"/>
    <x v="3"/>
    <x v="0"/>
    <x v="3"/>
    <x v="516"/>
    <x v="1"/>
  </r>
  <r>
    <x v="528"/>
    <x v="2"/>
    <n v="131753.54999999999"/>
    <x v="19"/>
    <n v="1"/>
    <x v="487"/>
    <n v="0.1242"/>
    <n v="1"/>
    <n v="29312.99"/>
    <n v="22361.72"/>
    <n v="131"/>
    <x v="2"/>
    <x v="0"/>
    <x v="2"/>
    <x v="517"/>
    <x v="1"/>
  </r>
  <r>
    <x v="529"/>
    <x v="3"/>
    <n v="94440.47"/>
    <x v="36"/>
    <n v="0"/>
    <x v="488"/>
    <n v="0.54979999999999996"/>
    <n v="4"/>
    <n v="43111.1"/>
    <n v="29115.46"/>
    <n v="125"/>
    <x v="1"/>
    <x v="1"/>
    <x v="2"/>
    <x v="518"/>
    <x v="1"/>
  </r>
  <r>
    <x v="530"/>
    <x v="4"/>
    <n v="100711.9"/>
    <x v="7"/>
    <n v="0"/>
    <x v="489"/>
    <n v="0.432"/>
    <n v="2"/>
    <n v="35172.51"/>
    <n v="19427.55"/>
    <n v="78"/>
    <x v="0"/>
    <x v="0"/>
    <x v="1"/>
    <x v="519"/>
    <x v="1"/>
  </r>
  <r>
    <x v="531"/>
    <x v="2"/>
    <n v="136241.35999999999"/>
    <x v="16"/>
    <n v="0"/>
    <x v="490"/>
    <n v="0.42270000000000002"/>
    <n v="3"/>
    <n v="58593.68"/>
    <n v="30883.73"/>
    <n v="25"/>
    <x v="0"/>
    <x v="0"/>
    <x v="0"/>
    <x v="520"/>
    <x v="1"/>
  </r>
  <r>
    <x v="532"/>
    <x v="2"/>
    <n v="122400.7"/>
    <x v="38"/>
    <n v="1"/>
    <x v="491"/>
    <n v="0.60609999999999997"/>
    <n v="7"/>
    <n v="65564.800000000003"/>
    <n v="40939.410000000003"/>
    <n v="174"/>
    <x v="1"/>
    <x v="2"/>
    <x v="0"/>
    <x v="521"/>
    <x v="1"/>
  </r>
  <r>
    <x v="533"/>
    <x v="5"/>
    <n v="83550.649999999994"/>
    <x v="26"/>
    <n v="0"/>
    <x v="492"/>
    <n v="0.61119999999999997"/>
    <n v="3"/>
    <n v="48236.73"/>
    <n v="20877.77"/>
    <n v="151"/>
    <x v="0"/>
    <x v="2"/>
    <x v="2"/>
    <x v="522"/>
    <x v="1"/>
  </r>
  <r>
    <x v="534"/>
    <x v="0"/>
    <n v="168784.33"/>
    <x v="40"/>
    <n v="1"/>
    <x v="493"/>
    <n v="0.3271"/>
    <n v="1"/>
    <n v="60779.54"/>
    <n v="61519.98"/>
    <n v="28"/>
    <x v="0"/>
    <x v="0"/>
    <x v="0"/>
    <x v="523"/>
    <x v="1"/>
  </r>
  <r>
    <x v="535"/>
    <x v="0"/>
    <n v="22661.29"/>
    <x v="36"/>
    <n v="1"/>
    <x v="494"/>
    <n v="0.61099999999999999"/>
    <n v="5"/>
    <n v="500"/>
    <n v="6237.77"/>
    <n v="85"/>
    <x v="2"/>
    <x v="2"/>
    <x v="0"/>
    <x v="524"/>
    <x v="1"/>
  </r>
  <r>
    <x v="536"/>
    <x v="0"/>
    <n v="114456.47"/>
    <x v="46"/>
    <n v="0"/>
    <x v="495"/>
    <n v="0.21249999999999999"/>
    <n v="0"/>
    <n v="18247.330000000002"/>
    <n v="14252.11"/>
    <n v="163"/>
    <x v="0"/>
    <x v="2"/>
    <x v="0"/>
    <x v="525"/>
    <x v="1"/>
  </r>
  <r>
    <x v="537"/>
    <x v="2"/>
    <n v="156650"/>
    <x v="6"/>
    <n v="0"/>
    <x v="496"/>
    <n v="0.34339999999999998"/>
    <n v="1"/>
    <n v="32663.03"/>
    <n v="21886.04"/>
    <n v="140"/>
    <x v="0"/>
    <x v="0"/>
    <x v="0"/>
    <x v="526"/>
    <x v="1"/>
  </r>
  <r>
    <x v="237"/>
    <x v="2"/>
    <n v="53940.49"/>
    <x v="8"/>
    <n v="1"/>
    <x v="24"/>
    <n v="0.12509999999999999"/>
    <n v="0"/>
    <n v="4930.99"/>
    <n v="6994.7"/>
    <n v="17"/>
    <x v="1"/>
    <x v="2"/>
    <x v="0"/>
    <x v="527"/>
    <x v="1"/>
  </r>
  <r>
    <x v="538"/>
    <x v="3"/>
    <n v="74720.990000000005"/>
    <x v="21"/>
    <n v="1"/>
    <x v="497"/>
    <n v="0.39679999999999999"/>
    <n v="3"/>
    <n v="22276.560000000001"/>
    <n v="11856.99"/>
    <n v="175"/>
    <x v="1"/>
    <x v="2"/>
    <x v="2"/>
    <x v="528"/>
    <x v="1"/>
  </r>
  <r>
    <x v="539"/>
    <x v="5"/>
    <n v="103099.26"/>
    <x v="10"/>
    <n v="0"/>
    <x v="498"/>
    <n v="0.25650000000000001"/>
    <n v="0"/>
    <n v="8049.06"/>
    <n v="2894.01"/>
    <n v="53"/>
    <x v="0"/>
    <x v="0"/>
    <x v="3"/>
    <x v="529"/>
    <x v="1"/>
  </r>
  <r>
    <x v="540"/>
    <x v="0"/>
    <n v="67783.570000000007"/>
    <x v="43"/>
    <n v="1"/>
    <x v="499"/>
    <n v="0.52439999999999998"/>
    <n v="3"/>
    <n v="43614.39"/>
    <n v="34389.67"/>
    <n v="109"/>
    <x v="2"/>
    <x v="1"/>
    <x v="1"/>
    <x v="530"/>
    <x v="1"/>
  </r>
  <r>
    <x v="541"/>
    <x v="5"/>
    <n v="95205.69"/>
    <x v="3"/>
    <n v="1"/>
    <x v="500"/>
    <n v="0"/>
    <n v="0"/>
    <n v="500"/>
    <n v="3975.93"/>
    <n v="54"/>
    <x v="0"/>
    <x v="0"/>
    <x v="3"/>
    <x v="531"/>
    <x v="1"/>
  </r>
  <r>
    <x v="542"/>
    <x v="2"/>
    <n v="106490.64"/>
    <x v="6"/>
    <n v="0"/>
    <x v="501"/>
    <n v="0.42480000000000001"/>
    <n v="6"/>
    <n v="56964.43"/>
    <n v="37373.519999999997"/>
    <n v="28"/>
    <x v="0"/>
    <x v="0"/>
    <x v="1"/>
    <x v="532"/>
    <x v="1"/>
  </r>
  <r>
    <x v="543"/>
    <x v="5"/>
    <n v="93706.41"/>
    <x v="20"/>
    <n v="1"/>
    <x v="502"/>
    <n v="0.49709999999999999"/>
    <n v="5"/>
    <n v="48598.84"/>
    <n v="29139.74"/>
    <n v="106"/>
    <x v="0"/>
    <x v="0"/>
    <x v="1"/>
    <x v="533"/>
    <x v="1"/>
  </r>
  <r>
    <x v="544"/>
    <x v="2"/>
    <n v="176716.96"/>
    <x v="23"/>
    <n v="0"/>
    <x v="503"/>
    <n v="4.3299999999999998E-2"/>
    <n v="0"/>
    <n v="11773.99"/>
    <n v="7757.62"/>
    <n v="108"/>
    <x v="1"/>
    <x v="2"/>
    <x v="1"/>
    <x v="534"/>
    <x v="1"/>
  </r>
  <r>
    <x v="545"/>
    <x v="5"/>
    <n v="15294.91"/>
    <x v="47"/>
    <n v="0"/>
    <x v="504"/>
    <n v="0.41820000000000002"/>
    <n v="0"/>
    <n v="500"/>
    <n v="0"/>
    <n v="127"/>
    <x v="0"/>
    <x v="2"/>
    <x v="1"/>
    <x v="535"/>
    <x v="1"/>
  </r>
  <r>
    <x v="546"/>
    <x v="5"/>
    <n v="65420.33"/>
    <x v="32"/>
    <n v="1"/>
    <x v="505"/>
    <n v="0.48149999999999998"/>
    <n v="5"/>
    <n v="32687.16"/>
    <n v="28431.8"/>
    <n v="92"/>
    <x v="2"/>
    <x v="2"/>
    <x v="1"/>
    <x v="536"/>
    <x v="1"/>
  </r>
  <r>
    <x v="547"/>
    <x v="0"/>
    <n v="108354.66"/>
    <x v="48"/>
    <n v="0"/>
    <x v="24"/>
    <n v="0.28179999999999999"/>
    <n v="0"/>
    <n v="8897.93"/>
    <n v="11205.3"/>
    <n v="47"/>
    <x v="1"/>
    <x v="0"/>
    <x v="1"/>
    <x v="537"/>
    <x v="1"/>
  </r>
  <r>
    <x v="548"/>
    <x v="1"/>
    <n v="110673.09"/>
    <x v="31"/>
    <n v="0"/>
    <x v="506"/>
    <n v="0"/>
    <n v="1"/>
    <n v="16393.169999999998"/>
    <n v="8512.75"/>
    <n v="66"/>
    <x v="0"/>
    <x v="0"/>
    <x v="0"/>
    <x v="538"/>
    <x v="1"/>
  </r>
  <r>
    <x v="549"/>
    <x v="0"/>
    <n v="61223.63"/>
    <x v="9"/>
    <n v="0"/>
    <x v="507"/>
    <n v="0.41810000000000003"/>
    <n v="0"/>
    <n v="34378.879999999997"/>
    <n v="28492.55"/>
    <n v="72"/>
    <x v="3"/>
    <x v="2"/>
    <x v="1"/>
    <x v="539"/>
    <x v="1"/>
  </r>
  <r>
    <x v="550"/>
    <x v="5"/>
    <n v="2000"/>
    <x v="20"/>
    <n v="1"/>
    <x v="508"/>
    <n v="0.63870000000000005"/>
    <n v="2"/>
    <n v="5105.95"/>
    <n v="4733.3599999999997"/>
    <n v="118"/>
    <x v="2"/>
    <x v="1"/>
    <x v="1"/>
    <x v="540"/>
    <x v="1"/>
  </r>
  <r>
    <x v="551"/>
    <x v="5"/>
    <n v="77553.66"/>
    <x v="2"/>
    <n v="1"/>
    <x v="509"/>
    <n v="0.33450000000000002"/>
    <n v="4"/>
    <n v="38946.519999999997"/>
    <n v="39006.07"/>
    <n v="46"/>
    <x v="1"/>
    <x v="2"/>
    <x v="1"/>
    <x v="541"/>
    <x v="1"/>
  </r>
  <r>
    <x v="552"/>
    <x v="5"/>
    <n v="107892.72"/>
    <x v="3"/>
    <n v="1"/>
    <x v="510"/>
    <n v="0.33100000000000002"/>
    <n v="3"/>
    <n v="45078.03"/>
    <n v="22131.14"/>
    <n v="112"/>
    <x v="2"/>
    <x v="0"/>
    <x v="2"/>
    <x v="542"/>
    <x v="1"/>
  </r>
  <r>
    <x v="553"/>
    <x v="4"/>
    <n v="96093.98"/>
    <x v="0"/>
    <n v="0"/>
    <x v="511"/>
    <n v="0.70120000000000005"/>
    <n v="2"/>
    <n v="84412.84"/>
    <n v="57283.28"/>
    <n v="113"/>
    <x v="2"/>
    <x v="0"/>
    <x v="0"/>
    <x v="543"/>
    <x v="1"/>
  </r>
  <r>
    <x v="554"/>
    <x v="4"/>
    <n v="178869.62"/>
    <x v="42"/>
    <n v="1"/>
    <x v="512"/>
    <n v="0.46550000000000002"/>
    <n v="1"/>
    <n v="91538.31"/>
    <n v="52301.99"/>
    <n v="8"/>
    <x v="1"/>
    <x v="2"/>
    <x v="0"/>
    <x v="544"/>
    <x v="1"/>
  </r>
  <r>
    <x v="555"/>
    <x v="1"/>
    <n v="128765.58"/>
    <x v="29"/>
    <n v="0"/>
    <x v="24"/>
    <n v="0.55889999999999995"/>
    <n v="2"/>
    <n v="53815.86"/>
    <n v="45311.57"/>
    <n v="167"/>
    <x v="3"/>
    <x v="2"/>
    <x v="2"/>
    <x v="545"/>
    <x v="1"/>
  </r>
  <r>
    <x v="556"/>
    <x v="4"/>
    <n v="8053.33"/>
    <x v="20"/>
    <n v="0"/>
    <x v="165"/>
    <n v="0.19900000000000001"/>
    <n v="1"/>
    <n v="500"/>
    <n v="0"/>
    <n v="8"/>
    <x v="2"/>
    <x v="1"/>
    <x v="1"/>
    <x v="546"/>
    <x v="1"/>
  </r>
  <r>
    <x v="557"/>
    <x v="2"/>
    <n v="126496.48"/>
    <x v="49"/>
    <n v="1"/>
    <x v="513"/>
    <n v="0.15570000000000001"/>
    <n v="0"/>
    <n v="24601.52"/>
    <n v="19173.73"/>
    <n v="56"/>
    <x v="2"/>
    <x v="0"/>
    <x v="1"/>
    <x v="547"/>
    <x v="1"/>
  </r>
  <r>
    <x v="558"/>
    <x v="1"/>
    <n v="72000.63"/>
    <x v="42"/>
    <n v="1"/>
    <x v="514"/>
    <n v="0.60409999999999997"/>
    <n v="3"/>
    <n v="59354.46"/>
    <n v="36352.959999999999"/>
    <n v="139"/>
    <x v="0"/>
    <x v="2"/>
    <x v="0"/>
    <x v="548"/>
    <x v="1"/>
  </r>
  <r>
    <x v="559"/>
    <x v="3"/>
    <n v="54343.54"/>
    <x v="27"/>
    <n v="0"/>
    <x v="515"/>
    <n v="0.6472"/>
    <n v="0"/>
    <n v="34362.800000000003"/>
    <n v="25785.21"/>
    <n v="135"/>
    <x v="1"/>
    <x v="0"/>
    <x v="1"/>
    <x v="402"/>
    <x v="1"/>
  </r>
  <r>
    <x v="560"/>
    <x v="5"/>
    <n v="68174.98"/>
    <x v="15"/>
    <n v="1"/>
    <x v="24"/>
    <n v="0.30270000000000002"/>
    <n v="3"/>
    <n v="20107.64"/>
    <n v="5529.24"/>
    <n v="166"/>
    <x v="1"/>
    <x v="2"/>
    <x v="0"/>
    <x v="549"/>
    <x v="1"/>
  </r>
  <r>
    <x v="561"/>
    <x v="0"/>
    <n v="153563.75"/>
    <x v="17"/>
    <n v="1"/>
    <x v="516"/>
    <n v="5.0299999999999997E-2"/>
    <n v="0"/>
    <n v="6332.68"/>
    <n v="0"/>
    <n v="98"/>
    <x v="1"/>
    <x v="0"/>
    <x v="0"/>
    <x v="550"/>
    <x v="1"/>
  </r>
  <r>
    <x v="562"/>
    <x v="5"/>
    <n v="129602.26"/>
    <x v="41"/>
    <n v="0"/>
    <x v="517"/>
    <n v="0.13120000000000001"/>
    <n v="1"/>
    <n v="4517.6899999999996"/>
    <n v="10438.379999999999"/>
    <n v="156"/>
    <x v="1"/>
    <x v="2"/>
    <x v="2"/>
    <x v="551"/>
    <x v="1"/>
  </r>
  <r>
    <x v="563"/>
    <x v="4"/>
    <n v="57654.47"/>
    <x v="20"/>
    <n v="1"/>
    <x v="518"/>
    <n v="0.27829999999999999"/>
    <n v="6"/>
    <n v="11371.3"/>
    <n v="11260.34"/>
    <n v="123"/>
    <x v="0"/>
    <x v="2"/>
    <x v="2"/>
    <x v="552"/>
    <x v="1"/>
  </r>
  <r>
    <x v="564"/>
    <x v="2"/>
    <n v="101852.13"/>
    <x v="23"/>
    <n v="0"/>
    <x v="519"/>
    <n v="0.57669999999999999"/>
    <n v="6"/>
    <n v="65391.34"/>
    <n v="48327.58"/>
    <n v="110"/>
    <x v="0"/>
    <x v="0"/>
    <x v="0"/>
    <x v="553"/>
    <x v="1"/>
  </r>
  <r>
    <x v="565"/>
    <x v="3"/>
    <n v="86787.41"/>
    <x v="3"/>
    <n v="0"/>
    <x v="520"/>
    <n v="0.6724"/>
    <n v="4"/>
    <n v="50326.54"/>
    <n v="30560.14"/>
    <n v="84"/>
    <x v="2"/>
    <x v="0"/>
    <x v="2"/>
    <x v="554"/>
    <x v="1"/>
  </r>
  <r>
    <x v="566"/>
    <x v="4"/>
    <n v="119954.56"/>
    <x v="39"/>
    <n v="1"/>
    <x v="521"/>
    <n v="0.1166"/>
    <n v="2"/>
    <n v="500"/>
    <n v="0"/>
    <n v="102"/>
    <x v="1"/>
    <x v="2"/>
    <x v="1"/>
    <x v="555"/>
    <x v="1"/>
  </r>
  <r>
    <x v="567"/>
    <x v="2"/>
    <n v="36802.25"/>
    <x v="46"/>
    <n v="1"/>
    <x v="522"/>
    <n v="0.27679999999999999"/>
    <n v="2"/>
    <n v="3760.02"/>
    <n v="0"/>
    <n v="105"/>
    <x v="0"/>
    <x v="0"/>
    <x v="1"/>
    <x v="556"/>
    <x v="1"/>
  </r>
  <r>
    <x v="568"/>
    <x v="0"/>
    <n v="146594.17000000001"/>
    <x v="6"/>
    <n v="0"/>
    <x v="523"/>
    <n v="0.52780000000000005"/>
    <n v="4"/>
    <n v="98265.54"/>
    <n v="60397.42"/>
    <n v="85"/>
    <x v="1"/>
    <x v="0"/>
    <x v="1"/>
    <x v="557"/>
    <x v="1"/>
  </r>
  <r>
    <x v="569"/>
    <x v="3"/>
    <n v="148445.17000000001"/>
    <x v="12"/>
    <n v="0"/>
    <x v="524"/>
    <n v="0.31950000000000001"/>
    <n v="2"/>
    <n v="29698.95"/>
    <n v="34620.44"/>
    <n v="142"/>
    <x v="0"/>
    <x v="0"/>
    <x v="1"/>
    <x v="558"/>
    <x v="1"/>
  </r>
  <r>
    <x v="570"/>
    <x v="2"/>
    <n v="64098.94"/>
    <x v="46"/>
    <n v="0"/>
    <x v="525"/>
    <n v="0.66610000000000003"/>
    <n v="5"/>
    <n v="34131.5"/>
    <n v="27359.62"/>
    <n v="131"/>
    <x v="2"/>
    <x v="0"/>
    <x v="0"/>
    <x v="559"/>
    <x v="1"/>
  </r>
  <r>
    <x v="571"/>
    <x v="4"/>
    <n v="135425.62"/>
    <x v="19"/>
    <n v="1"/>
    <x v="24"/>
    <n v="0.77800000000000002"/>
    <n v="3"/>
    <n v="102167.26"/>
    <n v="87350.63"/>
    <n v="45"/>
    <x v="0"/>
    <x v="0"/>
    <x v="0"/>
    <x v="560"/>
    <x v="1"/>
  </r>
  <r>
    <x v="572"/>
    <x v="3"/>
    <n v="85187.55"/>
    <x v="12"/>
    <n v="0"/>
    <x v="526"/>
    <n v="0.36609999999999998"/>
    <n v="3"/>
    <n v="51023.88"/>
    <n v="48746.720000000001"/>
    <n v="72"/>
    <x v="1"/>
    <x v="2"/>
    <x v="0"/>
    <x v="561"/>
    <x v="1"/>
  </r>
  <r>
    <x v="573"/>
    <x v="0"/>
    <n v="161846.81"/>
    <x v="7"/>
    <n v="1"/>
    <x v="527"/>
    <n v="0.38400000000000001"/>
    <n v="4"/>
    <n v="58425.55"/>
    <n v="29972.07"/>
    <n v="22"/>
    <x v="1"/>
    <x v="0"/>
    <x v="0"/>
    <x v="562"/>
    <x v="1"/>
  </r>
  <r>
    <x v="574"/>
    <x v="0"/>
    <n v="76095.83"/>
    <x v="8"/>
    <n v="0"/>
    <x v="24"/>
    <n v="0.74080000000000001"/>
    <n v="6"/>
    <n v="51866.51"/>
    <n v="38116.78"/>
    <n v="151"/>
    <x v="1"/>
    <x v="0"/>
    <x v="1"/>
    <x v="563"/>
    <x v="1"/>
  </r>
  <r>
    <x v="575"/>
    <x v="5"/>
    <n v="203010.41"/>
    <x v="44"/>
    <n v="0"/>
    <x v="528"/>
    <n v="9.5799999999999996E-2"/>
    <n v="0"/>
    <n v="34671.360000000001"/>
    <n v="23923.26"/>
    <n v="124"/>
    <x v="3"/>
    <x v="2"/>
    <x v="1"/>
    <x v="564"/>
    <x v="1"/>
  </r>
  <r>
    <x v="576"/>
    <x v="4"/>
    <n v="184421.18"/>
    <x v="0"/>
    <n v="0"/>
    <x v="529"/>
    <n v="9.4000000000000004E-3"/>
    <n v="0"/>
    <n v="500"/>
    <n v="5464.17"/>
    <n v="167"/>
    <x v="0"/>
    <x v="2"/>
    <x v="0"/>
    <x v="565"/>
    <x v="1"/>
  </r>
  <r>
    <x v="577"/>
    <x v="2"/>
    <n v="137222.19"/>
    <x v="14"/>
    <n v="0"/>
    <x v="530"/>
    <n v="0.4783"/>
    <n v="5"/>
    <n v="80344.81"/>
    <n v="50462.93"/>
    <n v="162"/>
    <x v="1"/>
    <x v="2"/>
    <x v="2"/>
    <x v="566"/>
    <x v="1"/>
  </r>
  <r>
    <x v="578"/>
    <x v="3"/>
    <n v="7049.96"/>
    <x v="47"/>
    <n v="1"/>
    <x v="531"/>
    <n v="0.22040000000000001"/>
    <n v="2"/>
    <n v="15190.53"/>
    <n v="7004.39"/>
    <n v="123"/>
    <x v="3"/>
    <x v="0"/>
    <x v="2"/>
    <x v="567"/>
    <x v="1"/>
  </r>
  <r>
    <x v="579"/>
    <x v="1"/>
    <n v="165753.64000000001"/>
    <x v="45"/>
    <n v="1"/>
    <x v="532"/>
    <n v="0.18310000000000001"/>
    <n v="0"/>
    <n v="46890.26"/>
    <n v="32527.61"/>
    <n v="143"/>
    <x v="0"/>
    <x v="2"/>
    <x v="1"/>
    <x v="568"/>
    <x v="1"/>
  </r>
  <r>
    <x v="580"/>
    <x v="3"/>
    <n v="154649.35999999999"/>
    <x v="46"/>
    <n v="0"/>
    <x v="533"/>
    <n v="0.29049999999999998"/>
    <n v="0"/>
    <n v="55733.57"/>
    <n v="18926.28"/>
    <n v="97"/>
    <x v="1"/>
    <x v="2"/>
    <x v="2"/>
    <x v="569"/>
    <x v="1"/>
  </r>
  <r>
    <x v="581"/>
    <x v="1"/>
    <n v="87638.73"/>
    <x v="1"/>
    <n v="0"/>
    <x v="534"/>
    <n v="0.46039999999999998"/>
    <n v="4"/>
    <n v="41857.33"/>
    <n v="32865.019999999997"/>
    <n v="29"/>
    <x v="2"/>
    <x v="2"/>
    <x v="2"/>
    <x v="570"/>
    <x v="1"/>
  </r>
  <r>
    <x v="582"/>
    <x v="1"/>
    <n v="206777.92"/>
    <x v="39"/>
    <n v="0"/>
    <x v="535"/>
    <n v="0.2959"/>
    <n v="6"/>
    <n v="58450.01"/>
    <n v="32941.9"/>
    <n v="56"/>
    <x v="3"/>
    <x v="2"/>
    <x v="0"/>
    <x v="571"/>
    <x v="1"/>
  </r>
  <r>
    <x v="583"/>
    <x v="3"/>
    <n v="142227.72"/>
    <x v="1"/>
    <n v="1"/>
    <x v="536"/>
    <n v="0.12759999999999999"/>
    <n v="0"/>
    <n v="504.85"/>
    <n v="4158.1899999999996"/>
    <n v="22"/>
    <x v="0"/>
    <x v="1"/>
    <x v="2"/>
    <x v="572"/>
    <x v="1"/>
  </r>
  <r>
    <x v="584"/>
    <x v="5"/>
    <n v="85236.12"/>
    <x v="8"/>
    <n v="1"/>
    <x v="537"/>
    <n v="1"/>
    <n v="6"/>
    <n v="76152.479999999996"/>
    <n v="37021.68"/>
    <n v="180"/>
    <x v="1"/>
    <x v="0"/>
    <x v="2"/>
    <x v="573"/>
    <x v="0"/>
  </r>
  <r>
    <x v="585"/>
    <x v="0"/>
    <n v="6571.56"/>
    <x v="10"/>
    <n v="1"/>
    <x v="538"/>
    <n v="0.73529999999999995"/>
    <n v="4"/>
    <n v="27223.88"/>
    <n v="4625.54"/>
    <n v="17"/>
    <x v="2"/>
    <x v="0"/>
    <x v="0"/>
    <x v="574"/>
    <x v="1"/>
  </r>
  <r>
    <x v="586"/>
    <x v="4"/>
    <n v="85657.22"/>
    <x v="1"/>
    <n v="0"/>
    <x v="19"/>
    <n v="0.13869999999999999"/>
    <n v="5"/>
    <n v="28065.65"/>
    <n v="0"/>
    <n v="63"/>
    <x v="3"/>
    <x v="0"/>
    <x v="0"/>
    <x v="575"/>
    <x v="1"/>
  </r>
  <r>
    <x v="587"/>
    <x v="1"/>
    <n v="116977.71"/>
    <x v="24"/>
    <n v="0"/>
    <x v="539"/>
    <n v="0.3579"/>
    <n v="2"/>
    <n v="43236.75"/>
    <n v="34290.06"/>
    <n v="70"/>
    <x v="0"/>
    <x v="0"/>
    <x v="3"/>
    <x v="576"/>
    <x v="1"/>
  </r>
  <r>
    <x v="588"/>
    <x v="0"/>
    <n v="113708.3"/>
    <x v="18"/>
    <n v="0"/>
    <x v="428"/>
    <n v="0.8054"/>
    <n v="3"/>
    <n v="72946.39"/>
    <n v="33959.49"/>
    <n v="166"/>
    <x v="1"/>
    <x v="0"/>
    <x v="3"/>
    <x v="577"/>
    <x v="1"/>
  </r>
  <r>
    <x v="589"/>
    <x v="5"/>
    <n v="68107.81"/>
    <x v="20"/>
    <n v="0"/>
    <x v="540"/>
    <n v="0.45190000000000002"/>
    <n v="5"/>
    <n v="22893.43"/>
    <n v="12878.94"/>
    <n v="22"/>
    <x v="0"/>
    <x v="0"/>
    <x v="0"/>
    <x v="578"/>
    <x v="1"/>
  </r>
  <r>
    <x v="590"/>
    <x v="5"/>
    <n v="39156.47"/>
    <x v="13"/>
    <n v="1"/>
    <x v="541"/>
    <n v="0.43580000000000002"/>
    <n v="5"/>
    <n v="15888.34"/>
    <n v="10839.12"/>
    <n v="104"/>
    <x v="1"/>
    <x v="0"/>
    <x v="1"/>
    <x v="579"/>
    <x v="1"/>
  </r>
  <r>
    <x v="591"/>
    <x v="5"/>
    <n v="128797.89"/>
    <x v="43"/>
    <n v="0"/>
    <x v="542"/>
    <n v="0.46350000000000002"/>
    <n v="3"/>
    <n v="66223.399999999994"/>
    <n v="38029.14"/>
    <n v="55"/>
    <x v="2"/>
    <x v="0"/>
    <x v="1"/>
    <x v="580"/>
    <x v="1"/>
  </r>
  <r>
    <x v="592"/>
    <x v="2"/>
    <n v="27755.42"/>
    <x v="25"/>
    <n v="1"/>
    <x v="543"/>
    <n v="0.41920000000000002"/>
    <n v="6"/>
    <n v="23674.05"/>
    <n v="18971.03"/>
    <n v="117"/>
    <x v="1"/>
    <x v="2"/>
    <x v="0"/>
    <x v="258"/>
    <x v="1"/>
  </r>
  <r>
    <x v="593"/>
    <x v="5"/>
    <n v="61813.61"/>
    <x v="22"/>
    <n v="1"/>
    <x v="544"/>
    <n v="0.61370000000000002"/>
    <n v="3"/>
    <n v="39338.410000000003"/>
    <n v="15395.94"/>
    <n v="20"/>
    <x v="0"/>
    <x v="2"/>
    <x v="1"/>
    <x v="581"/>
    <x v="0"/>
  </r>
  <r>
    <x v="594"/>
    <x v="3"/>
    <n v="21479.24"/>
    <x v="24"/>
    <n v="0"/>
    <x v="24"/>
    <n v="0.76800000000000002"/>
    <n v="2"/>
    <n v="4380.34"/>
    <n v="13470.47"/>
    <n v="125"/>
    <x v="1"/>
    <x v="0"/>
    <x v="1"/>
    <x v="582"/>
    <x v="1"/>
  </r>
  <r>
    <x v="595"/>
    <x v="4"/>
    <n v="75678.649999999994"/>
    <x v="44"/>
    <n v="0"/>
    <x v="24"/>
    <n v="0.71279999999999999"/>
    <n v="6"/>
    <n v="44583.63"/>
    <n v="45669.55"/>
    <n v="64"/>
    <x v="1"/>
    <x v="0"/>
    <x v="1"/>
    <x v="583"/>
    <x v="1"/>
  </r>
  <r>
    <x v="596"/>
    <x v="3"/>
    <n v="122267.12"/>
    <x v="48"/>
    <n v="1"/>
    <x v="545"/>
    <n v="0.44419999999999998"/>
    <n v="4"/>
    <n v="68524.460000000006"/>
    <n v="36975.65"/>
    <n v="24"/>
    <x v="1"/>
    <x v="2"/>
    <x v="0"/>
    <x v="584"/>
    <x v="1"/>
  </r>
  <r>
    <x v="597"/>
    <x v="2"/>
    <n v="113250.64"/>
    <x v="3"/>
    <n v="1"/>
    <x v="546"/>
    <n v="0.41670000000000001"/>
    <n v="3"/>
    <n v="55978.44"/>
    <n v="48702.8"/>
    <n v="92"/>
    <x v="2"/>
    <x v="0"/>
    <x v="0"/>
    <x v="585"/>
    <x v="1"/>
  </r>
  <r>
    <x v="598"/>
    <x v="2"/>
    <n v="88461.77"/>
    <x v="8"/>
    <n v="1"/>
    <x v="547"/>
    <n v="0.63729999999999998"/>
    <n v="6"/>
    <n v="66602.100000000006"/>
    <n v="42935.6"/>
    <n v="59"/>
    <x v="0"/>
    <x v="0"/>
    <x v="2"/>
    <x v="586"/>
    <x v="1"/>
  </r>
  <r>
    <x v="599"/>
    <x v="4"/>
    <n v="2000"/>
    <x v="26"/>
    <n v="1"/>
    <x v="24"/>
    <n v="5.2600000000000001E-2"/>
    <n v="2"/>
    <n v="3450.9"/>
    <n v="15414.36"/>
    <n v="55"/>
    <x v="1"/>
    <x v="2"/>
    <x v="0"/>
    <x v="587"/>
    <x v="1"/>
  </r>
  <r>
    <x v="600"/>
    <x v="2"/>
    <n v="23494.54"/>
    <x v="11"/>
    <n v="1"/>
    <x v="548"/>
    <n v="0.27929999999999999"/>
    <n v="1"/>
    <n v="500"/>
    <n v="0"/>
    <n v="89"/>
    <x v="0"/>
    <x v="2"/>
    <x v="0"/>
    <x v="588"/>
    <x v="1"/>
  </r>
  <r>
    <x v="601"/>
    <x v="3"/>
    <n v="128258.83"/>
    <x v="7"/>
    <n v="0"/>
    <x v="549"/>
    <n v="0.49969999999999998"/>
    <n v="0"/>
    <n v="68143.520000000004"/>
    <n v="55662"/>
    <n v="171"/>
    <x v="2"/>
    <x v="0"/>
    <x v="1"/>
    <x v="589"/>
    <x v="1"/>
  </r>
  <r>
    <x v="602"/>
    <x v="4"/>
    <n v="77168.75"/>
    <x v="22"/>
    <n v="1"/>
    <x v="550"/>
    <n v="0.33739999999999998"/>
    <n v="0"/>
    <n v="24293.96"/>
    <n v="22257.38"/>
    <n v="155"/>
    <x v="1"/>
    <x v="0"/>
    <x v="2"/>
    <x v="590"/>
    <x v="1"/>
  </r>
  <r>
    <x v="603"/>
    <x v="3"/>
    <n v="99753.46"/>
    <x v="29"/>
    <n v="1"/>
    <x v="551"/>
    <n v="0.1905"/>
    <n v="3"/>
    <n v="13282.36"/>
    <n v="6008.48"/>
    <n v="27"/>
    <x v="0"/>
    <x v="2"/>
    <x v="0"/>
    <x v="591"/>
    <x v="1"/>
  </r>
  <r>
    <x v="604"/>
    <x v="5"/>
    <n v="49369.84"/>
    <x v="46"/>
    <n v="0"/>
    <x v="552"/>
    <n v="0.1489"/>
    <n v="2"/>
    <n v="11751.19"/>
    <n v="1344.89"/>
    <n v="103"/>
    <x v="0"/>
    <x v="0"/>
    <x v="0"/>
    <x v="592"/>
    <x v="1"/>
  </r>
  <r>
    <x v="605"/>
    <x v="5"/>
    <n v="134463.66"/>
    <x v="9"/>
    <n v="0"/>
    <x v="553"/>
    <n v="0.37119999999999997"/>
    <n v="3"/>
    <n v="16492.23"/>
    <n v="11833.67"/>
    <n v="15"/>
    <x v="1"/>
    <x v="0"/>
    <x v="1"/>
    <x v="593"/>
    <x v="1"/>
  </r>
  <r>
    <x v="606"/>
    <x v="0"/>
    <n v="87684.25"/>
    <x v="0"/>
    <n v="0"/>
    <x v="554"/>
    <n v="0.52400000000000002"/>
    <n v="6"/>
    <n v="65039.040000000001"/>
    <n v="47308.26"/>
    <n v="145"/>
    <x v="2"/>
    <x v="0"/>
    <x v="0"/>
    <x v="594"/>
    <x v="1"/>
  </r>
  <r>
    <x v="607"/>
    <x v="2"/>
    <n v="19303.52"/>
    <x v="37"/>
    <n v="0"/>
    <x v="555"/>
    <n v="2.12E-2"/>
    <n v="4"/>
    <n v="2040.24"/>
    <n v="21143.15"/>
    <n v="107"/>
    <x v="0"/>
    <x v="2"/>
    <x v="0"/>
    <x v="595"/>
    <x v="1"/>
  </r>
  <r>
    <x v="608"/>
    <x v="1"/>
    <n v="41242.75"/>
    <x v="15"/>
    <n v="0"/>
    <x v="440"/>
    <n v="0.35220000000000001"/>
    <n v="0"/>
    <n v="17909.88"/>
    <n v="4539.99"/>
    <n v="54"/>
    <x v="1"/>
    <x v="1"/>
    <x v="0"/>
    <x v="596"/>
    <x v="0"/>
  </r>
  <r>
    <x v="609"/>
    <x v="0"/>
    <n v="123113.89"/>
    <x v="41"/>
    <n v="0"/>
    <x v="556"/>
    <n v="0.3387"/>
    <n v="2"/>
    <n v="40966.959999999999"/>
    <n v="31958.959999999999"/>
    <n v="92"/>
    <x v="0"/>
    <x v="0"/>
    <x v="1"/>
    <x v="597"/>
    <x v="1"/>
  </r>
  <r>
    <x v="610"/>
    <x v="2"/>
    <n v="76133.990000000005"/>
    <x v="16"/>
    <n v="0"/>
    <x v="557"/>
    <n v="0.83389999999999997"/>
    <n v="5"/>
    <n v="71137.94"/>
    <n v="41730.47"/>
    <n v="90"/>
    <x v="1"/>
    <x v="2"/>
    <x v="2"/>
    <x v="598"/>
    <x v="1"/>
  </r>
  <r>
    <x v="611"/>
    <x v="2"/>
    <n v="69939.22"/>
    <x v="37"/>
    <n v="0"/>
    <x v="84"/>
    <n v="0.49630000000000002"/>
    <n v="1"/>
    <n v="36824.32"/>
    <n v="38817.15"/>
    <n v="83"/>
    <x v="0"/>
    <x v="0"/>
    <x v="1"/>
    <x v="599"/>
    <x v="1"/>
  </r>
  <r>
    <x v="612"/>
    <x v="0"/>
    <n v="70518.3"/>
    <x v="25"/>
    <n v="0"/>
    <x v="558"/>
    <n v="0.57340000000000002"/>
    <n v="8"/>
    <n v="32754.11"/>
    <n v="23027.55"/>
    <n v="80"/>
    <x v="1"/>
    <x v="0"/>
    <x v="0"/>
    <x v="600"/>
    <x v="1"/>
  </r>
  <r>
    <x v="613"/>
    <x v="5"/>
    <n v="86789.8"/>
    <x v="13"/>
    <n v="0"/>
    <x v="559"/>
    <n v="0.87749999999999995"/>
    <n v="6"/>
    <n v="87482.67"/>
    <n v="42758.11"/>
    <n v="58"/>
    <x v="0"/>
    <x v="0"/>
    <x v="0"/>
    <x v="601"/>
    <x v="1"/>
  </r>
  <r>
    <x v="614"/>
    <x v="5"/>
    <n v="29540.38"/>
    <x v="30"/>
    <n v="1"/>
    <x v="560"/>
    <n v="0.14810000000000001"/>
    <n v="0"/>
    <n v="500"/>
    <n v="0"/>
    <n v="7"/>
    <x v="3"/>
    <x v="0"/>
    <x v="2"/>
    <x v="602"/>
    <x v="1"/>
  </r>
  <r>
    <x v="615"/>
    <x v="5"/>
    <n v="69258.100000000006"/>
    <x v="17"/>
    <n v="0"/>
    <x v="561"/>
    <n v="0.20899999999999999"/>
    <n v="0"/>
    <n v="3184.75"/>
    <n v="0"/>
    <n v="122"/>
    <x v="0"/>
    <x v="2"/>
    <x v="1"/>
    <x v="24"/>
    <x v="1"/>
  </r>
  <r>
    <x v="616"/>
    <x v="1"/>
    <n v="129011.12"/>
    <x v="13"/>
    <n v="0"/>
    <x v="562"/>
    <n v="0.40289999999999998"/>
    <n v="7"/>
    <n v="50236.49"/>
    <n v="18349.88"/>
    <n v="174"/>
    <x v="0"/>
    <x v="2"/>
    <x v="0"/>
    <x v="603"/>
    <x v="1"/>
  </r>
  <r>
    <x v="617"/>
    <x v="0"/>
    <n v="78850.649999999994"/>
    <x v="0"/>
    <n v="1"/>
    <x v="563"/>
    <n v="0.19109999999999999"/>
    <n v="1"/>
    <n v="10237.34"/>
    <n v="5180.12"/>
    <n v="132"/>
    <x v="1"/>
    <x v="2"/>
    <x v="0"/>
    <x v="604"/>
    <x v="1"/>
  </r>
  <r>
    <x v="618"/>
    <x v="4"/>
    <n v="91807.7"/>
    <x v="27"/>
    <n v="0"/>
    <x v="564"/>
    <n v="0.2742"/>
    <n v="4"/>
    <n v="24860.959999999999"/>
    <n v="24050.62"/>
    <n v="124"/>
    <x v="0"/>
    <x v="2"/>
    <x v="1"/>
    <x v="605"/>
    <x v="1"/>
  </r>
  <r>
    <x v="619"/>
    <x v="0"/>
    <n v="99790.63"/>
    <x v="1"/>
    <n v="1"/>
    <x v="565"/>
    <n v="0.42220000000000002"/>
    <n v="6"/>
    <n v="64221.51"/>
    <n v="36876.720000000001"/>
    <n v="130"/>
    <x v="1"/>
    <x v="0"/>
    <x v="1"/>
    <x v="606"/>
    <x v="1"/>
  </r>
  <r>
    <x v="620"/>
    <x v="3"/>
    <n v="43070.22"/>
    <x v="0"/>
    <n v="1"/>
    <x v="566"/>
    <n v="0.48320000000000002"/>
    <n v="2"/>
    <n v="27671.18"/>
    <n v="20185.96"/>
    <n v="81"/>
    <x v="0"/>
    <x v="2"/>
    <x v="0"/>
    <x v="607"/>
    <x v="1"/>
  </r>
  <r>
    <x v="621"/>
    <x v="1"/>
    <n v="84050.39"/>
    <x v="46"/>
    <n v="0"/>
    <x v="468"/>
    <n v="0.53590000000000004"/>
    <n v="6"/>
    <n v="49876.36"/>
    <n v="34771.800000000003"/>
    <n v="168"/>
    <x v="2"/>
    <x v="2"/>
    <x v="1"/>
    <x v="608"/>
    <x v="1"/>
  </r>
  <r>
    <x v="622"/>
    <x v="3"/>
    <n v="60132.55"/>
    <x v="12"/>
    <n v="0"/>
    <x v="567"/>
    <n v="0.33560000000000001"/>
    <n v="2"/>
    <n v="12953.58"/>
    <n v="13112.78"/>
    <n v="69"/>
    <x v="1"/>
    <x v="0"/>
    <x v="0"/>
    <x v="609"/>
    <x v="1"/>
  </r>
  <r>
    <x v="623"/>
    <x v="3"/>
    <n v="154041.45000000001"/>
    <x v="1"/>
    <n v="0"/>
    <x v="568"/>
    <n v="0.31830000000000003"/>
    <n v="3"/>
    <n v="47296.76"/>
    <n v="37619.46"/>
    <n v="48"/>
    <x v="0"/>
    <x v="2"/>
    <x v="2"/>
    <x v="610"/>
    <x v="1"/>
  </r>
  <r>
    <x v="624"/>
    <x v="5"/>
    <n v="45956.03"/>
    <x v="49"/>
    <n v="1"/>
    <x v="569"/>
    <n v="0.19120000000000001"/>
    <n v="3"/>
    <n v="9568.58"/>
    <n v="9502.26"/>
    <n v="88"/>
    <x v="0"/>
    <x v="0"/>
    <x v="0"/>
    <x v="611"/>
    <x v="1"/>
  </r>
  <r>
    <x v="625"/>
    <x v="0"/>
    <n v="121980.22"/>
    <x v="0"/>
    <n v="1"/>
    <x v="570"/>
    <n v="0.20599999999999999"/>
    <n v="3"/>
    <n v="29448.65"/>
    <n v="15255.21"/>
    <n v="32"/>
    <x v="1"/>
    <x v="2"/>
    <x v="2"/>
    <x v="612"/>
    <x v="1"/>
  </r>
  <r>
    <x v="626"/>
    <x v="5"/>
    <n v="89755.25"/>
    <x v="10"/>
    <n v="1"/>
    <x v="571"/>
    <n v="0.7833"/>
    <n v="4"/>
    <n v="52720.160000000003"/>
    <n v="18460.599999999999"/>
    <n v="40"/>
    <x v="0"/>
    <x v="2"/>
    <x v="2"/>
    <x v="613"/>
    <x v="1"/>
  </r>
  <r>
    <x v="627"/>
    <x v="0"/>
    <n v="170001.26"/>
    <x v="33"/>
    <n v="1"/>
    <x v="24"/>
    <n v="0.46100000000000002"/>
    <n v="1"/>
    <n v="84033.63"/>
    <n v="66740.25"/>
    <n v="9"/>
    <x v="0"/>
    <x v="2"/>
    <x v="2"/>
    <x v="614"/>
    <x v="1"/>
  </r>
  <r>
    <x v="628"/>
    <x v="2"/>
    <n v="84255.07"/>
    <x v="26"/>
    <n v="1"/>
    <x v="572"/>
    <n v="0.51939999999999997"/>
    <n v="4"/>
    <n v="33688.25"/>
    <n v="18429.16"/>
    <n v="102"/>
    <x v="0"/>
    <x v="0"/>
    <x v="2"/>
    <x v="615"/>
    <x v="1"/>
  </r>
  <r>
    <x v="629"/>
    <x v="1"/>
    <n v="27186.35"/>
    <x v="33"/>
    <n v="1"/>
    <x v="573"/>
    <n v="0.56330000000000002"/>
    <n v="3"/>
    <n v="11162.92"/>
    <n v="10259.11"/>
    <n v="79"/>
    <x v="2"/>
    <x v="0"/>
    <x v="1"/>
    <x v="616"/>
    <x v="1"/>
  </r>
  <r>
    <x v="630"/>
    <x v="2"/>
    <n v="94112.14"/>
    <x v="4"/>
    <n v="0"/>
    <x v="574"/>
    <n v="0.84830000000000005"/>
    <n v="4"/>
    <n v="76315.86"/>
    <n v="48497.89"/>
    <n v="103"/>
    <x v="1"/>
    <x v="0"/>
    <x v="1"/>
    <x v="617"/>
    <x v="1"/>
  </r>
  <r>
    <x v="631"/>
    <x v="4"/>
    <n v="110673.42"/>
    <x v="12"/>
    <n v="0"/>
    <x v="575"/>
    <n v="0.29680000000000001"/>
    <n v="2"/>
    <n v="39154.43"/>
    <n v="12869.24"/>
    <n v="58"/>
    <x v="0"/>
    <x v="0"/>
    <x v="1"/>
    <x v="618"/>
    <x v="1"/>
  </r>
  <r>
    <x v="632"/>
    <x v="0"/>
    <n v="84028.19"/>
    <x v="25"/>
    <n v="1"/>
    <x v="45"/>
    <n v="0.23280000000000001"/>
    <n v="1"/>
    <n v="500"/>
    <n v="0"/>
    <n v="57"/>
    <x v="0"/>
    <x v="2"/>
    <x v="0"/>
    <x v="619"/>
    <x v="1"/>
  </r>
  <r>
    <x v="633"/>
    <x v="0"/>
    <n v="82217.78"/>
    <x v="46"/>
    <n v="1"/>
    <x v="576"/>
    <n v="0.56000000000000005"/>
    <n v="2"/>
    <n v="49591.17"/>
    <n v="37702.54"/>
    <n v="103"/>
    <x v="1"/>
    <x v="0"/>
    <x v="2"/>
    <x v="620"/>
    <x v="1"/>
  </r>
  <r>
    <x v="634"/>
    <x v="4"/>
    <n v="34458.449999999997"/>
    <x v="25"/>
    <n v="0"/>
    <x v="577"/>
    <n v="0.38719999999999999"/>
    <n v="5"/>
    <n v="500"/>
    <n v="2558.04"/>
    <n v="161"/>
    <x v="1"/>
    <x v="0"/>
    <x v="1"/>
    <x v="621"/>
    <x v="0"/>
  </r>
  <r>
    <x v="635"/>
    <x v="5"/>
    <n v="184418.19"/>
    <x v="9"/>
    <n v="0"/>
    <x v="578"/>
    <n v="0.1598"/>
    <n v="0"/>
    <n v="38240.74"/>
    <n v="15248.85"/>
    <n v="104"/>
    <x v="1"/>
    <x v="2"/>
    <x v="1"/>
    <x v="622"/>
    <x v="1"/>
  </r>
  <r>
    <x v="636"/>
    <x v="5"/>
    <n v="188537.3"/>
    <x v="48"/>
    <n v="1"/>
    <x v="579"/>
    <n v="0.53549999999999998"/>
    <n v="3"/>
    <n v="104019.26"/>
    <n v="55259.15"/>
    <n v="95"/>
    <x v="1"/>
    <x v="0"/>
    <x v="1"/>
    <x v="623"/>
    <x v="1"/>
  </r>
  <r>
    <x v="637"/>
    <x v="0"/>
    <n v="28373.86"/>
    <x v="23"/>
    <n v="1"/>
    <x v="580"/>
    <n v="0.68489999999999995"/>
    <n v="6"/>
    <n v="12704.1"/>
    <n v="8145.79"/>
    <n v="176"/>
    <x v="1"/>
    <x v="0"/>
    <x v="1"/>
    <x v="624"/>
    <x v="1"/>
  </r>
  <r>
    <x v="638"/>
    <x v="1"/>
    <n v="88354.1"/>
    <x v="4"/>
    <n v="1"/>
    <x v="581"/>
    <n v="0.4214"/>
    <n v="2"/>
    <n v="40068.620000000003"/>
    <n v="20192.810000000001"/>
    <n v="104"/>
    <x v="1"/>
    <x v="2"/>
    <x v="2"/>
    <x v="625"/>
    <x v="1"/>
  </r>
  <r>
    <x v="639"/>
    <x v="2"/>
    <n v="86616.87"/>
    <x v="29"/>
    <n v="1"/>
    <x v="582"/>
    <n v="0.61209999999999998"/>
    <n v="6"/>
    <n v="48580.13"/>
    <n v="27889.42"/>
    <n v="111"/>
    <x v="2"/>
    <x v="1"/>
    <x v="2"/>
    <x v="626"/>
    <x v="1"/>
  </r>
  <r>
    <x v="640"/>
    <x v="2"/>
    <n v="17798.689999999999"/>
    <x v="36"/>
    <n v="0"/>
    <x v="583"/>
    <n v="0.37959999999999999"/>
    <n v="4"/>
    <n v="6505.96"/>
    <n v="0"/>
    <n v="7"/>
    <x v="3"/>
    <x v="2"/>
    <x v="0"/>
    <x v="627"/>
    <x v="1"/>
  </r>
  <r>
    <x v="641"/>
    <x v="5"/>
    <n v="119518.07"/>
    <x v="6"/>
    <n v="0"/>
    <x v="584"/>
    <n v="0.65780000000000005"/>
    <n v="4"/>
    <n v="87242.09"/>
    <n v="63693.46"/>
    <n v="134"/>
    <x v="2"/>
    <x v="0"/>
    <x v="2"/>
    <x v="628"/>
    <x v="1"/>
  </r>
  <r>
    <x v="642"/>
    <x v="0"/>
    <n v="116646.49"/>
    <x v="11"/>
    <n v="0"/>
    <x v="585"/>
    <n v="0.65469999999999995"/>
    <n v="9"/>
    <n v="87562.58"/>
    <n v="54927.43"/>
    <n v="165"/>
    <x v="0"/>
    <x v="2"/>
    <x v="0"/>
    <x v="629"/>
    <x v="0"/>
  </r>
  <r>
    <x v="643"/>
    <x v="1"/>
    <n v="101910.39"/>
    <x v="43"/>
    <n v="1"/>
    <x v="586"/>
    <n v="0.25390000000000001"/>
    <n v="1"/>
    <n v="19759.46"/>
    <n v="24273.7"/>
    <n v="7"/>
    <x v="1"/>
    <x v="2"/>
    <x v="0"/>
    <x v="630"/>
    <x v="1"/>
  </r>
  <r>
    <x v="644"/>
    <x v="0"/>
    <n v="101336.66"/>
    <x v="42"/>
    <n v="0"/>
    <x v="587"/>
    <n v="0.82179999999999997"/>
    <n v="4"/>
    <n v="98738.2"/>
    <n v="55990.84"/>
    <n v="92"/>
    <x v="1"/>
    <x v="0"/>
    <x v="1"/>
    <x v="631"/>
    <x v="1"/>
  </r>
  <r>
    <x v="645"/>
    <x v="1"/>
    <n v="122652.85"/>
    <x v="3"/>
    <n v="0"/>
    <x v="588"/>
    <n v="0.19009999999999999"/>
    <n v="3"/>
    <n v="28267.89"/>
    <n v="16324.49"/>
    <n v="122"/>
    <x v="2"/>
    <x v="0"/>
    <x v="2"/>
    <x v="632"/>
    <x v="1"/>
  </r>
  <r>
    <x v="646"/>
    <x v="2"/>
    <n v="112745.58"/>
    <x v="42"/>
    <n v="1"/>
    <x v="589"/>
    <n v="0.32869999999999999"/>
    <n v="5"/>
    <n v="42769.89"/>
    <n v="22327.26"/>
    <n v="164"/>
    <x v="1"/>
    <x v="2"/>
    <x v="1"/>
    <x v="633"/>
    <x v="1"/>
  </r>
  <r>
    <x v="647"/>
    <x v="4"/>
    <n v="86989.18"/>
    <x v="10"/>
    <n v="0"/>
    <x v="590"/>
    <n v="0.42459999999999998"/>
    <n v="6"/>
    <n v="44660.75"/>
    <n v="29765.1"/>
    <n v="161"/>
    <x v="1"/>
    <x v="2"/>
    <x v="1"/>
    <x v="634"/>
    <x v="1"/>
  </r>
  <r>
    <x v="648"/>
    <x v="1"/>
    <n v="189458.43"/>
    <x v="22"/>
    <n v="1"/>
    <x v="591"/>
    <n v="0.89149999999999996"/>
    <n v="5"/>
    <n v="189113.56"/>
    <n v="107828.04"/>
    <n v="81"/>
    <x v="1"/>
    <x v="2"/>
    <x v="2"/>
    <x v="635"/>
    <x v="1"/>
  </r>
  <r>
    <x v="649"/>
    <x v="1"/>
    <n v="34654.57"/>
    <x v="39"/>
    <n v="1"/>
    <x v="592"/>
    <n v="0.72119999999999995"/>
    <n v="3"/>
    <n v="46266.18"/>
    <n v="20499.79"/>
    <n v="49"/>
    <x v="2"/>
    <x v="1"/>
    <x v="1"/>
    <x v="636"/>
    <x v="1"/>
  </r>
  <r>
    <x v="650"/>
    <x v="3"/>
    <n v="91148.05"/>
    <x v="4"/>
    <n v="0"/>
    <x v="593"/>
    <n v="0.36349999999999999"/>
    <n v="1"/>
    <n v="36778.79"/>
    <n v="26725.43"/>
    <n v="89"/>
    <x v="2"/>
    <x v="2"/>
    <x v="0"/>
    <x v="30"/>
    <x v="1"/>
  </r>
  <r>
    <x v="651"/>
    <x v="2"/>
    <n v="141124.26999999999"/>
    <x v="38"/>
    <n v="0"/>
    <x v="594"/>
    <n v="0"/>
    <n v="0"/>
    <n v="500"/>
    <n v="2325.52"/>
    <n v="63"/>
    <x v="2"/>
    <x v="2"/>
    <x v="1"/>
    <x v="637"/>
    <x v="1"/>
  </r>
  <r>
    <x v="652"/>
    <x v="0"/>
    <n v="38775.07"/>
    <x v="23"/>
    <n v="0"/>
    <x v="595"/>
    <n v="0.34310000000000002"/>
    <n v="0"/>
    <n v="21841.55"/>
    <n v="0"/>
    <n v="117"/>
    <x v="2"/>
    <x v="0"/>
    <x v="0"/>
    <x v="638"/>
    <x v="1"/>
  </r>
  <r>
    <x v="653"/>
    <x v="2"/>
    <n v="100179.06"/>
    <x v="1"/>
    <n v="1"/>
    <x v="596"/>
    <n v="0.27589999999999998"/>
    <n v="0"/>
    <n v="49344.55"/>
    <n v="43547.08"/>
    <n v="6"/>
    <x v="0"/>
    <x v="2"/>
    <x v="0"/>
    <x v="639"/>
    <x v="1"/>
  </r>
  <r>
    <x v="654"/>
    <x v="4"/>
    <n v="21417.25"/>
    <x v="8"/>
    <n v="1"/>
    <x v="170"/>
    <n v="0.51890000000000003"/>
    <n v="3"/>
    <n v="769.82"/>
    <n v="0"/>
    <n v="33"/>
    <x v="1"/>
    <x v="2"/>
    <x v="1"/>
    <x v="640"/>
    <x v="1"/>
  </r>
  <r>
    <x v="655"/>
    <x v="3"/>
    <n v="174956.93"/>
    <x v="7"/>
    <n v="0"/>
    <x v="597"/>
    <n v="0.2722"/>
    <n v="1"/>
    <n v="71957.27"/>
    <n v="56298.89"/>
    <n v="14"/>
    <x v="1"/>
    <x v="0"/>
    <x v="3"/>
    <x v="641"/>
    <x v="1"/>
  </r>
  <r>
    <x v="656"/>
    <x v="3"/>
    <n v="160449.74"/>
    <x v="22"/>
    <n v="1"/>
    <x v="598"/>
    <n v="0.28160000000000002"/>
    <n v="1"/>
    <n v="35099.65"/>
    <n v="43925.51"/>
    <n v="21"/>
    <x v="3"/>
    <x v="0"/>
    <x v="2"/>
    <x v="642"/>
    <x v="1"/>
  </r>
  <r>
    <x v="657"/>
    <x v="0"/>
    <n v="160868.01999999999"/>
    <x v="20"/>
    <n v="1"/>
    <x v="599"/>
    <n v="0"/>
    <n v="1"/>
    <n v="500"/>
    <n v="0"/>
    <n v="174"/>
    <x v="2"/>
    <x v="0"/>
    <x v="0"/>
    <x v="643"/>
    <x v="1"/>
  </r>
  <r>
    <x v="658"/>
    <x v="4"/>
    <n v="44967.76"/>
    <x v="21"/>
    <n v="1"/>
    <x v="600"/>
    <n v="0.41210000000000002"/>
    <n v="1"/>
    <n v="6479.96"/>
    <n v="3545.37"/>
    <n v="55"/>
    <x v="1"/>
    <x v="2"/>
    <x v="0"/>
    <x v="644"/>
    <x v="1"/>
  </r>
  <r>
    <x v="659"/>
    <x v="3"/>
    <n v="161331.28"/>
    <x v="12"/>
    <n v="1"/>
    <x v="601"/>
    <n v="8.1699999999999995E-2"/>
    <n v="0"/>
    <n v="15540.75"/>
    <n v="19728.71"/>
    <n v="80"/>
    <x v="2"/>
    <x v="0"/>
    <x v="2"/>
    <x v="645"/>
    <x v="1"/>
  </r>
  <r>
    <x v="660"/>
    <x v="0"/>
    <n v="65182.73"/>
    <x v="17"/>
    <n v="0"/>
    <x v="602"/>
    <n v="0.75170000000000003"/>
    <n v="6"/>
    <n v="58181.84"/>
    <n v="29931.360000000001"/>
    <n v="115"/>
    <x v="1"/>
    <x v="0"/>
    <x v="0"/>
    <x v="646"/>
    <x v="1"/>
  </r>
  <r>
    <x v="661"/>
    <x v="4"/>
    <n v="130182.83"/>
    <x v="38"/>
    <n v="1"/>
    <x v="603"/>
    <n v="0.35520000000000002"/>
    <n v="0"/>
    <n v="24276.65"/>
    <n v="13617.84"/>
    <n v="14"/>
    <x v="0"/>
    <x v="0"/>
    <x v="0"/>
    <x v="647"/>
    <x v="1"/>
  </r>
  <r>
    <x v="662"/>
    <x v="2"/>
    <n v="124825.99"/>
    <x v="27"/>
    <n v="1"/>
    <x v="604"/>
    <n v="0.24079999999999999"/>
    <n v="0"/>
    <n v="15909.41"/>
    <n v="1033.6400000000001"/>
    <n v="172"/>
    <x v="1"/>
    <x v="2"/>
    <x v="0"/>
    <x v="648"/>
    <x v="1"/>
  </r>
  <r>
    <x v="663"/>
    <x v="3"/>
    <n v="91632.29"/>
    <x v="6"/>
    <n v="0"/>
    <x v="605"/>
    <n v="0.13950000000000001"/>
    <n v="4"/>
    <n v="15605.64"/>
    <n v="4140.3"/>
    <n v="30"/>
    <x v="2"/>
    <x v="0"/>
    <x v="1"/>
    <x v="649"/>
    <x v="1"/>
  </r>
  <r>
    <x v="664"/>
    <x v="5"/>
    <n v="36437.11"/>
    <x v="2"/>
    <n v="0"/>
    <x v="606"/>
    <n v="0.22"/>
    <n v="4"/>
    <n v="20087.310000000001"/>
    <n v="6939.95"/>
    <n v="109"/>
    <x v="2"/>
    <x v="0"/>
    <x v="1"/>
    <x v="650"/>
    <x v="1"/>
  </r>
  <r>
    <x v="665"/>
    <x v="4"/>
    <n v="71332.88"/>
    <x v="42"/>
    <n v="0"/>
    <x v="607"/>
    <n v="0.13439999999999999"/>
    <n v="2"/>
    <n v="500"/>
    <n v="486.16"/>
    <n v="174"/>
    <x v="2"/>
    <x v="0"/>
    <x v="1"/>
    <x v="651"/>
    <x v="1"/>
  </r>
  <r>
    <x v="666"/>
    <x v="2"/>
    <n v="13929.19"/>
    <x v="38"/>
    <n v="1"/>
    <x v="608"/>
    <n v="0.71719999999999995"/>
    <n v="5"/>
    <n v="6297.08"/>
    <n v="1169.02"/>
    <n v="71"/>
    <x v="2"/>
    <x v="0"/>
    <x v="3"/>
    <x v="652"/>
    <x v="1"/>
  </r>
  <r>
    <x v="667"/>
    <x v="2"/>
    <n v="88347.81"/>
    <x v="29"/>
    <n v="0"/>
    <x v="609"/>
    <n v="0.34749999999999998"/>
    <n v="2"/>
    <n v="35311.06"/>
    <n v="44454.76"/>
    <n v="81"/>
    <x v="1"/>
    <x v="0"/>
    <x v="1"/>
    <x v="653"/>
    <x v="1"/>
  </r>
  <r>
    <x v="668"/>
    <x v="1"/>
    <n v="2000"/>
    <x v="21"/>
    <n v="1"/>
    <x v="293"/>
    <n v="0.16520000000000001"/>
    <n v="0"/>
    <n v="500"/>
    <n v="0"/>
    <n v="17"/>
    <x v="0"/>
    <x v="0"/>
    <x v="0"/>
    <x v="654"/>
    <x v="1"/>
  </r>
  <r>
    <x v="669"/>
    <x v="0"/>
    <n v="2000"/>
    <x v="35"/>
    <n v="1"/>
    <x v="610"/>
    <n v="0.29010000000000002"/>
    <n v="2"/>
    <n v="500"/>
    <n v="0"/>
    <n v="172"/>
    <x v="2"/>
    <x v="0"/>
    <x v="0"/>
    <x v="655"/>
    <x v="1"/>
  </r>
  <r>
    <x v="670"/>
    <x v="4"/>
    <n v="28184.06"/>
    <x v="49"/>
    <n v="1"/>
    <x v="88"/>
    <n v="0.50090000000000001"/>
    <n v="6"/>
    <n v="11535.24"/>
    <n v="19731.45"/>
    <n v="171"/>
    <x v="0"/>
    <x v="0"/>
    <x v="1"/>
    <x v="656"/>
    <x v="1"/>
  </r>
  <r>
    <x v="671"/>
    <x v="0"/>
    <n v="34590.730000000003"/>
    <x v="36"/>
    <n v="1"/>
    <x v="611"/>
    <n v="0.80249999999999999"/>
    <n v="1"/>
    <n v="54423.360000000001"/>
    <n v="34003.08"/>
    <n v="142"/>
    <x v="0"/>
    <x v="2"/>
    <x v="0"/>
    <x v="657"/>
    <x v="1"/>
  </r>
  <r>
    <x v="672"/>
    <x v="5"/>
    <n v="63611.47"/>
    <x v="0"/>
    <n v="1"/>
    <x v="612"/>
    <n v="0.67110000000000003"/>
    <n v="7"/>
    <n v="41683.75"/>
    <n v="34217.67"/>
    <n v="62"/>
    <x v="1"/>
    <x v="0"/>
    <x v="2"/>
    <x v="658"/>
    <x v="1"/>
  </r>
  <r>
    <x v="673"/>
    <x v="4"/>
    <n v="154881.07"/>
    <x v="7"/>
    <n v="1"/>
    <x v="613"/>
    <n v="0.53080000000000005"/>
    <n v="2"/>
    <n v="76866.929999999993"/>
    <n v="56488.21"/>
    <n v="18"/>
    <x v="0"/>
    <x v="1"/>
    <x v="0"/>
    <x v="659"/>
    <x v="1"/>
  </r>
  <r>
    <x v="674"/>
    <x v="3"/>
    <n v="83547.02"/>
    <x v="49"/>
    <n v="0"/>
    <x v="614"/>
    <n v="0"/>
    <n v="0"/>
    <n v="500"/>
    <n v="6389.03"/>
    <n v="72"/>
    <x v="0"/>
    <x v="2"/>
    <x v="0"/>
    <x v="660"/>
    <x v="1"/>
  </r>
  <r>
    <x v="675"/>
    <x v="2"/>
    <n v="121315.91"/>
    <x v="12"/>
    <n v="1"/>
    <x v="615"/>
    <n v="0.22500000000000001"/>
    <n v="0"/>
    <n v="46233.91"/>
    <n v="32412.26"/>
    <n v="123"/>
    <x v="0"/>
    <x v="1"/>
    <x v="1"/>
    <x v="240"/>
    <x v="1"/>
  </r>
  <r>
    <x v="676"/>
    <x v="0"/>
    <n v="82319.25"/>
    <x v="47"/>
    <n v="0"/>
    <x v="616"/>
    <n v="0.73699999999999999"/>
    <n v="2"/>
    <n v="50597.93"/>
    <n v="53491.03"/>
    <n v="84"/>
    <x v="1"/>
    <x v="0"/>
    <x v="0"/>
    <x v="661"/>
    <x v="1"/>
  </r>
  <r>
    <x v="677"/>
    <x v="4"/>
    <n v="124868.4"/>
    <x v="44"/>
    <n v="0"/>
    <x v="617"/>
    <n v="0.35210000000000002"/>
    <n v="1"/>
    <n v="77647.56"/>
    <n v="50896.28"/>
    <n v="114"/>
    <x v="1"/>
    <x v="1"/>
    <x v="0"/>
    <x v="662"/>
    <x v="1"/>
  </r>
  <r>
    <x v="678"/>
    <x v="3"/>
    <n v="63187.63"/>
    <x v="49"/>
    <n v="0"/>
    <x v="618"/>
    <n v="0.318"/>
    <n v="0"/>
    <n v="500"/>
    <n v="0"/>
    <n v="7"/>
    <x v="1"/>
    <x v="2"/>
    <x v="1"/>
    <x v="663"/>
    <x v="1"/>
  </r>
  <r>
    <x v="679"/>
    <x v="1"/>
    <n v="163706.74"/>
    <x v="42"/>
    <n v="0"/>
    <x v="619"/>
    <n v="0.3327"/>
    <n v="1"/>
    <n v="57349.43"/>
    <n v="50756.94"/>
    <n v="63"/>
    <x v="0"/>
    <x v="0"/>
    <x v="0"/>
    <x v="664"/>
    <x v="1"/>
  </r>
  <r>
    <x v="680"/>
    <x v="5"/>
    <n v="139970.62"/>
    <x v="44"/>
    <n v="0"/>
    <x v="620"/>
    <n v="0.31430000000000002"/>
    <n v="3"/>
    <n v="53742.41"/>
    <n v="35007.660000000003"/>
    <n v="144"/>
    <x v="2"/>
    <x v="2"/>
    <x v="0"/>
    <x v="665"/>
    <x v="0"/>
  </r>
  <r>
    <x v="681"/>
    <x v="1"/>
    <n v="93735.08"/>
    <x v="24"/>
    <n v="1"/>
    <x v="621"/>
    <n v="0.3266"/>
    <n v="1"/>
    <n v="63453.08"/>
    <n v="30605.23"/>
    <n v="15"/>
    <x v="2"/>
    <x v="2"/>
    <x v="2"/>
    <x v="666"/>
    <x v="0"/>
  </r>
  <r>
    <x v="682"/>
    <x v="5"/>
    <n v="139947.85"/>
    <x v="30"/>
    <n v="0"/>
    <x v="622"/>
    <n v="0.3846"/>
    <n v="3"/>
    <n v="61244.62"/>
    <n v="38579.550000000003"/>
    <n v="96"/>
    <x v="0"/>
    <x v="0"/>
    <x v="0"/>
    <x v="667"/>
    <x v="1"/>
  </r>
  <r>
    <x v="683"/>
    <x v="5"/>
    <n v="72500.100000000006"/>
    <x v="7"/>
    <n v="1"/>
    <x v="24"/>
    <n v="0.41860000000000003"/>
    <n v="3"/>
    <n v="47267.82"/>
    <n v="32451.26"/>
    <n v="52"/>
    <x v="1"/>
    <x v="0"/>
    <x v="3"/>
    <x v="668"/>
    <x v="1"/>
  </r>
  <r>
    <x v="684"/>
    <x v="3"/>
    <n v="67068.62"/>
    <x v="23"/>
    <n v="1"/>
    <x v="623"/>
    <n v="0.18410000000000001"/>
    <n v="2"/>
    <n v="19203.689999999999"/>
    <n v="9504.81"/>
    <n v="54"/>
    <x v="0"/>
    <x v="0"/>
    <x v="0"/>
    <x v="669"/>
    <x v="1"/>
  </r>
  <r>
    <x v="685"/>
    <x v="4"/>
    <n v="99952.06"/>
    <x v="22"/>
    <n v="1"/>
    <x v="24"/>
    <n v="0.2213"/>
    <n v="3"/>
    <n v="33922.959999999999"/>
    <n v="15037.52"/>
    <n v="38"/>
    <x v="0"/>
    <x v="2"/>
    <x v="2"/>
    <x v="670"/>
    <x v="1"/>
  </r>
  <r>
    <x v="686"/>
    <x v="4"/>
    <n v="166806.07"/>
    <x v="48"/>
    <n v="1"/>
    <x v="624"/>
    <n v="0.82630000000000003"/>
    <n v="8"/>
    <n v="139897.06"/>
    <n v="81173.070000000007"/>
    <n v="94"/>
    <x v="1"/>
    <x v="2"/>
    <x v="0"/>
    <x v="671"/>
    <x v="1"/>
  </r>
  <r>
    <x v="687"/>
    <x v="0"/>
    <n v="52925.23"/>
    <x v="23"/>
    <n v="0"/>
    <x v="625"/>
    <n v="0.41439999999999999"/>
    <n v="2"/>
    <n v="28035.26"/>
    <n v="11620.65"/>
    <n v="136"/>
    <x v="0"/>
    <x v="0"/>
    <x v="0"/>
    <x v="672"/>
    <x v="1"/>
  </r>
  <r>
    <x v="688"/>
    <x v="4"/>
    <n v="69778.05"/>
    <x v="29"/>
    <n v="1"/>
    <x v="626"/>
    <n v="0.52470000000000006"/>
    <n v="6"/>
    <n v="45185.89"/>
    <n v="14060.85"/>
    <n v="134"/>
    <x v="1"/>
    <x v="0"/>
    <x v="2"/>
    <x v="673"/>
    <x v="0"/>
  </r>
  <r>
    <x v="689"/>
    <x v="0"/>
    <n v="71504.75"/>
    <x v="37"/>
    <n v="0"/>
    <x v="24"/>
    <n v="0.58189999999999997"/>
    <n v="5"/>
    <n v="34797.08"/>
    <n v="25238.68"/>
    <n v="19"/>
    <x v="1"/>
    <x v="2"/>
    <x v="1"/>
    <x v="674"/>
    <x v="1"/>
  </r>
  <r>
    <x v="690"/>
    <x v="1"/>
    <n v="98365.78"/>
    <x v="12"/>
    <n v="1"/>
    <x v="627"/>
    <n v="4.1399999999999999E-2"/>
    <n v="1"/>
    <n v="500"/>
    <n v="6352.87"/>
    <n v="77"/>
    <x v="2"/>
    <x v="2"/>
    <x v="0"/>
    <x v="675"/>
    <x v="0"/>
  </r>
  <r>
    <x v="691"/>
    <x v="2"/>
    <n v="72545.710000000006"/>
    <x v="4"/>
    <n v="0"/>
    <x v="628"/>
    <n v="0.22750000000000001"/>
    <n v="0"/>
    <n v="22235.759999999998"/>
    <n v="19203.25"/>
    <n v="131"/>
    <x v="1"/>
    <x v="0"/>
    <x v="0"/>
    <x v="617"/>
    <x v="1"/>
  </r>
  <r>
    <x v="692"/>
    <x v="4"/>
    <n v="5139.8999999999996"/>
    <x v="33"/>
    <n v="1"/>
    <x v="621"/>
    <n v="0.10829999999999999"/>
    <n v="4"/>
    <n v="500"/>
    <n v="0"/>
    <n v="160"/>
    <x v="1"/>
    <x v="2"/>
    <x v="0"/>
    <x v="676"/>
    <x v="1"/>
  </r>
  <r>
    <x v="693"/>
    <x v="4"/>
    <n v="152588.47"/>
    <x v="23"/>
    <n v="1"/>
    <x v="83"/>
    <n v="0.35680000000000001"/>
    <n v="6"/>
    <n v="48286.44"/>
    <n v="34090.44"/>
    <n v="120"/>
    <x v="2"/>
    <x v="0"/>
    <x v="1"/>
    <x v="677"/>
    <x v="1"/>
  </r>
  <r>
    <x v="694"/>
    <x v="0"/>
    <n v="69013.259999999995"/>
    <x v="1"/>
    <n v="1"/>
    <x v="629"/>
    <n v="0.25879999999999997"/>
    <n v="2"/>
    <n v="28700.75"/>
    <n v="18649.439999999999"/>
    <n v="70"/>
    <x v="2"/>
    <x v="2"/>
    <x v="2"/>
    <x v="597"/>
    <x v="1"/>
  </r>
  <r>
    <x v="695"/>
    <x v="0"/>
    <n v="74612.78"/>
    <x v="24"/>
    <n v="1"/>
    <x v="630"/>
    <n v="0"/>
    <n v="2"/>
    <n v="6451.4"/>
    <n v="12759.51"/>
    <n v="11"/>
    <x v="0"/>
    <x v="0"/>
    <x v="3"/>
    <x v="678"/>
    <x v="1"/>
  </r>
  <r>
    <x v="696"/>
    <x v="4"/>
    <n v="105327.26"/>
    <x v="20"/>
    <n v="0"/>
    <x v="631"/>
    <n v="0.56840000000000002"/>
    <n v="7"/>
    <n v="41383.29"/>
    <n v="28127.45"/>
    <n v="137"/>
    <x v="3"/>
    <x v="0"/>
    <x v="1"/>
    <x v="679"/>
    <x v="1"/>
  </r>
  <r>
    <x v="697"/>
    <x v="2"/>
    <n v="142050.09"/>
    <x v="0"/>
    <n v="1"/>
    <x v="632"/>
    <n v="0.42049999999999998"/>
    <n v="0"/>
    <n v="50957.14"/>
    <n v="53096.99"/>
    <n v="137"/>
    <x v="1"/>
    <x v="2"/>
    <x v="1"/>
    <x v="680"/>
    <x v="1"/>
  </r>
  <r>
    <x v="698"/>
    <x v="3"/>
    <n v="103088.75"/>
    <x v="40"/>
    <n v="0"/>
    <x v="24"/>
    <n v="0.53049999999999997"/>
    <n v="4"/>
    <n v="42498.09"/>
    <n v="32607.16"/>
    <n v="169"/>
    <x v="0"/>
    <x v="2"/>
    <x v="2"/>
    <x v="569"/>
    <x v="1"/>
  </r>
  <r>
    <x v="699"/>
    <x v="0"/>
    <n v="168922.74"/>
    <x v="18"/>
    <n v="1"/>
    <x v="633"/>
    <n v="0.38869999999999999"/>
    <n v="5"/>
    <n v="80132.28"/>
    <n v="44486.26"/>
    <n v="89"/>
    <x v="0"/>
    <x v="2"/>
    <x v="1"/>
    <x v="681"/>
    <x v="1"/>
  </r>
  <r>
    <x v="700"/>
    <x v="1"/>
    <n v="38102.400000000001"/>
    <x v="10"/>
    <n v="0"/>
    <x v="634"/>
    <n v="0.74909999999999999"/>
    <n v="4"/>
    <n v="42571.8"/>
    <n v="31989.23"/>
    <n v="77"/>
    <x v="0"/>
    <x v="1"/>
    <x v="1"/>
    <x v="682"/>
    <x v="1"/>
  </r>
  <r>
    <x v="701"/>
    <x v="1"/>
    <n v="79609.8"/>
    <x v="2"/>
    <n v="1"/>
    <x v="635"/>
    <n v="2.4E-2"/>
    <n v="2"/>
    <n v="500"/>
    <n v="0"/>
    <n v="58"/>
    <x v="2"/>
    <x v="0"/>
    <x v="0"/>
    <x v="683"/>
    <x v="1"/>
  </r>
  <r>
    <x v="702"/>
    <x v="5"/>
    <n v="116699.98"/>
    <x v="36"/>
    <n v="0"/>
    <x v="636"/>
    <n v="1.8599999999999998E-2"/>
    <n v="2"/>
    <n v="500"/>
    <n v="2106.52"/>
    <n v="128"/>
    <x v="0"/>
    <x v="0"/>
    <x v="0"/>
    <x v="684"/>
    <x v="1"/>
  </r>
  <r>
    <x v="703"/>
    <x v="3"/>
    <n v="67842.7"/>
    <x v="32"/>
    <n v="0"/>
    <x v="637"/>
    <n v="0.58440000000000003"/>
    <n v="2"/>
    <n v="68654.710000000006"/>
    <n v="53598.8"/>
    <n v="54"/>
    <x v="0"/>
    <x v="0"/>
    <x v="0"/>
    <x v="685"/>
    <x v="1"/>
  </r>
  <r>
    <x v="704"/>
    <x v="0"/>
    <n v="110325.4"/>
    <x v="42"/>
    <n v="1"/>
    <x v="638"/>
    <n v="0.67090000000000005"/>
    <n v="6"/>
    <n v="80878.600000000006"/>
    <n v="54718.66"/>
    <n v="104"/>
    <x v="0"/>
    <x v="2"/>
    <x v="1"/>
    <x v="686"/>
    <x v="1"/>
  </r>
  <r>
    <x v="705"/>
    <x v="3"/>
    <n v="79392.39"/>
    <x v="14"/>
    <n v="0"/>
    <x v="635"/>
    <n v="0.98699999999999999"/>
    <n v="3"/>
    <n v="62771.68"/>
    <n v="55516.34"/>
    <n v="144"/>
    <x v="1"/>
    <x v="0"/>
    <x v="1"/>
    <x v="687"/>
    <x v="1"/>
  </r>
  <r>
    <x v="706"/>
    <x v="5"/>
    <n v="32546.87"/>
    <x v="46"/>
    <n v="1"/>
    <x v="639"/>
    <n v="0.48570000000000002"/>
    <n v="1"/>
    <n v="4691.1899999999996"/>
    <n v="4039.52"/>
    <n v="145"/>
    <x v="1"/>
    <x v="2"/>
    <x v="0"/>
    <x v="688"/>
    <x v="1"/>
  </r>
  <r>
    <x v="707"/>
    <x v="0"/>
    <n v="71318.37"/>
    <x v="9"/>
    <n v="1"/>
    <x v="640"/>
    <n v="0.23050000000000001"/>
    <n v="3"/>
    <n v="16520.810000000001"/>
    <n v="13422.13"/>
    <n v="96"/>
    <x v="1"/>
    <x v="0"/>
    <x v="2"/>
    <x v="689"/>
    <x v="1"/>
  </r>
  <r>
    <x v="708"/>
    <x v="5"/>
    <n v="152524.32"/>
    <x v="38"/>
    <n v="1"/>
    <x v="641"/>
    <n v="0"/>
    <n v="1"/>
    <n v="5986.21"/>
    <n v="23251.62"/>
    <n v="78"/>
    <x v="1"/>
    <x v="2"/>
    <x v="0"/>
    <x v="690"/>
    <x v="1"/>
  </r>
  <r>
    <x v="709"/>
    <x v="3"/>
    <n v="43149.38"/>
    <x v="31"/>
    <n v="0"/>
    <x v="642"/>
    <n v="0.61509999999999998"/>
    <n v="3"/>
    <n v="34712.46"/>
    <n v="10229.33"/>
    <n v="83"/>
    <x v="1"/>
    <x v="0"/>
    <x v="2"/>
    <x v="691"/>
    <x v="1"/>
  </r>
  <r>
    <x v="710"/>
    <x v="1"/>
    <n v="46808.56"/>
    <x v="19"/>
    <n v="0"/>
    <x v="643"/>
    <n v="0.54669999999999996"/>
    <n v="0"/>
    <n v="26470.240000000002"/>
    <n v="18253.259999999998"/>
    <n v="44"/>
    <x v="2"/>
    <x v="0"/>
    <x v="0"/>
    <x v="692"/>
    <x v="1"/>
  </r>
  <r>
    <x v="711"/>
    <x v="3"/>
    <n v="116408.34"/>
    <x v="28"/>
    <n v="1"/>
    <x v="644"/>
    <n v="0.57230000000000003"/>
    <n v="3"/>
    <n v="58325.01"/>
    <n v="41543.17"/>
    <n v="104"/>
    <x v="1"/>
    <x v="0"/>
    <x v="1"/>
    <x v="693"/>
    <x v="1"/>
  </r>
  <r>
    <x v="712"/>
    <x v="2"/>
    <n v="38615.050000000003"/>
    <x v="41"/>
    <n v="1"/>
    <x v="645"/>
    <n v="0.51719999999999999"/>
    <n v="0"/>
    <n v="20373.18"/>
    <n v="20799.88"/>
    <n v="133"/>
    <x v="1"/>
    <x v="0"/>
    <x v="1"/>
    <x v="694"/>
    <x v="1"/>
  </r>
  <r>
    <x v="713"/>
    <x v="4"/>
    <n v="108659.06"/>
    <x v="42"/>
    <n v="1"/>
    <x v="646"/>
    <n v="0.21929999999999999"/>
    <n v="2"/>
    <n v="500"/>
    <n v="342.01"/>
    <n v="10"/>
    <x v="1"/>
    <x v="0"/>
    <x v="0"/>
    <x v="695"/>
    <x v="1"/>
  </r>
  <r>
    <x v="714"/>
    <x v="5"/>
    <n v="126143.84"/>
    <x v="27"/>
    <n v="1"/>
    <x v="647"/>
    <n v="0.48780000000000001"/>
    <n v="1"/>
    <n v="79667.509999999995"/>
    <n v="63319.55"/>
    <n v="113"/>
    <x v="0"/>
    <x v="2"/>
    <x v="0"/>
    <x v="696"/>
    <x v="1"/>
  </r>
  <r>
    <x v="715"/>
    <x v="5"/>
    <n v="177669.78"/>
    <x v="48"/>
    <n v="1"/>
    <x v="648"/>
    <n v="1.6299999999999999E-2"/>
    <n v="0"/>
    <n v="5177.4799999999996"/>
    <n v="11756.3"/>
    <n v="128"/>
    <x v="2"/>
    <x v="2"/>
    <x v="0"/>
    <x v="697"/>
    <x v="1"/>
  </r>
  <r>
    <x v="716"/>
    <x v="4"/>
    <n v="105847.51"/>
    <x v="17"/>
    <n v="0"/>
    <x v="341"/>
    <n v="0.52649999999999997"/>
    <n v="1"/>
    <n v="57366.76"/>
    <n v="30915.38"/>
    <n v="41"/>
    <x v="1"/>
    <x v="2"/>
    <x v="0"/>
    <x v="698"/>
    <x v="1"/>
  </r>
  <r>
    <x v="717"/>
    <x v="4"/>
    <n v="111543.42"/>
    <x v="20"/>
    <n v="1"/>
    <x v="649"/>
    <n v="0.41010000000000002"/>
    <n v="5"/>
    <n v="53659.9"/>
    <n v="34647.589999999997"/>
    <n v="47"/>
    <x v="0"/>
    <x v="2"/>
    <x v="1"/>
    <x v="699"/>
    <x v="1"/>
  </r>
  <r>
    <x v="718"/>
    <x v="5"/>
    <n v="10207.16"/>
    <x v="17"/>
    <n v="0"/>
    <x v="650"/>
    <n v="7.0000000000000001E-3"/>
    <n v="0"/>
    <n v="500"/>
    <n v="2470.79"/>
    <n v="29"/>
    <x v="1"/>
    <x v="1"/>
    <x v="0"/>
    <x v="700"/>
    <x v="1"/>
  </r>
  <r>
    <x v="719"/>
    <x v="2"/>
    <n v="150732.12"/>
    <x v="25"/>
    <n v="1"/>
    <x v="651"/>
    <n v="0"/>
    <n v="0"/>
    <n v="500"/>
    <n v="0"/>
    <n v="173"/>
    <x v="1"/>
    <x v="2"/>
    <x v="0"/>
    <x v="701"/>
    <x v="1"/>
  </r>
  <r>
    <x v="720"/>
    <x v="4"/>
    <n v="72090.95"/>
    <x v="2"/>
    <n v="0"/>
    <x v="652"/>
    <n v="0.58809999999999996"/>
    <n v="5"/>
    <n v="44833.91"/>
    <n v="21492.41"/>
    <n v="67"/>
    <x v="0"/>
    <x v="2"/>
    <x v="0"/>
    <x v="702"/>
    <x v="1"/>
  </r>
  <r>
    <x v="721"/>
    <x v="1"/>
    <n v="46657.58"/>
    <x v="40"/>
    <n v="1"/>
    <x v="653"/>
    <n v="0.94910000000000005"/>
    <n v="5"/>
    <n v="50593"/>
    <n v="34992.58"/>
    <n v="129"/>
    <x v="0"/>
    <x v="0"/>
    <x v="2"/>
    <x v="703"/>
    <x v="0"/>
  </r>
  <r>
    <x v="722"/>
    <x v="3"/>
    <n v="67231.710000000006"/>
    <x v="37"/>
    <n v="1"/>
    <x v="654"/>
    <n v="0.18279999999999999"/>
    <n v="1"/>
    <n v="1411.17"/>
    <n v="5790.93"/>
    <n v="39"/>
    <x v="1"/>
    <x v="0"/>
    <x v="0"/>
    <x v="704"/>
    <x v="1"/>
  </r>
  <r>
    <x v="723"/>
    <x v="0"/>
    <n v="69263.98"/>
    <x v="36"/>
    <n v="0"/>
    <x v="24"/>
    <n v="0.46610000000000001"/>
    <n v="0"/>
    <n v="36646.620000000003"/>
    <n v="33930.67"/>
    <n v="180"/>
    <x v="1"/>
    <x v="2"/>
    <x v="0"/>
    <x v="705"/>
    <x v="1"/>
  </r>
  <r>
    <x v="724"/>
    <x v="3"/>
    <n v="151069.79"/>
    <x v="6"/>
    <n v="1"/>
    <x v="655"/>
    <n v="0.65210000000000001"/>
    <n v="6"/>
    <n v="116197.95"/>
    <n v="67417.66"/>
    <n v="161"/>
    <x v="1"/>
    <x v="1"/>
    <x v="0"/>
    <x v="706"/>
    <x v="1"/>
  </r>
  <r>
    <x v="725"/>
    <x v="3"/>
    <n v="50056.89"/>
    <x v="29"/>
    <n v="1"/>
    <x v="24"/>
    <n v="0.49819999999999998"/>
    <n v="2"/>
    <n v="14822.62"/>
    <n v="22788"/>
    <n v="45"/>
    <x v="1"/>
    <x v="1"/>
    <x v="0"/>
    <x v="707"/>
    <x v="1"/>
  </r>
  <r>
    <x v="726"/>
    <x v="2"/>
    <n v="93963.97"/>
    <x v="14"/>
    <n v="1"/>
    <x v="656"/>
    <n v="0.1246"/>
    <n v="1"/>
    <n v="17780.7"/>
    <n v="16736.150000000001"/>
    <n v="23"/>
    <x v="0"/>
    <x v="0"/>
    <x v="0"/>
    <x v="708"/>
    <x v="1"/>
  </r>
  <r>
    <x v="727"/>
    <x v="4"/>
    <n v="159839.37"/>
    <x v="22"/>
    <n v="0"/>
    <x v="24"/>
    <n v="0.34279999999999999"/>
    <n v="0"/>
    <n v="66927.91"/>
    <n v="73393.25"/>
    <n v="130"/>
    <x v="0"/>
    <x v="2"/>
    <x v="0"/>
    <x v="709"/>
    <x v="1"/>
  </r>
  <r>
    <x v="728"/>
    <x v="0"/>
    <n v="110515.91"/>
    <x v="3"/>
    <n v="1"/>
    <x v="635"/>
    <n v="5.11E-2"/>
    <n v="1"/>
    <n v="3209.08"/>
    <n v="5192.07"/>
    <n v="111"/>
    <x v="1"/>
    <x v="0"/>
    <x v="2"/>
    <x v="710"/>
    <x v="1"/>
  </r>
  <r>
    <x v="729"/>
    <x v="2"/>
    <n v="32889.839999999997"/>
    <x v="23"/>
    <n v="0"/>
    <x v="657"/>
    <n v="2.47E-2"/>
    <n v="0"/>
    <n v="500"/>
    <n v="6483.99"/>
    <n v="151"/>
    <x v="1"/>
    <x v="0"/>
    <x v="0"/>
    <x v="711"/>
    <x v="1"/>
  </r>
  <r>
    <x v="730"/>
    <x v="0"/>
    <n v="131947.12"/>
    <x v="6"/>
    <n v="1"/>
    <x v="658"/>
    <n v="0"/>
    <n v="0"/>
    <n v="7320.74"/>
    <n v="8535.42"/>
    <n v="33"/>
    <x v="2"/>
    <x v="1"/>
    <x v="1"/>
    <x v="712"/>
    <x v="1"/>
  </r>
  <r>
    <x v="731"/>
    <x v="4"/>
    <n v="128169.32"/>
    <x v="31"/>
    <n v="0"/>
    <x v="659"/>
    <n v="0.4335"/>
    <n v="1"/>
    <n v="57361.33"/>
    <n v="36409.760000000002"/>
    <n v="126"/>
    <x v="0"/>
    <x v="0"/>
    <x v="1"/>
    <x v="251"/>
    <x v="1"/>
  </r>
  <r>
    <x v="732"/>
    <x v="5"/>
    <n v="92447.360000000001"/>
    <x v="3"/>
    <n v="0"/>
    <x v="660"/>
    <n v="0.57050000000000001"/>
    <n v="0"/>
    <n v="55096.41"/>
    <n v="41271.480000000003"/>
    <n v="11"/>
    <x v="3"/>
    <x v="2"/>
    <x v="0"/>
    <x v="713"/>
    <x v="1"/>
  </r>
  <r>
    <x v="733"/>
    <x v="2"/>
    <n v="75842.429999999993"/>
    <x v="37"/>
    <n v="1"/>
    <x v="24"/>
    <n v="0.64980000000000004"/>
    <n v="2"/>
    <n v="53986.12"/>
    <n v="46971.839999999997"/>
    <n v="53"/>
    <x v="2"/>
    <x v="0"/>
    <x v="2"/>
    <x v="714"/>
    <x v="1"/>
  </r>
  <r>
    <x v="734"/>
    <x v="5"/>
    <n v="90538.42"/>
    <x v="21"/>
    <n v="0"/>
    <x v="217"/>
    <n v="0.66769999999999996"/>
    <n v="3"/>
    <n v="34850.92"/>
    <n v="18929.18"/>
    <n v="117"/>
    <x v="1"/>
    <x v="2"/>
    <x v="0"/>
    <x v="715"/>
    <x v="1"/>
  </r>
  <r>
    <x v="735"/>
    <x v="2"/>
    <n v="94906.02"/>
    <x v="28"/>
    <n v="0"/>
    <x v="661"/>
    <n v="7.6200000000000004E-2"/>
    <n v="3"/>
    <n v="24705.34"/>
    <n v="22160.880000000001"/>
    <n v="87"/>
    <x v="0"/>
    <x v="2"/>
    <x v="2"/>
    <x v="716"/>
    <x v="1"/>
  </r>
  <r>
    <x v="736"/>
    <x v="0"/>
    <n v="57682.18"/>
    <x v="8"/>
    <n v="1"/>
    <x v="24"/>
    <n v="0.14779999999999999"/>
    <n v="3"/>
    <n v="24934.66"/>
    <n v="20149.98"/>
    <n v="38"/>
    <x v="1"/>
    <x v="2"/>
    <x v="1"/>
    <x v="24"/>
    <x v="1"/>
  </r>
  <r>
    <x v="737"/>
    <x v="5"/>
    <n v="106922.6"/>
    <x v="20"/>
    <n v="1"/>
    <x v="662"/>
    <n v="0.35699999999999998"/>
    <n v="1"/>
    <n v="47821.19"/>
    <n v="50725.19"/>
    <n v="153"/>
    <x v="3"/>
    <x v="0"/>
    <x v="0"/>
    <x v="717"/>
    <x v="1"/>
  </r>
  <r>
    <x v="738"/>
    <x v="5"/>
    <n v="60849.51"/>
    <x v="38"/>
    <n v="0"/>
    <x v="24"/>
    <n v="0.28670000000000001"/>
    <n v="0"/>
    <n v="2615.5300000000002"/>
    <n v="4337.09"/>
    <n v="96"/>
    <x v="2"/>
    <x v="0"/>
    <x v="3"/>
    <x v="718"/>
    <x v="1"/>
  </r>
  <r>
    <x v="739"/>
    <x v="2"/>
    <n v="178195.62"/>
    <x v="3"/>
    <n v="1"/>
    <x v="663"/>
    <n v="0.70120000000000005"/>
    <n v="2"/>
    <n v="121055.07"/>
    <n v="94963.54"/>
    <n v="117"/>
    <x v="1"/>
    <x v="2"/>
    <x v="2"/>
    <x v="719"/>
    <x v="1"/>
  </r>
  <r>
    <x v="740"/>
    <x v="2"/>
    <n v="105645.73"/>
    <x v="2"/>
    <n v="1"/>
    <x v="664"/>
    <n v="0.4385"/>
    <n v="3"/>
    <n v="52719.09"/>
    <n v="35363.120000000003"/>
    <n v="165"/>
    <x v="2"/>
    <x v="0"/>
    <x v="0"/>
    <x v="720"/>
    <x v="1"/>
  </r>
  <r>
    <x v="741"/>
    <x v="1"/>
    <n v="84336.85"/>
    <x v="13"/>
    <n v="0"/>
    <x v="665"/>
    <n v="0.82069999999999999"/>
    <n v="4"/>
    <n v="66855.23"/>
    <n v="59814.21"/>
    <n v="95"/>
    <x v="3"/>
    <x v="1"/>
    <x v="0"/>
    <x v="721"/>
    <x v="1"/>
  </r>
  <r>
    <x v="742"/>
    <x v="3"/>
    <n v="68839.570000000007"/>
    <x v="45"/>
    <n v="0"/>
    <x v="666"/>
    <n v="0.8054"/>
    <n v="3"/>
    <n v="43621.51"/>
    <n v="23865.05"/>
    <n v="174"/>
    <x v="0"/>
    <x v="2"/>
    <x v="1"/>
    <x v="722"/>
    <x v="1"/>
  </r>
  <r>
    <x v="743"/>
    <x v="0"/>
    <n v="107085.24"/>
    <x v="13"/>
    <n v="0"/>
    <x v="667"/>
    <n v="0.4118"/>
    <n v="4"/>
    <n v="16264.61"/>
    <n v="0"/>
    <n v="87"/>
    <x v="0"/>
    <x v="1"/>
    <x v="3"/>
    <x v="723"/>
    <x v="1"/>
  </r>
  <r>
    <x v="744"/>
    <x v="5"/>
    <n v="119033.06"/>
    <x v="6"/>
    <n v="1"/>
    <x v="668"/>
    <n v="0.3362"/>
    <n v="3"/>
    <n v="54475.93"/>
    <n v="33058.050000000003"/>
    <n v="168"/>
    <x v="1"/>
    <x v="2"/>
    <x v="0"/>
    <x v="724"/>
    <x v="1"/>
  </r>
  <r>
    <x v="745"/>
    <x v="0"/>
    <n v="114047.03999999999"/>
    <x v="47"/>
    <n v="0"/>
    <x v="451"/>
    <n v="0.11899999999999999"/>
    <n v="0"/>
    <n v="500"/>
    <n v="6557.34"/>
    <n v="72"/>
    <x v="2"/>
    <x v="0"/>
    <x v="0"/>
    <x v="725"/>
    <x v="1"/>
  </r>
  <r>
    <x v="746"/>
    <x v="4"/>
    <n v="96766.96"/>
    <x v="27"/>
    <n v="1"/>
    <x v="412"/>
    <n v="0.35049999999999998"/>
    <n v="2"/>
    <n v="25025.91"/>
    <n v="0"/>
    <n v="26"/>
    <x v="1"/>
    <x v="0"/>
    <x v="1"/>
    <x v="726"/>
    <x v="1"/>
  </r>
  <r>
    <x v="747"/>
    <x v="2"/>
    <n v="83358.89"/>
    <x v="25"/>
    <n v="1"/>
    <x v="408"/>
    <n v="0.93300000000000005"/>
    <n v="4"/>
    <n v="95542.87"/>
    <n v="66437.97"/>
    <n v="102"/>
    <x v="2"/>
    <x v="2"/>
    <x v="0"/>
    <x v="727"/>
    <x v="1"/>
  </r>
  <r>
    <x v="748"/>
    <x v="5"/>
    <n v="45315.63"/>
    <x v="16"/>
    <n v="0"/>
    <x v="669"/>
    <n v="0.48130000000000001"/>
    <n v="2"/>
    <n v="28694.92"/>
    <n v="15354.45"/>
    <n v="42"/>
    <x v="0"/>
    <x v="2"/>
    <x v="0"/>
    <x v="728"/>
    <x v="1"/>
  </r>
  <r>
    <x v="749"/>
    <x v="3"/>
    <n v="91540.71"/>
    <x v="37"/>
    <n v="1"/>
    <x v="224"/>
    <n v="0.6633"/>
    <n v="2"/>
    <n v="69652.75"/>
    <n v="51499.81"/>
    <n v="113"/>
    <x v="1"/>
    <x v="0"/>
    <x v="2"/>
    <x v="729"/>
    <x v="1"/>
  </r>
  <r>
    <x v="750"/>
    <x v="1"/>
    <n v="92742.61"/>
    <x v="25"/>
    <n v="1"/>
    <x v="670"/>
    <n v="0.2102"/>
    <n v="0"/>
    <n v="24074.82"/>
    <n v="13460.23"/>
    <n v="93"/>
    <x v="3"/>
    <x v="0"/>
    <x v="1"/>
    <x v="375"/>
    <x v="1"/>
  </r>
  <r>
    <x v="751"/>
    <x v="1"/>
    <n v="82391.09"/>
    <x v="38"/>
    <n v="0"/>
    <x v="671"/>
    <n v="0.45729999999999998"/>
    <n v="5"/>
    <n v="40270.949999999997"/>
    <n v="36912.17"/>
    <n v="35"/>
    <x v="2"/>
    <x v="0"/>
    <x v="0"/>
    <x v="730"/>
    <x v="1"/>
  </r>
  <r>
    <x v="752"/>
    <x v="5"/>
    <n v="81600.960000000006"/>
    <x v="0"/>
    <n v="0"/>
    <x v="61"/>
    <n v="0"/>
    <n v="1"/>
    <n v="500"/>
    <n v="8570.4500000000007"/>
    <n v="81"/>
    <x v="1"/>
    <x v="2"/>
    <x v="0"/>
    <x v="24"/>
    <x v="1"/>
  </r>
  <r>
    <x v="753"/>
    <x v="3"/>
    <n v="56349.3"/>
    <x v="1"/>
    <n v="0"/>
    <x v="672"/>
    <n v="0"/>
    <n v="0"/>
    <n v="14699.24"/>
    <n v="0"/>
    <n v="85"/>
    <x v="0"/>
    <x v="0"/>
    <x v="1"/>
    <x v="148"/>
    <x v="1"/>
  </r>
  <r>
    <x v="754"/>
    <x v="5"/>
    <n v="32822.160000000003"/>
    <x v="0"/>
    <n v="0"/>
    <x v="673"/>
    <n v="0.54049999999999998"/>
    <n v="1"/>
    <n v="5327.27"/>
    <n v="0"/>
    <n v="151"/>
    <x v="1"/>
    <x v="2"/>
    <x v="2"/>
    <x v="731"/>
    <x v="1"/>
  </r>
  <r>
    <x v="755"/>
    <x v="0"/>
    <n v="119520.61"/>
    <x v="19"/>
    <n v="1"/>
    <x v="674"/>
    <n v="0.2918"/>
    <n v="3"/>
    <n v="15746.43"/>
    <n v="17087.560000000001"/>
    <n v="13"/>
    <x v="0"/>
    <x v="2"/>
    <x v="0"/>
    <x v="732"/>
    <x v="1"/>
  </r>
  <r>
    <x v="756"/>
    <x v="4"/>
    <n v="90921.39"/>
    <x v="3"/>
    <n v="1"/>
    <x v="88"/>
    <n v="9.8500000000000004E-2"/>
    <n v="3"/>
    <n v="18403.66"/>
    <n v="18409.09"/>
    <n v="8"/>
    <x v="1"/>
    <x v="0"/>
    <x v="1"/>
    <x v="233"/>
    <x v="1"/>
  </r>
  <r>
    <x v="757"/>
    <x v="5"/>
    <n v="119493.78"/>
    <x v="34"/>
    <n v="0"/>
    <x v="675"/>
    <n v="0.21729999999999999"/>
    <n v="3"/>
    <n v="33265.26"/>
    <n v="7090.49"/>
    <n v="177"/>
    <x v="0"/>
    <x v="2"/>
    <x v="0"/>
    <x v="733"/>
    <x v="1"/>
  </r>
  <r>
    <x v="758"/>
    <x v="4"/>
    <n v="73668.55"/>
    <x v="1"/>
    <n v="1"/>
    <x v="644"/>
    <n v="0.67769999999999997"/>
    <n v="5"/>
    <n v="61423.65"/>
    <n v="47555.98"/>
    <n v="36"/>
    <x v="0"/>
    <x v="0"/>
    <x v="0"/>
    <x v="734"/>
    <x v="1"/>
  </r>
  <r>
    <x v="759"/>
    <x v="1"/>
    <n v="129597.91"/>
    <x v="6"/>
    <n v="0"/>
    <x v="676"/>
    <n v="7.9799999999999996E-2"/>
    <n v="3"/>
    <n v="10823.67"/>
    <n v="21789.11"/>
    <n v="15"/>
    <x v="2"/>
    <x v="1"/>
    <x v="0"/>
    <x v="735"/>
    <x v="1"/>
  </r>
  <r>
    <x v="760"/>
    <x v="5"/>
    <n v="108234.27"/>
    <x v="13"/>
    <n v="0"/>
    <x v="677"/>
    <n v="0.36649999999999999"/>
    <n v="1"/>
    <n v="40018.5"/>
    <n v="19729.09"/>
    <n v="148"/>
    <x v="2"/>
    <x v="0"/>
    <x v="0"/>
    <x v="736"/>
    <x v="1"/>
  </r>
  <r>
    <x v="98"/>
    <x v="2"/>
    <n v="213432.19"/>
    <x v="6"/>
    <n v="0"/>
    <x v="678"/>
    <n v="0.37390000000000001"/>
    <n v="0"/>
    <n v="94624.56"/>
    <n v="70577.100000000006"/>
    <n v="8"/>
    <x v="0"/>
    <x v="1"/>
    <x v="2"/>
    <x v="737"/>
    <x v="1"/>
  </r>
  <r>
    <x v="761"/>
    <x v="3"/>
    <n v="92860.93"/>
    <x v="32"/>
    <n v="1"/>
    <x v="679"/>
    <n v="0.59599999999999997"/>
    <n v="2"/>
    <n v="92483.55"/>
    <n v="52181.32"/>
    <n v="19"/>
    <x v="0"/>
    <x v="2"/>
    <x v="0"/>
    <x v="738"/>
    <x v="1"/>
  </r>
  <r>
    <x v="762"/>
    <x v="1"/>
    <n v="84205.06"/>
    <x v="26"/>
    <n v="0"/>
    <x v="680"/>
    <n v="0.16400000000000001"/>
    <n v="0"/>
    <n v="500"/>
    <n v="0"/>
    <n v="87"/>
    <x v="2"/>
    <x v="2"/>
    <x v="2"/>
    <x v="739"/>
    <x v="1"/>
  </r>
  <r>
    <x v="763"/>
    <x v="1"/>
    <n v="48123.15"/>
    <x v="38"/>
    <n v="1"/>
    <x v="681"/>
    <n v="0.21629999999999999"/>
    <n v="1"/>
    <n v="500"/>
    <n v="1646.19"/>
    <n v="77"/>
    <x v="0"/>
    <x v="2"/>
    <x v="0"/>
    <x v="740"/>
    <x v="1"/>
  </r>
  <r>
    <x v="764"/>
    <x v="4"/>
    <n v="127578.12"/>
    <x v="40"/>
    <n v="1"/>
    <x v="682"/>
    <n v="0.24"/>
    <n v="0"/>
    <n v="7049.22"/>
    <n v="3936.8"/>
    <n v="132"/>
    <x v="0"/>
    <x v="0"/>
    <x v="0"/>
    <x v="741"/>
    <x v="1"/>
  </r>
  <r>
    <x v="765"/>
    <x v="4"/>
    <n v="98041.09"/>
    <x v="35"/>
    <n v="1"/>
    <x v="683"/>
    <n v="0.56569999999999998"/>
    <n v="0"/>
    <n v="42502.7"/>
    <n v="29773.37"/>
    <n v="85"/>
    <x v="1"/>
    <x v="2"/>
    <x v="2"/>
    <x v="742"/>
    <x v="1"/>
  </r>
  <r>
    <x v="766"/>
    <x v="2"/>
    <n v="104637.29"/>
    <x v="48"/>
    <n v="1"/>
    <x v="24"/>
    <n v="0.32150000000000001"/>
    <n v="0"/>
    <n v="31437.22"/>
    <n v="27602.93"/>
    <n v="48"/>
    <x v="1"/>
    <x v="1"/>
    <x v="1"/>
    <x v="743"/>
    <x v="1"/>
  </r>
  <r>
    <x v="767"/>
    <x v="2"/>
    <n v="69214.52"/>
    <x v="38"/>
    <n v="1"/>
    <x v="684"/>
    <n v="0.43140000000000001"/>
    <n v="7"/>
    <n v="31251.21"/>
    <n v="23317.85"/>
    <n v="175"/>
    <x v="1"/>
    <x v="0"/>
    <x v="0"/>
    <x v="744"/>
    <x v="1"/>
  </r>
  <r>
    <x v="768"/>
    <x v="0"/>
    <n v="76914.09"/>
    <x v="37"/>
    <n v="0"/>
    <x v="685"/>
    <n v="0.39589999999999997"/>
    <n v="4"/>
    <n v="34373.65"/>
    <n v="29552.76"/>
    <n v="114"/>
    <x v="0"/>
    <x v="0"/>
    <x v="0"/>
    <x v="745"/>
    <x v="1"/>
  </r>
  <r>
    <x v="769"/>
    <x v="5"/>
    <n v="47522.2"/>
    <x v="2"/>
    <n v="1"/>
    <x v="686"/>
    <n v="0.24890000000000001"/>
    <n v="0"/>
    <n v="22042.04"/>
    <n v="12219.77"/>
    <n v="19"/>
    <x v="2"/>
    <x v="2"/>
    <x v="0"/>
    <x v="746"/>
    <x v="1"/>
  </r>
  <r>
    <x v="770"/>
    <x v="0"/>
    <n v="82756.28"/>
    <x v="20"/>
    <n v="1"/>
    <x v="687"/>
    <n v="0.15640000000000001"/>
    <n v="4"/>
    <n v="27449.119999999999"/>
    <n v="22795.03"/>
    <n v="58"/>
    <x v="0"/>
    <x v="0"/>
    <x v="1"/>
    <x v="747"/>
    <x v="1"/>
  </r>
  <r>
    <x v="771"/>
    <x v="0"/>
    <n v="89160.89"/>
    <x v="25"/>
    <n v="1"/>
    <x v="688"/>
    <n v="1.1900000000000001E-2"/>
    <n v="0"/>
    <n v="500"/>
    <n v="1336.74"/>
    <n v="67"/>
    <x v="0"/>
    <x v="2"/>
    <x v="0"/>
    <x v="748"/>
    <x v="1"/>
  </r>
  <r>
    <x v="772"/>
    <x v="4"/>
    <n v="133134.39000000001"/>
    <x v="4"/>
    <n v="1"/>
    <x v="689"/>
    <n v="0.43580000000000002"/>
    <n v="3"/>
    <n v="68566.649999999994"/>
    <n v="52421.8"/>
    <n v="8"/>
    <x v="1"/>
    <x v="1"/>
    <x v="1"/>
    <x v="749"/>
    <x v="1"/>
  </r>
  <r>
    <x v="773"/>
    <x v="5"/>
    <n v="90338.81"/>
    <x v="43"/>
    <n v="0"/>
    <x v="191"/>
    <n v="0"/>
    <n v="0"/>
    <n v="9356.0400000000009"/>
    <n v="0"/>
    <n v="48"/>
    <x v="2"/>
    <x v="2"/>
    <x v="0"/>
    <x v="750"/>
    <x v="1"/>
  </r>
  <r>
    <x v="774"/>
    <x v="0"/>
    <n v="51612.21"/>
    <x v="21"/>
    <n v="1"/>
    <x v="690"/>
    <n v="0.3876"/>
    <n v="1"/>
    <n v="21217.24"/>
    <n v="23167.75"/>
    <n v="91"/>
    <x v="2"/>
    <x v="2"/>
    <x v="2"/>
    <x v="751"/>
    <x v="1"/>
  </r>
  <r>
    <x v="775"/>
    <x v="2"/>
    <n v="71851.97"/>
    <x v="8"/>
    <n v="1"/>
    <x v="691"/>
    <n v="4.5400000000000003E-2"/>
    <n v="0"/>
    <n v="12484.92"/>
    <n v="14800.89"/>
    <n v="62"/>
    <x v="1"/>
    <x v="0"/>
    <x v="1"/>
    <x v="486"/>
    <x v="1"/>
  </r>
  <r>
    <x v="776"/>
    <x v="0"/>
    <n v="163922.94"/>
    <x v="3"/>
    <n v="1"/>
    <x v="692"/>
    <n v="0.50409999999999999"/>
    <n v="5"/>
    <n v="75641.08"/>
    <n v="57130.04"/>
    <n v="166"/>
    <x v="1"/>
    <x v="2"/>
    <x v="0"/>
    <x v="752"/>
    <x v="1"/>
  </r>
  <r>
    <x v="777"/>
    <x v="4"/>
    <n v="55167.7"/>
    <x v="8"/>
    <n v="0"/>
    <x v="693"/>
    <n v="0.26950000000000002"/>
    <n v="3"/>
    <n v="500"/>
    <n v="0"/>
    <n v="76"/>
    <x v="0"/>
    <x v="0"/>
    <x v="1"/>
    <x v="753"/>
    <x v="1"/>
  </r>
  <r>
    <x v="778"/>
    <x v="3"/>
    <n v="141614.65"/>
    <x v="15"/>
    <n v="0"/>
    <x v="694"/>
    <n v="0.21970000000000001"/>
    <n v="1"/>
    <n v="37051.51"/>
    <n v="38681.89"/>
    <n v="43"/>
    <x v="1"/>
    <x v="0"/>
    <x v="3"/>
    <x v="754"/>
    <x v="1"/>
  </r>
  <r>
    <x v="779"/>
    <x v="4"/>
    <n v="70371.199999999997"/>
    <x v="34"/>
    <n v="1"/>
    <x v="695"/>
    <n v="0.59189999999999998"/>
    <n v="4"/>
    <n v="31592.5"/>
    <n v="21237.83"/>
    <n v="157"/>
    <x v="0"/>
    <x v="0"/>
    <x v="0"/>
    <x v="755"/>
    <x v="0"/>
  </r>
  <r>
    <x v="780"/>
    <x v="4"/>
    <n v="158289.13"/>
    <x v="41"/>
    <n v="0"/>
    <x v="696"/>
    <n v="0.56489999999999996"/>
    <n v="5"/>
    <n v="72230.02"/>
    <n v="46888.89"/>
    <n v="28"/>
    <x v="1"/>
    <x v="0"/>
    <x v="1"/>
    <x v="756"/>
    <x v="1"/>
  </r>
  <r>
    <x v="781"/>
    <x v="2"/>
    <n v="122492.17"/>
    <x v="39"/>
    <n v="1"/>
    <x v="697"/>
    <n v="0.16930000000000001"/>
    <n v="2"/>
    <n v="28817.74"/>
    <n v="8112.86"/>
    <n v="114"/>
    <x v="1"/>
    <x v="1"/>
    <x v="2"/>
    <x v="757"/>
    <x v="1"/>
  </r>
  <r>
    <x v="782"/>
    <x v="3"/>
    <n v="60835.86"/>
    <x v="29"/>
    <n v="0"/>
    <x v="698"/>
    <n v="0.20100000000000001"/>
    <n v="0"/>
    <n v="1501.77"/>
    <n v="2323.2199999999998"/>
    <n v="147"/>
    <x v="0"/>
    <x v="0"/>
    <x v="0"/>
    <x v="758"/>
    <x v="1"/>
  </r>
  <r>
    <x v="783"/>
    <x v="2"/>
    <n v="62206.03"/>
    <x v="29"/>
    <n v="0"/>
    <x v="699"/>
    <n v="0.65169999999999995"/>
    <n v="5"/>
    <n v="34435.21"/>
    <n v="14946.03"/>
    <n v="97"/>
    <x v="1"/>
    <x v="0"/>
    <x v="0"/>
    <x v="759"/>
    <x v="1"/>
  </r>
  <r>
    <x v="617"/>
    <x v="4"/>
    <n v="95697.78"/>
    <x v="27"/>
    <n v="0"/>
    <x v="700"/>
    <n v="0.60009999999999997"/>
    <n v="2"/>
    <n v="48999.76"/>
    <n v="27975.89"/>
    <n v="38"/>
    <x v="1"/>
    <x v="2"/>
    <x v="2"/>
    <x v="760"/>
    <x v="0"/>
  </r>
  <r>
    <x v="784"/>
    <x v="4"/>
    <n v="103136.63"/>
    <x v="4"/>
    <n v="1"/>
    <x v="701"/>
    <n v="0.85350000000000004"/>
    <n v="5"/>
    <n v="99798.46"/>
    <n v="58153.01"/>
    <n v="19"/>
    <x v="0"/>
    <x v="0"/>
    <x v="3"/>
    <x v="761"/>
    <x v="1"/>
  </r>
  <r>
    <x v="785"/>
    <x v="5"/>
    <n v="127661.37"/>
    <x v="17"/>
    <n v="1"/>
    <x v="702"/>
    <n v="0.42609999999999998"/>
    <n v="6"/>
    <n v="63584.98"/>
    <n v="32706.07"/>
    <n v="19"/>
    <x v="1"/>
    <x v="2"/>
    <x v="1"/>
    <x v="762"/>
    <x v="1"/>
  </r>
  <r>
    <x v="786"/>
    <x v="3"/>
    <n v="152554.49"/>
    <x v="24"/>
    <n v="0"/>
    <x v="24"/>
    <n v="0.52669999999999995"/>
    <n v="2"/>
    <n v="63512.39"/>
    <n v="73135"/>
    <n v="7"/>
    <x v="2"/>
    <x v="2"/>
    <x v="0"/>
    <x v="185"/>
    <x v="1"/>
  </r>
  <r>
    <x v="787"/>
    <x v="2"/>
    <n v="100619.46"/>
    <x v="42"/>
    <n v="0"/>
    <x v="703"/>
    <n v="0.49659999999999999"/>
    <n v="0"/>
    <n v="54629.39"/>
    <n v="37031.699999999997"/>
    <n v="37"/>
    <x v="0"/>
    <x v="0"/>
    <x v="0"/>
    <x v="763"/>
    <x v="1"/>
  </r>
  <r>
    <x v="788"/>
    <x v="3"/>
    <n v="110132.97"/>
    <x v="26"/>
    <n v="1"/>
    <x v="704"/>
    <n v="0.19289999999999999"/>
    <n v="0"/>
    <n v="9415.86"/>
    <n v="208.51"/>
    <n v="168"/>
    <x v="0"/>
    <x v="0"/>
    <x v="1"/>
    <x v="764"/>
    <x v="1"/>
  </r>
  <r>
    <x v="789"/>
    <x v="1"/>
    <n v="143774.28"/>
    <x v="1"/>
    <n v="0"/>
    <x v="705"/>
    <n v="0.43090000000000001"/>
    <n v="0"/>
    <n v="29001.73"/>
    <n v="5958.75"/>
    <n v="106"/>
    <x v="1"/>
    <x v="2"/>
    <x v="1"/>
    <x v="747"/>
    <x v="1"/>
  </r>
  <r>
    <x v="790"/>
    <x v="5"/>
    <n v="111935.47"/>
    <x v="38"/>
    <n v="0"/>
    <x v="706"/>
    <n v="0.36580000000000001"/>
    <n v="2"/>
    <n v="33915.449999999997"/>
    <n v="35727.730000000003"/>
    <n v="174"/>
    <x v="1"/>
    <x v="0"/>
    <x v="2"/>
    <x v="765"/>
    <x v="1"/>
  </r>
  <r>
    <x v="791"/>
    <x v="0"/>
    <n v="78290.95"/>
    <x v="0"/>
    <n v="1"/>
    <x v="707"/>
    <n v="0.40839999999999999"/>
    <n v="0"/>
    <n v="31854.98"/>
    <n v="27366.43"/>
    <n v="140"/>
    <x v="1"/>
    <x v="0"/>
    <x v="1"/>
    <x v="766"/>
    <x v="1"/>
  </r>
  <r>
    <x v="792"/>
    <x v="1"/>
    <n v="82123.22"/>
    <x v="47"/>
    <n v="0"/>
    <x v="708"/>
    <n v="0.48659999999999998"/>
    <n v="2"/>
    <n v="44755.72"/>
    <n v="15790.55"/>
    <n v="106"/>
    <x v="0"/>
    <x v="2"/>
    <x v="1"/>
    <x v="767"/>
    <x v="1"/>
  </r>
  <r>
    <x v="793"/>
    <x v="5"/>
    <n v="75685.95"/>
    <x v="47"/>
    <n v="1"/>
    <x v="24"/>
    <n v="0.2097"/>
    <n v="1"/>
    <n v="14615.02"/>
    <n v="2743.9"/>
    <n v="95"/>
    <x v="1"/>
    <x v="2"/>
    <x v="0"/>
    <x v="24"/>
    <x v="1"/>
  </r>
  <r>
    <x v="794"/>
    <x v="3"/>
    <n v="86491.73"/>
    <x v="4"/>
    <n v="0"/>
    <x v="709"/>
    <n v="0.85809999999999997"/>
    <n v="8"/>
    <n v="49159.73"/>
    <n v="32585.13"/>
    <n v="66"/>
    <x v="0"/>
    <x v="2"/>
    <x v="1"/>
    <x v="768"/>
    <x v="1"/>
  </r>
  <r>
    <x v="795"/>
    <x v="1"/>
    <n v="170637.72"/>
    <x v="12"/>
    <n v="1"/>
    <x v="710"/>
    <n v="0.32029999999999997"/>
    <n v="3"/>
    <n v="49864.77"/>
    <n v="33323.1"/>
    <n v="13"/>
    <x v="2"/>
    <x v="0"/>
    <x v="1"/>
    <x v="769"/>
    <x v="1"/>
  </r>
  <r>
    <x v="796"/>
    <x v="5"/>
    <n v="148625.72"/>
    <x v="1"/>
    <n v="0"/>
    <x v="711"/>
    <n v="0.49719999999999998"/>
    <n v="5"/>
    <n v="69260.479999999996"/>
    <n v="41434.47"/>
    <n v="47"/>
    <x v="1"/>
    <x v="2"/>
    <x v="1"/>
    <x v="770"/>
    <x v="1"/>
  </r>
  <r>
    <x v="797"/>
    <x v="1"/>
    <n v="95129.77"/>
    <x v="2"/>
    <n v="0"/>
    <x v="712"/>
    <n v="0.83640000000000003"/>
    <n v="6"/>
    <n v="70763.259999999995"/>
    <n v="42660.26"/>
    <n v="24"/>
    <x v="0"/>
    <x v="2"/>
    <x v="3"/>
    <x v="771"/>
    <x v="1"/>
  </r>
  <r>
    <x v="798"/>
    <x v="1"/>
    <n v="61231.02"/>
    <x v="35"/>
    <n v="1"/>
    <x v="713"/>
    <n v="0.14399999999999999"/>
    <n v="0"/>
    <n v="500"/>
    <n v="9233.07"/>
    <n v="149"/>
    <x v="2"/>
    <x v="2"/>
    <x v="0"/>
    <x v="772"/>
    <x v="1"/>
  </r>
  <r>
    <x v="799"/>
    <x v="4"/>
    <n v="25044.85"/>
    <x v="41"/>
    <n v="1"/>
    <x v="714"/>
    <n v="0.19389999999999999"/>
    <n v="3"/>
    <n v="12188"/>
    <n v="2691.15"/>
    <n v="63"/>
    <x v="2"/>
    <x v="0"/>
    <x v="2"/>
    <x v="773"/>
    <x v="1"/>
  </r>
  <r>
    <x v="800"/>
    <x v="2"/>
    <n v="32720.31"/>
    <x v="44"/>
    <n v="0"/>
    <x v="24"/>
    <n v="0.49659999999999999"/>
    <n v="3"/>
    <n v="500"/>
    <n v="0"/>
    <n v="162"/>
    <x v="1"/>
    <x v="0"/>
    <x v="0"/>
    <x v="774"/>
    <x v="1"/>
  </r>
  <r>
    <x v="801"/>
    <x v="5"/>
    <n v="69359.289999999994"/>
    <x v="19"/>
    <n v="1"/>
    <x v="715"/>
    <n v="0.34739999999999999"/>
    <n v="1"/>
    <n v="28854.65"/>
    <n v="21418.18"/>
    <n v="58"/>
    <x v="1"/>
    <x v="2"/>
    <x v="2"/>
    <x v="775"/>
    <x v="1"/>
  </r>
  <r>
    <x v="802"/>
    <x v="1"/>
    <n v="113800.06"/>
    <x v="28"/>
    <n v="0"/>
    <x v="11"/>
    <n v="0.51039999999999996"/>
    <n v="1"/>
    <n v="36138.129999999997"/>
    <n v="13426"/>
    <n v="15"/>
    <x v="0"/>
    <x v="0"/>
    <x v="0"/>
    <x v="776"/>
    <x v="1"/>
  </r>
  <r>
    <x v="803"/>
    <x v="3"/>
    <n v="2000"/>
    <x v="22"/>
    <n v="1"/>
    <x v="716"/>
    <n v="0.33460000000000001"/>
    <n v="3"/>
    <n v="1716.39"/>
    <n v="0"/>
    <n v="116"/>
    <x v="1"/>
    <x v="2"/>
    <x v="2"/>
    <x v="777"/>
    <x v="1"/>
  </r>
  <r>
    <x v="804"/>
    <x v="1"/>
    <n v="99444.79"/>
    <x v="1"/>
    <n v="0"/>
    <x v="631"/>
    <n v="0"/>
    <n v="0"/>
    <n v="500"/>
    <n v="0"/>
    <n v="147"/>
    <x v="1"/>
    <x v="0"/>
    <x v="0"/>
    <x v="778"/>
    <x v="1"/>
  </r>
  <r>
    <x v="805"/>
    <x v="3"/>
    <n v="139541.85"/>
    <x v="38"/>
    <n v="0"/>
    <x v="717"/>
    <n v="0.60260000000000002"/>
    <n v="5"/>
    <n v="82521.350000000006"/>
    <n v="46061.9"/>
    <n v="20"/>
    <x v="0"/>
    <x v="0"/>
    <x v="0"/>
    <x v="779"/>
    <x v="1"/>
  </r>
  <r>
    <x v="806"/>
    <x v="1"/>
    <n v="91319.039999999994"/>
    <x v="49"/>
    <n v="1"/>
    <x v="718"/>
    <n v="0"/>
    <n v="0"/>
    <n v="23823.39"/>
    <n v="13932.22"/>
    <n v="20"/>
    <x v="0"/>
    <x v="0"/>
    <x v="0"/>
    <x v="780"/>
    <x v="1"/>
  </r>
  <r>
    <x v="807"/>
    <x v="2"/>
    <n v="101323.42"/>
    <x v="18"/>
    <n v="1"/>
    <x v="606"/>
    <n v="0.39839999999999998"/>
    <n v="0"/>
    <n v="53519.54"/>
    <n v="36884.04"/>
    <n v="145"/>
    <x v="0"/>
    <x v="2"/>
    <x v="2"/>
    <x v="781"/>
    <x v="1"/>
  </r>
  <r>
    <x v="808"/>
    <x v="0"/>
    <n v="120764.01"/>
    <x v="30"/>
    <n v="1"/>
    <x v="719"/>
    <n v="0.80600000000000005"/>
    <n v="3"/>
    <n v="91552.88"/>
    <n v="67339.72"/>
    <n v="140"/>
    <x v="2"/>
    <x v="0"/>
    <x v="1"/>
    <x v="782"/>
    <x v="1"/>
  </r>
  <r>
    <x v="809"/>
    <x v="0"/>
    <n v="115318.43"/>
    <x v="26"/>
    <n v="0"/>
    <x v="720"/>
    <n v="0.40870000000000001"/>
    <n v="6"/>
    <n v="32025.38"/>
    <n v="13981.28"/>
    <n v="147"/>
    <x v="0"/>
    <x v="0"/>
    <x v="2"/>
    <x v="783"/>
    <x v="1"/>
  </r>
  <r>
    <x v="810"/>
    <x v="2"/>
    <n v="158998.99"/>
    <x v="6"/>
    <n v="0"/>
    <x v="721"/>
    <n v="0.4551"/>
    <n v="0"/>
    <n v="100638.08"/>
    <n v="68739.320000000007"/>
    <n v="75"/>
    <x v="0"/>
    <x v="0"/>
    <x v="2"/>
    <x v="784"/>
    <x v="1"/>
  </r>
  <r>
    <x v="811"/>
    <x v="1"/>
    <n v="108431.91"/>
    <x v="7"/>
    <n v="1"/>
    <x v="722"/>
    <n v="0.42899999999999999"/>
    <n v="1"/>
    <n v="50202.84"/>
    <n v="29523.27"/>
    <n v="142"/>
    <x v="0"/>
    <x v="0"/>
    <x v="1"/>
    <x v="785"/>
    <x v="1"/>
  </r>
  <r>
    <x v="812"/>
    <x v="2"/>
    <n v="150827.46"/>
    <x v="33"/>
    <n v="1"/>
    <x v="723"/>
    <n v="0.88239999999999996"/>
    <n v="3"/>
    <n v="140495.38"/>
    <n v="88100.64"/>
    <n v="13"/>
    <x v="0"/>
    <x v="2"/>
    <x v="0"/>
    <x v="786"/>
    <x v="1"/>
  </r>
  <r>
    <x v="813"/>
    <x v="2"/>
    <n v="121981.29"/>
    <x v="12"/>
    <n v="0"/>
    <x v="724"/>
    <n v="0.10299999999999999"/>
    <n v="5"/>
    <n v="2322.37"/>
    <n v="0"/>
    <n v="142"/>
    <x v="1"/>
    <x v="2"/>
    <x v="1"/>
    <x v="24"/>
    <x v="1"/>
  </r>
  <r>
    <x v="814"/>
    <x v="3"/>
    <n v="113028.73"/>
    <x v="23"/>
    <n v="1"/>
    <x v="725"/>
    <n v="0.58420000000000005"/>
    <n v="3"/>
    <n v="76220.63"/>
    <n v="53367.54"/>
    <n v="180"/>
    <x v="3"/>
    <x v="0"/>
    <x v="0"/>
    <x v="787"/>
    <x v="1"/>
  </r>
  <r>
    <x v="815"/>
    <x v="0"/>
    <n v="79148.66"/>
    <x v="26"/>
    <n v="0"/>
    <x v="726"/>
    <n v="0.59550000000000003"/>
    <n v="3"/>
    <n v="68958.3"/>
    <n v="46398.91"/>
    <n v="84"/>
    <x v="1"/>
    <x v="0"/>
    <x v="0"/>
    <x v="788"/>
    <x v="1"/>
  </r>
  <r>
    <x v="816"/>
    <x v="0"/>
    <n v="42870.71"/>
    <x v="15"/>
    <n v="0"/>
    <x v="664"/>
    <n v="0.62929999999999997"/>
    <n v="4"/>
    <n v="14577.27"/>
    <n v="2435.36"/>
    <n v="110"/>
    <x v="0"/>
    <x v="1"/>
    <x v="0"/>
    <x v="789"/>
    <x v="1"/>
  </r>
  <r>
    <x v="817"/>
    <x v="3"/>
    <n v="65033.38"/>
    <x v="25"/>
    <n v="0"/>
    <x v="727"/>
    <n v="0.83889999999999998"/>
    <n v="5"/>
    <n v="72059.44"/>
    <n v="49191.360000000001"/>
    <n v="164"/>
    <x v="1"/>
    <x v="0"/>
    <x v="1"/>
    <x v="790"/>
    <x v="1"/>
  </r>
  <r>
    <x v="818"/>
    <x v="2"/>
    <n v="41561.25"/>
    <x v="10"/>
    <n v="0"/>
    <x v="728"/>
    <n v="0.78369999999999995"/>
    <n v="5"/>
    <n v="54610.51"/>
    <n v="41659.9"/>
    <n v="72"/>
    <x v="3"/>
    <x v="0"/>
    <x v="2"/>
    <x v="316"/>
    <x v="0"/>
  </r>
  <r>
    <x v="819"/>
    <x v="5"/>
    <n v="44479.96"/>
    <x v="18"/>
    <n v="0"/>
    <x v="729"/>
    <n v="0.48130000000000001"/>
    <n v="1"/>
    <n v="27613.25"/>
    <n v="18837.28"/>
    <n v="101"/>
    <x v="2"/>
    <x v="2"/>
    <x v="0"/>
    <x v="791"/>
    <x v="1"/>
  </r>
  <r>
    <x v="820"/>
    <x v="1"/>
    <n v="87923.13"/>
    <x v="31"/>
    <n v="1"/>
    <x v="730"/>
    <n v="0.4536"/>
    <n v="1"/>
    <n v="21621.55"/>
    <n v="21423.67"/>
    <n v="126"/>
    <x v="2"/>
    <x v="0"/>
    <x v="0"/>
    <x v="792"/>
    <x v="1"/>
  </r>
  <r>
    <x v="821"/>
    <x v="5"/>
    <n v="117469.07"/>
    <x v="16"/>
    <n v="0"/>
    <x v="731"/>
    <n v="0.45469999999999999"/>
    <n v="4"/>
    <n v="36659.71"/>
    <n v="30733.62"/>
    <n v="154"/>
    <x v="1"/>
    <x v="1"/>
    <x v="0"/>
    <x v="793"/>
    <x v="1"/>
  </r>
  <r>
    <x v="822"/>
    <x v="4"/>
    <n v="75851.44"/>
    <x v="11"/>
    <n v="1"/>
    <x v="732"/>
    <n v="0.501"/>
    <n v="3"/>
    <n v="69064.66"/>
    <n v="53080.98"/>
    <n v="63"/>
    <x v="1"/>
    <x v="1"/>
    <x v="1"/>
    <x v="794"/>
    <x v="1"/>
  </r>
  <r>
    <x v="823"/>
    <x v="2"/>
    <n v="34285.71"/>
    <x v="42"/>
    <n v="0"/>
    <x v="733"/>
    <n v="7.3800000000000004E-2"/>
    <n v="0"/>
    <n v="500"/>
    <n v="0"/>
    <n v="153"/>
    <x v="0"/>
    <x v="0"/>
    <x v="0"/>
    <x v="795"/>
    <x v="1"/>
  </r>
  <r>
    <x v="824"/>
    <x v="4"/>
    <n v="57887.15"/>
    <x v="23"/>
    <n v="1"/>
    <x v="734"/>
    <n v="0.77849999999999997"/>
    <n v="4"/>
    <n v="9578.74"/>
    <n v="13970.76"/>
    <n v="110"/>
    <x v="1"/>
    <x v="0"/>
    <x v="1"/>
    <x v="796"/>
    <x v="1"/>
  </r>
  <r>
    <x v="825"/>
    <x v="3"/>
    <n v="56527.8"/>
    <x v="46"/>
    <n v="1"/>
    <x v="735"/>
    <n v="0.224"/>
    <n v="4"/>
    <n v="500"/>
    <n v="5702.06"/>
    <n v="110"/>
    <x v="1"/>
    <x v="2"/>
    <x v="1"/>
    <x v="797"/>
    <x v="1"/>
  </r>
  <r>
    <x v="826"/>
    <x v="0"/>
    <n v="77731.31"/>
    <x v="13"/>
    <n v="1"/>
    <x v="380"/>
    <n v="0"/>
    <n v="3"/>
    <n v="500"/>
    <n v="0"/>
    <n v="56"/>
    <x v="2"/>
    <x v="2"/>
    <x v="0"/>
    <x v="798"/>
    <x v="1"/>
  </r>
  <r>
    <x v="827"/>
    <x v="0"/>
    <n v="114212.73"/>
    <x v="22"/>
    <n v="1"/>
    <x v="736"/>
    <n v="0.2702"/>
    <n v="4"/>
    <n v="34242.97"/>
    <n v="14296.7"/>
    <n v="39"/>
    <x v="1"/>
    <x v="2"/>
    <x v="0"/>
    <x v="799"/>
    <x v="1"/>
  </r>
  <r>
    <x v="828"/>
    <x v="2"/>
    <n v="138403.65"/>
    <x v="18"/>
    <n v="0"/>
    <x v="737"/>
    <n v="0.37019999999999997"/>
    <n v="1"/>
    <n v="76881.03"/>
    <n v="48824.35"/>
    <n v="157"/>
    <x v="1"/>
    <x v="0"/>
    <x v="1"/>
    <x v="24"/>
    <x v="1"/>
  </r>
  <r>
    <x v="829"/>
    <x v="2"/>
    <n v="135289.9"/>
    <x v="13"/>
    <n v="0"/>
    <x v="738"/>
    <n v="9.9099999999999994E-2"/>
    <n v="0"/>
    <n v="23337.63"/>
    <n v="9770.23"/>
    <n v="156"/>
    <x v="2"/>
    <x v="1"/>
    <x v="0"/>
    <x v="800"/>
    <x v="1"/>
  </r>
  <r>
    <x v="830"/>
    <x v="3"/>
    <n v="54010.51"/>
    <x v="6"/>
    <n v="1"/>
    <x v="739"/>
    <n v="0.18959999999999999"/>
    <n v="2"/>
    <n v="20910.3"/>
    <n v="24803.759999999998"/>
    <n v="77"/>
    <x v="2"/>
    <x v="0"/>
    <x v="0"/>
    <x v="801"/>
    <x v="1"/>
  </r>
  <r>
    <x v="831"/>
    <x v="3"/>
    <n v="138745.70000000001"/>
    <x v="16"/>
    <n v="0"/>
    <x v="740"/>
    <n v="0.37040000000000001"/>
    <n v="2"/>
    <n v="65792.75"/>
    <n v="33588.559999999998"/>
    <n v="16"/>
    <x v="2"/>
    <x v="2"/>
    <x v="3"/>
    <x v="802"/>
    <x v="1"/>
  </r>
  <r>
    <x v="832"/>
    <x v="0"/>
    <n v="31545.82"/>
    <x v="26"/>
    <n v="0"/>
    <x v="741"/>
    <n v="0.30909999999999999"/>
    <n v="4"/>
    <n v="16003.31"/>
    <n v="16367.54"/>
    <n v="130"/>
    <x v="1"/>
    <x v="2"/>
    <x v="0"/>
    <x v="24"/>
    <x v="1"/>
  </r>
  <r>
    <x v="833"/>
    <x v="1"/>
    <n v="23312.22"/>
    <x v="5"/>
    <n v="1"/>
    <x v="475"/>
    <n v="0.28070000000000001"/>
    <n v="3"/>
    <n v="34155.15"/>
    <n v="22527.919999999998"/>
    <n v="16"/>
    <x v="3"/>
    <x v="2"/>
    <x v="1"/>
    <x v="803"/>
    <x v="0"/>
  </r>
  <r>
    <x v="834"/>
    <x v="1"/>
    <n v="95095.71"/>
    <x v="35"/>
    <n v="1"/>
    <x v="377"/>
    <n v="0.2792"/>
    <n v="7"/>
    <n v="11986.81"/>
    <n v="11827.65"/>
    <n v="38"/>
    <x v="2"/>
    <x v="0"/>
    <x v="0"/>
    <x v="623"/>
    <x v="1"/>
  </r>
  <r>
    <x v="835"/>
    <x v="2"/>
    <n v="6394.9"/>
    <x v="29"/>
    <n v="0"/>
    <x v="742"/>
    <n v="0.40450000000000003"/>
    <n v="4"/>
    <n v="11768.1"/>
    <n v="0"/>
    <n v="26"/>
    <x v="1"/>
    <x v="0"/>
    <x v="0"/>
    <x v="804"/>
    <x v="1"/>
  </r>
  <r>
    <x v="836"/>
    <x v="5"/>
    <n v="64729.91"/>
    <x v="23"/>
    <n v="0"/>
    <x v="249"/>
    <n v="0"/>
    <n v="0"/>
    <n v="500"/>
    <n v="0"/>
    <n v="15"/>
    <x v="1"/>
    <x v="1"/>
    <x v="1"/>
    <x v="805"/>
    <x v="1"/>
  </r>
  <r>
    <x v="837"/>
    <x v="0"/>
    <n v="168704.25"/>
    <x v="24"/>
    <n v="0"/>
    <x v="743"/>
    <n v="0.4788"/>
    <n v="4"/>
    <n v="81175.91"/>
    <n v="50533.72"/>
    <n v="178"/>
    <x v="0"/>
    <x v="0"/>
    <x v="1"/>
    <x v="806"/>
    <x v="1"/>
  </r>
  <r>
    <x v="838"/>
    <x v="0"/>
    <n v="66080.98"/>
    <x v="24"/>
    <n v="1"/>
    <x v="744"/>
    <n v="0.83630000000000004"/>
    <n v="1"/>
    <n v="70823.149999999994"/>
    <n v="37816.06"/>
    <n v="6"/>
    <x v="1"/>
    <x v="0"/>
    <x v="1"/>
    <x v="725"/>
    <x v="1"/>
  </r>
  <r>
    <x v="839"/>
    <x v="4"/>
    <n v="77736.100000000006"/>
    <x v="26"/>
    <n v="1"/>
    <x v="745"/>
    <n v="0.62619999999999998"/>
    <n v="2"/>
    <n v="35536.910000000003"/>
    <n v="18633.57"/>
    <n v="82"/>
    <x v="2"/>
    <x v="2"/>
    <x v="1"/>
    <x v="807"/>
    <x v="1"/>
  </r>
  <r>
    <x v="840"/>
    <x v="5"/>
    <n v="48429.16"/>
    <x v="49"/>
    <n v="1"/>
    <x v="746"/>
    <n v="0.28820000000000001"/>
    <n v="2"/>
    <n v="37501.43"/>
    <n v="33256.06"/>
    <n v="79"/>
    <x v="1"/>
    <x v="0"/>
    <x v="0"/>
    <x v="808"/>
    <x v="1"/>
  </r>
  <r>
    <x v="841"/>
    <x v="2"/>
    <n v="102740.75"/>
    <x v="4"/>
    <n v="0"/>
    <x v="747"/>
    <n v="0.65280000000000005"/>
    <n v="3"/>
    <n v="42246.43"/>
    <n v="18292.95"/>
    <n v="131"/>
    <x v="1"/>
    <x v="2"/>
    <x v="0"/>
    <x v="809"/>
    <x v="1"/>
  </r>
  <r>
    <x v="842"/>
    <x v="3"/>
    <n v="109097.38"/>
    <x v="13"/>
    <n v="0"/>
    <x v="24"/>
    <n v="0.79879999999999995"/>
    <n v="6"/>
    <n v="86188.78"/>
    <n v="75926.53"/>
    <n v="106"/>
    <x v="2"/>
    <x v="0"/>
    <x v="0"/>
    <x v="810"/>
    <x v="1"/>
  </r>
  <r>
    <x v="843"/>
    <x v="2"/>
    <n v="107461.15"/>
    <x v="24"/>
    <n v="1"/>
    <x v="748"/>
    <n v="0.2049"/>
    <n v="0"/>
    <n v="32512.15"/>
    <n v="25763"/>
    <n v="166"/>
    <x v="0"/>
    <x v="1"/>
    <x v="1"/>
    <x v="811"/>
    <x v="1"/>
  </r>
  <r>
    <x v="844"/>
    <x v="0"/>
    <n v="2000"/>
    <x v="43"/>
    <n v="1"/>
    <x v="749"/>
    <n v="0.43519999999999998"/>
    <n v="2"/>
    <n v="500"/>
    <n v="0"/>
    <n v="147"/>
    <x v="0"/>
    <x v="0"/>
    <x v="0"/>
    <x v="812"/>
    <x v="1"/>
  </r>
  <r>
    <x v="845"/>
    <x v="0"/>
    <n v="61122.33"/>
    <x v="37"/>
    <n v="0"/>
    <x v="750"/>
    <n v="0.26079999999999998"/>
    <n v="3"/>
    <n v="500"/>
    <n v="0"/>
    <n v="69"/>
    <x v="2"/>
    <x v="0"/>
    <x v="0"/>
    <x v="813"/>
    <x v="1"/>
  </r>
  <r>
    <x v="846"/>
    <x v="5"/>
    <n v="126247.36"/>
    <x v="7"/>
    <n v="0"/>
    <x v="751"/>
    <n v="0.5968"/>
    <n v="4"/>
    <n v="96296.6"/>
    <n v="71857.509999999995"/>
    <n v="69"/>
    <x v="0"/>
    <x v="2"/>
    <x v="2"/>
    <x v="814"/>
    <x v="1"/>
  </r>
  <r>
    <x v="847"/>
    <x v="2"/>
    <n v="121618.67"/>
    <x v="0"/>
    <n v="0"/>
    <x v="752"/>
    <n v="0.32390000000000002"/>
    <n v="0"/>
    <n v="38733.699999999997"/>
    <n v="26963.15"/>
    <n v="144"/>
    <x v="1"/>
    <x v="0"/>
    <x v="1"/>
    <x v="748"/>
    <x v="1"/>
  </r>
  <r>
    <x v="848"/>
    <x v="3"/>
    <n v="111055.53"/>
    <x v="30"/>
    <n v="0"/>
    <x v="753"/>
    <n v="0.45700000000000002"/>
    <n v="1"/>
    <n v="50233.65"/>
    <n v="32528.7"/>
    <n v="123"/>
    <x v="0"/>
    <x v="0"/>
    <x v="1"/>
    <x v="815"/>
    <x v="1"/>
  </r>
  <r>
    <x v="849"/>
    <x v="5"/>
    <n v="96673.55"/>
    <x v="13"/>
    <n v="1"/>
    <x v="754"/>
    <n v="0.29260000000000003"/>
    <n v="4"/>
    <n v="18133.580000000002"/>
    <n v="10835.02"/>
    <n v="133"/>
    <x v="1"/>
    <x v="1"/>
    <x v="1"/>
    <x v="816"/>
    <x v="1"/>
  </r>
  <r>
    <x v="850"/>
    <x v="2"/>
    <n v="33536.379999999997"/>
    <x v="43"/>
    <n v="0"/>
    <x v="127"/>
    <n v="0.25480000000000003"/>
    <n v="3"/>
    <n v="500"/>
    <n v="7868.82"/>
    <n v="170"/>
    <x v="0"/>
    <x v="0"/>
    <x v="1"/>
    <x v="817"/>
    <x v="1"/>
  </r>
  <r>
    <x v="851"/>
    <x v="2"/>
    <n v="118961.2"/>
    <x v="7"/>
    <n v="0"/>
    <x v="515"/>
    <n v="0.34200000000000003"/>
    <n v="0"/>
    <n v="57045.86"/>
    <n v="22059.14"/>
    <n v="65"/>
    <x v="0"/>
    <x v="0"/>
    <x v="0"/>
    <x v="818"/>
    <x v="1"/>
  </r>
  <r>
    <x v="852"/>
    <x v="3"/>
    <n v="96202.6"/>
    <x v="20"/>
    <n v="0"/>
    <x v="729"/>
    <n v="0.1658"/>
    <n v="1"/>
    <n v="38907.79"/>
    <n v="26153.54"/>
    <n v="149"/>
    <x v="2"/>
    <x v="2"/>
    <x v="0"/>
    <x v="819"/>
    <x v="1"/>
  </r>
  <r>
    <x v="853"/>
    <x v="1"/>
    <n v="57622.96"/>
    <x v="9"/>
    <n v="1"/>
    <x v="755"/>
    <n v="0.26150000000000001"/>
    <n v="1"/>
    <n v="500"/>
    <n v="0"/>
    <n v="38"/>
    <x v="2"/>
    <x v="0"/>
    <x v="1"/>
    <x v="820"/>
    <x v="1"/>
  </r>
  <r>
    <x v="854"/>
    <x v="1"/>
    <n v="2000"/>
    <x v="39"/>
    <n v="1"/>
    <x v="756"/>
    <n v="0.61990000000000001"/>
    <n v="2"/>
    <n v="500"/>
    <n v="0"/>
    <n v="41"/>
    <x v="1"/>
    <x v="2"/>
    <x v="0"/>
    <x v="821"/>
    <x v="1"/>
  </r>
  <r>
    <x v="855"/>
    <x v="1"/>
    <n v="136060.51"/>
    <x v="8"/>
    <n v="0"/>
    <x v="29"/>
    <n v="0.61860000000000004"/>
    <n v="6"/>
    <n v="71811.259999999995"/>
    <n v="51499.27"/>
    <n v="58"/>
    <x v="2"/>
    <x v="1"/>
    <x v="0"/>
    <x v="822"/>
    <x v="1"/>
  </r>
  <r>
    <x v="856"/>
    <x v="1"/>
    <n v="59524.98"/>
    <x v="33"/>
    <n v="0"/>
    <x v="757"/>
    <n v="0.75780000000000003"/>
    <n v="3"/>
    <n v="49962.22"/>
    <n v="31001.77"/>
    <n v="140"/>
    <x v="1"/>
    <x v="0"/>
    <x v="0"/>
    <x v="823"/>
    <x v="1"/>
  </r>
  <r>
    <x v="857"/>
    <x v="5"/>
    <n v="135809.57"/>
    <x v="45"/>
    <n v="1"/>
    <x v="758"/>
    <n v="0.54920000000000002"/>
    <n v="2"/>
    <n v="57088.83"/>
    <n v="36320.01"/>
    <n v="125"/>
    <x v="1"/>
    <x v="0"/>
    <x v="1"/>
    <x v="824"/>
    <x v="1"/>
  </r>
  <r>
    <x v="858"/>
    <x v="4"/>
    <n v="85734.56"/>
    <x v="1"/>
    <n v="1"/>
    <x v="759"/>
    <n v="0.32869999999999999"/>
    <n v="6"/>
    <n v="41614.03"/>
    <n v="20946.98"/>
    <n v="84"/>
    <x v="1"/>
    <x v="2"/>
    <x v="2"/>
    <x v="825"/>
    <x v="1"/>
  </r>
  <r>
    <x v="859"/>
    <x v="3"/>
    <n v="65850.59"/>
    <x v="16"/>
    <n v="0"/>
    <x v="760"/>
    <n v="0.73119999999999996"/>
    <n v="4"/>
    <n v="59658.41"/>
    <n v="56448.07"/>
    <n v="156"/>
    <x v="1"/>
    <x v="0"/>
    <x v="1"/>
    <x v="826"/>
    <x v="1"/>
  </r>
  <r>
    <x v="860"/>
    <x v="4"/>
    <n v="2000"/>
    <x v="23"/>
    <n v="0"/>
    <x v="761"/>
    <n v="0.65659999999999996"/>
    <n v="2"/>
    <n v="500"/>
    <n v="1083.3900000000001"/>
    <n v="65"/>
    <x v="3"/>
    <x v="0"/>
    <x v="2"/>
    <x v="827"/>
    <x v="1"/>
  </r>
  <r>
    <x v="861"/>
    <x v="4"/>
    <n v="111494.68"/>
    <x v="10"/>
    <n v="1"/>
    <x v="24"/>
    <n v="0.71060000000000001"/>
    <n v="6"/>
    <n v="99868.7"/>
    <n v="71832.22"/>
    <n v="83"/>
    <x v="1"/>
    <x v="0"/>
    <x v="1"/>
    <x v="828"/>
    <x v="1"/>
  </r>
  <r>
    <x v="862"/>
    <x v="5"/>
    <n v="51598.2"/>
    <x v="30"/>
    <n v="0"/>
    <x v="762"/>
    <n v="0.51539999999999997"/>
    <n v="2"/>
    <n v="44629.27"/>
    <n v="38163.32"/>
    <n v="60"/>
    <x v="3"/>
    <x v="1"/>
    <x v="2"/>
    <x v="829"/>
    <x v="1"/>
  </r>
  <r>
    <x v="623"/>
    <x v="2"/>
    <n v="6395.05"/>
    <x v="7"/>
    <n v="1"/>
    <x v="763"/>
    <n v="0.2213"/>
    <n v="5"/>
    <n v="23474.49"/>
    <n v="12589.57"/>
    <n v="99"/>
    <x v="2"/>
    <x v="2"/>
    <x v="0"/>
    <x v="830"/>
    <x v="1"/>
  </r>
  <r>
    <x v="863"/>
    <x v="3"/>
    <n v="21750.12"/>
    <x v="1"/>
    <n v="1"/>
    <x v="764"/>
    <n v="0.28389999999999999"/>
    <n v="3"/>
    <n v="6141.95"/>
    <n v="2331.12"/>
    <n v="119"/>
    <x v="1"/>
    <x v="0"/>
    <x v="1"/>
    <x v="831"/>
    <x v="1"/>
  </r>
  <r>
    <x v="864"/>
    <x v="0"/>
    <n v="177206.65"/>
    <x v="9"/>
    <n v="1"/>
    <x v="765"/>
    <n v="0.2384"/>
    <n v="3"/>
    <n v="44760.54"/>
    <n v="32371.16"/>
    <n v="70"/>
    <x v="0"/>
    <x v="0"/>
    <x v="1"/>
    <x v="436"/>
    <x v="1"/>
  </r>
  <r>
    <x v="865"/>
    <x v="4"/>
    <n v="79870.240000000005"/>
    <x v="31"/>
    <n v="0"/>
    <x v="766"/>
    <n v="0.20430000000000001"/>
    <n v="0"/>
    <n v="500"/>
    <n v="3004.6"/>
    <n v="145"/>
    <x v="2"/>
    <x v="0"/>
    <x v="0"/>
    <x v="832"/>
    <x v="1"/>
  </r>
  <r>
    <x v="866"/>
    <x v="3"/>
    <n v="74000.13"/>
    <x v="41"/>
    <n v="1"/>
    <x v="24"/>
    <n v="0.63560000000000005"/>
    <n v="5"/>
    <n v="58107.13"/>
    <n v="44782.63"/>
    <n v="145"/>
    <x v="0"/>
    <x v="2"/>
    <x v="1"/>
    <x v="833"/>
    <x v="1"/>
  </r>
  <r>
    <x v="867"/>
    <x v="5"/>
    <n v="56649.29"/>
    <x v="10"/>
    <n v="1"/>
    <x v="767"/>
    <n v="0.52190000000000003"/>
    <n v="2"/>
    <n v="53480.05"/>
    <n v="40809.03"/>
    <n v="99"/>
    <x v="1"/>
    <x v="1"/>
    <x v="0"/>
    <x v="834"/>
    <x v="1"/>
  </r>
  <r>
    <x v="868"/>
    <x v="2"/>
    <n v="32941.919999999998"/>
    <x v="11"/>
    <n v="0"/>
    <x v="768"/>
    <n v="0.39610000000000001"/>
    <n v="4"/>
    <n v="21224.05"/>
    <n v="10838.58"/>
    <n v="135"/>
    <x v="1"/>
    <x v="2"/>
    <x v="2"/>
    <x v="835"/>
    <x v="1"/>
  </r>
  <r>
    <x v="869"/>
    <x v="1"/>
    <n v="68364.539999999994"/>
    <x v="38"/>
    <n v="0"/>
    <x v="769"/>
    <n v="0.22389999999999999"/>
    <n v="4"/>
    <n v="8889.1"/>
    <n v="0"/>
    <n v="124"/>
    <x v="0"/>
    <x v="1"/>
    <x v="0"/>
    <x v="817"/>
    <x v="1"/>
  </r>
  <r>
    <x v="870"/>
    <x v="5"/>
    <n v="110322.85"/>
    <x v="43"/>
    <n v="1"/>
    <x v="770"/>
    <n v="0"/>
    <n v="1"/>
    <n v="14230.01"/>
    <n v="21090.3"/>
    <n v="69"/>
    <x v="0"/>
    <x v="2"/>
    <x v="2"/>
    <x v="836"/>
    <x v="1"/>
  </r>
  <r>
    <x v="871"/>
    <x v="5"/>
    <n v="88800.57"/>
    <x v="30"/>
    <n v="0"/>
    <x v="771"/>
    <n v="0.76939999999999997"/>
    <n v="5"/>
    <n v="71927.820000000007"/>
    <n v="43451.01"/>
    <n v="86"/>
    <x v="1"/>
    <x v="2"/>
    <x v="0"/>
    <x v="837"/>
    <x v="1"/>
  </r>
  <r>
    <x v="872"/>
    <x v="1"/>
    <n v="208977.4"/>
    <x v="46"/>
    <n v="1"/>
    <x v="772"/>
    <n v="0.68889999999999996"/>
    <n v="2"/>
    <n v="137362.01"/>
    <n v="86746.94"/>
    <n v="167"/>
    <x v="1"/>
    <x v="0"/>
    <x v="2"/>
    <x v="838"/>
    <x v="1"/>
  </r>
  <r>
    <x v="873"/>
    <x v="2"/>
    <n v="122589.62"/>
    <x v="20"/>
    <n v="0"/>
    <x v="773"/>
    <n v="7.0400000000000004E-2"/>
    <n v="2"/>
    <n v="3498.71"/>
    <n v="0"/>
    <n v="93"/>
    <x v="1"/>
    <x v="2"/>
    <x v="2"/>
    <x v="839"/>
    <x v="1"/>
  </r>
  <r>
    <x v="874"/>
    <x v="3"/>
    <n v="71125.509999999995"/>
    <x v="19"/>
    <n v="1"/>
    <x v="699"/>
    <n v="0.59050000000000002"/>
    <n v="6"/>
    <n v="33474.5"/>
    <n v="17002.900000000001"/>
    <n v="125"/>
    <x v="1"/>
    <x v="0"/>
    <x v="0"/>
    <x v="840"/>
    <x v="1"/>
  </r>
  <r>
    <x v="875"/>
    <x v="2"/>
    <n v="158377.48000000001"/>
    <x v="24"/>
    <n v="1"/>
    <x v="774"/>
    <n v="6.0199999999999997E-2"/>
    <n v="4"/>
    <n v="18774.23"/>
    <n v="20894.419999999998"/>
    <n v="92"/>
    <x v="1"/>
    <x v="0"/>
    <x v="2"/>
    <x v="841"/>
    <x v="1"/>
  </r>
  <r>
    <x v="876"/>
    <x v="2"/>
    <n v="137347.42000000001"/>
    <x v="43"/>
    <n v="0"/>
    <x v="487"/>
    <n v="0.52939999999999998"/>
    <n v="1"/>
    <n v="59904.5"/>
    <n v="33498.5"/>
    <n v="68"/>
    <x v="0"/>
    <x v="0"/>
    <x v="0"/>
    <x v="842"/>
    <x v="1"/>
  </r>
  <r>
    <x v="877"/>
    <x v="4"/>
    <n v="52915"/>
    <x v="5"/>
    <n v="0"/>
    <x v="24"/>
    <n v="0.44440000000000002"/>
    <n v="0"/>
    <n v="7851.43"/>
    <n v="5915.49"/>
    <n v="74"/>
    <x v="3"/>
    <x v="0"/>
    <x v="0"/>
    <x v="843"/>
    <x v="1"/>
  </r>
  <r>
    <x v="878"/>
    <x v="4"/>
    <n v="82206.33"/>
    <x v="20"/>
    <n v="1"/>
    <x v="481"/>
    <n v="0.34160000000000001"/>
    <n v="5"/>
    <n v="23761.39"/>
    <n v="22274.98"/>
    <n v="19"/>
    <x v="3"/>
    <x v="0"/>
    <x v="1"/>
    <x v="844"/>
    <x v="1"/>
  </r>
  <r>
    <x v="879"/>
    <x v="3"/>
    <n v="63850.28"/>
    <x v="45"/>
    <n v="0"/>
    <x v="699"/>
    <n v="0.30919999999999997"/>
    <n v="1"/>
    <n v="25789.27"/>
    <n v="23907.41"/>
    <n v="53"/>
    <x v="0"/>
    <x v="0"/>
    <x v="0"/>
    <x v="845"/>
    <x v="1"/>
  </r>
  <r>
    <x v="880"/>
    <x v="1"/>
    <n v="158335.13"/>
    <x v="3"/>
    <n v="1"/>
    <x v="775"/>
    <n v="0.40460000000000002"/>
    <n v="5"/>
    <n v="75189.55"/>
    <n v="50322.19"/>
    <n v="126"/>
    <x v="1"/>
    <x v="2"/>
    <x v="1"/>
    <x v="846"/>
    <x v="1"/>
  </r>
  <r>
    <x v="881"/>
    <x v="2"/>
    <n v="109451.59"/>
    <x v="11"/>
    <n v="1"/>
    <x v="776"/>
    <n v="0.63200000000000001"/>
    <n v="3"/>
    <n v="63475.45"/>
    <n v="50448.58"/>
    <n v="178"/>
    <x v="1"/>
    <x v="0"/>
    <x v="0"/>
    <x v="847"/>
    <x v="1"/>
  </r>
  <r>
    <x v="882"/>
    <x v="0"/>
    <n v="112669.42"/>
    <x v="16"/>
    <n v="0"/>
    <x v="24"/>
    <n v="0.48759999999999998"/>
    <n v="4"/>
    <n v="64816.06"/>
    <n v="45732.57"/>
    <n v="6"/>
    <x v="1"/>
    <x v="2"/>
    <x v="2"/>
    <x v="848"/>
    <x v="1"/>
  </r>
  <r>
    <x v="883"/>
    <x v="5"/>
    <n v="108778.99"/>
    <x v="35"/>
    <n v="1"/>
    <x v="777"/>
    <n v="0.36459999999999998"/>
    <n v="3"/>
    <n v="32613.79"/>
    <n v="26815.51"/>
    <n v="44"/>
    <x v="0"/>
    <x v="0"/>
    <x v="2"/>
    <x v="24"/>
    <x v="1"/>
  </r>
  <r>
    <x v="884"/>
    <x v="1"/>
    <n v="114644.67"/>
    <x v="44"/>
    <n v="1"/>
    <x v="778"/>
    <n v="0.58009999999999995"/>
    <n v="6"/>
    <n v="83352.77"/>
    <n v="42830.879999999997"/>
    <n v="173"/>
    <x v="2"/>
    <x v="2"/>
    <x v="0"/>
    <x v="849"/>
    <x v="1"/>
  </r>
  <r>
    <x v="885"/>
    <x v="1"/>
    <n v="50491.3"/>
    <x v="15"/>
    <n v="1"/>
    <x v="779"/>
    <n v="0.76319999999999999"/>
    <n v="5"/>
    <n v="30978.69"/>
    <n v="12611.62"/>
    <n v="19"/>
    <x v="0"/>
    <x v="0"/>
    <x v="1"/>
    <x v="850"/>
    <x v="1"/>
  </r>
  <r>
    <x v="886"/>
    <x v="2"/>
    <n v="40880.550000000003"/>
    <x v="3"/>
    <n v="1"/>
    <x v="780"/>
    <n v="1.2999999999999999E-2"/>
    <n v="4"/>
    <n v="500"/>
    <n v="4187.91"/>
    <n v="114"/>
    <x v="1"/>
    <x v="0"/>
    <x v="1"/>
    <x v="851"/>
    <x v="1"/>
  </r>
  <r>
    <x v="887"/>
    <x v="4"/>
    <n v="35368.400000000001"/>
    <x v="16"/>
    <n v="1"/>
    <x v="24"/>
    <n v="0.38519999999999999"/>
    <n v="5"/>
    <n v="500"/>
    <n v="0"/>
    <n v="117"/>
    <x v="0"/>
    <x v="0"/>
    <x v="0"/>
    <x v="852"/>
    <x v="1"/>
  </r>
  <r>
    <x v="888"/>
    <x v="5"/>
    <n v="92804.85"/>
    <x v="8"/>
    <n v="1"/>
    <x v="781"/>
    <n v="0.5927"/>
    <n v="2"/>
    <n v="32201.58"/>
    <n v="26288.39"/>
    <n v="81"/>
    <x v="1"/>
    <x v="0"/>
    <x v="0"/>
    <x v="853"/>
    <x v="1"/>
  </r>
  <r>
    <x v="889"/>
    <x v="3"/>
    <n v="55123.74"/>
    <x v="39"/>
    <n v="0"/>
    <x v="782"/>
    <n v="0.1537"/>
    <n v="1"/>
    <n v="16875.310000000001"/>
    <n v="19584.09"/>
    <n v="38"/>
    <x v="1"/>
    <x v="2"/>
    <x v="0"/>
    <x v="854"/>
    <x v="1"/>
  </r>
  <r>
    <x v="890"/>
    <x v="3"/>
    <n v="208803.89"/>
    <x v="18"/>
    <n v="0"/>
    <x v="24"/>
    <n v="0.13589999999999999"/>
    <n v="5"/>
    <n v="16891.8"/>
    <n v="11422.56"/>
    <n v="89"/>
    <x v="1"/>
    <x v="0"/>
    <x v="3"/>
    <x v="855"/>
    <x v="1"/>
  </r>
  <r>
    <x v="891"/>
    <x v="4"/>
    <n v="122562.58"/>
    <x v="32"/>
    <n v="0"/>
    <x v="783"/>
    <n v="0.90390000000000004"/>
    <n v="7"/>
    <n v="110716.29"/>
    <n v="61037.41"/>
    <n v="11"/>
    <x v="0"/>
    <x v="2"/>
    <x v="1"/>
    <x v="856"/>
    <x v="1"/>
  </r>
  <r>
    <x v="892"/>
    <x v="0"/>
    <n v="71728.84"/>
    <x v="38"/>
    <n v="1"/>
    <x v="784"/>
    <n v="8.6900000000000005E-2"/>
    <n v="4"/>
    <n v="5574.6"/>
    <n v="0"/>
    <n v="18"/>
    <x v="1"/>
    <x v="0"/>
    <x v="1"/>
    <x v="857"/>
    <x v="1"/>
  </r>
  <r>
    <x v="893"/>
    <x v="4"/>
    <n v="88463.85"/>
    <x v="0"/>
    <n v="1"/>
    <x v="785"/>
    <n v="0.32350000000000001"/>
    <n v="2"/>
    <n v="20990.18"/>
    <n v="14367.12"/>
    <n v="78"/>
    <x v="0"/>
    <x v="0"/>
    <x v="0"/>
    <x v="858"/>
    <x v="1"/>
  </r>
  <r>
    <x v="894"/>
    <x v="3"/>
    <n v="102164.08"/>
    <x v="31"/>
    <n v="1"/>
    <x v="786"/>
    <n v="5.6399999999999999E-2"/>
    <n v="2"/>
    <n v="11900.4"/>
    <n v="6990.09"/>
    <n v="162"/>
    <x v="0"/>
    <x v="2"/>
    <x v="2"/>
    <x v="859"/>
    <x v="1"/>
  </r>
  <r>
    <x v="895"/>
    <x v="3"/>
    <n v="63385.75"/>
    <x v="48"/>
    <n v="0"/>
    <x v="787"/>
    <n v="8.4400000000000003E-2"/>
    <n v="1"/>
    <n v="500"/>
    <n v="6170.69"/>
    <n v="119"/>
    <x v="0"/>
    <x v="2"/>
    <x v="1"/>
    <x v="860"/>
    <x v="1"/>
  </r>
  <r>
    <x v="896"/>
    <x v="4"/>
    <n v="84472.960000000006"/>
    <x v="37"/>
    <n v="1"/>
    <x v="24"/>
    <n v="0.49840000000000001"/>
    <n v="6"/>
    <n v="37837.14"/>
    <n v="23446.32"/>
    <n v="59"/>
    <x v="1"/>
    <x v="2"/>
    <x v="0"/>
    <x v="861"/>
    <x v="1"/>
  </r>
  <r>
    <x v="897"/>
    <x v="3"/>
    <n v="41816.99"/>
    <x v="36"/>
    <n v="0"/>
    <x v="153"/>
    <n v="0.29310000000000003"/>
    <n v="1"/>
    <n v="2756"/>
    <n v="8775.7099999999991"/>
    <n v="11"/>
    <x v="2"/>
    <x v="0"/>
    <x v="1"/>
    <x v="862"/>
    <x v="1"/>
  </r>
  <r>
    <x v="898"/>
    <x v="3"/>
    <n v="87171.65"/>
    <x v="48"/>
    <n v="0"/>
    <x v="788"/>
    <n v="9.6600000000000005E-2"/>
    <n v="2"/>
    <n v="14446.6"/>
    <n v="18456.07"/>
    <n v="51"/>
    <x v="2"/>
    <x v="2"/>
    <x v="3"/>
    <x v="863"/>
    <x v="1"/>
  </r>
  <r>
    <x v="899"/>
    <x v="1"/>
    <n v="50137.23"/>
    <x v="35"/>
    <n v="1"/>
    <x v="789"/>
    <n v="0.1056"/>
    <n v="2"/>
    <n v="500"/>
    <n v="7217.31"/>
    <n v="33"/>
    <x v="1"/>
    <x v="2"/>
    <x v="1"/>
    <x v="864"/>
    <x v="1"/>
  </r>
  <r>
    <x v="900"/>
    <x v="5"/>
    <n v="49857.64"/>
    <x v="5"/>
    <n v="1"/>
    <x v="790"/>
    <n v="0.17380000000000001"/>
    <n v="0"/>
    <n v="14972.01"/>
    <n v="0"/>
    <n v="51"/>
    <x v="1"/>
    <x v="0"/>
    <x v="2"/>
    <x v="865"/>
    <x v="1"/>
  </r>
  <r>
    <x v="901"/>
    <x v="0"/>
    <n v="52064.05"/>
    <x v="2"/>
    <n v="1"/>
    <x v="791"/>
    <n v="0.12959999999999999"/>
    <n v="3"/>
    <n v="21963.49"/>
    <n v="11395.52"/>
    <n v="168"/>
    <x v="0"/>
    <x v="0"/>
    <x v="1"/>
    <x v="866"/>
    <x v="1"/>
  </r>
  <r>
    <x v="902"/>
    <x v="5"/>
    <n v="89610.65"/>
    <x v="13"/>
    <n v="1"/>
    <x v="792"/>
    <n v="0.3256"/>
    <n v="2"/>
    <n v="48642.76"/>
    <n v="32887.29"/>
    <n v="100"/>
    <x v="0"/>
    <x v="2"/>
    <x v="1"/>
    <x v="591"/>
    <x v="1"/>
  </r>
  <r>
    <x v="903"/>
    <x v="3"/>
    <n v="60602.59"/>
    <x v="44"/>
    <n v="0"/>
    <x v="793"/>
    <n v="1.34E-2"/>
    <n v="1"/>
    <n v="1949.82"/>
    <n v="10341.98"/>
    <n v="57"/>
    <x v="0"/>
    <x v="0"/>
    <x v="2"/>
    <x v="867"/>
    <x v="1"/>
  </r>
  <r>
    <x v="904"/>
    <x v="2"/>
    <n v="138229.28"/>
    <x v="31"/>
    <n v="1"/>
    <x v="794"/>
    <n v="0.46450000000000002"/>
    <n v="4"/>
    <n v="79164.3"/>
    <n v="40305.96"/>
    <n v="90"/>
    <x v="2"/>
    <x v="1"/>
    <x v="0"/>
    <x v="868"/>
    <x v="1"/>
  </r>
  <r>
    <x v="905"/>
    <x v="0"/>
    <n v="157694.28"/>
    <x v="8"/>
    <n v="0"/>
    <x v="795"/>
    <n v="0.17730000000000001"/>
    <n v="0"/>
    <n v="57805.760000000002"/>
    <n v="42126.25"/>
    <n v="24"/>
    <x v="2"/>
    <x v="1"/>
    <x v="2"/>
    <x v="869"/>
    <x v="1"/>
  </r>
  <r>
    <x v="906"/>
    <x v="3"/>
    <n v="73405.77"/>
    <x v="49"/>
    <n v="1"/>
    <x v="796"/>
    <n v="0.13800000000000001"/>
    <n v="2"/>
    <n v="5475.65"/>
    <n v="9294.16"/>
    <n v="16"/>
    <x v="1"/>
    <x v="2"/>
    <x v="1"/>
    <x v="870"/>
    <x v="1"/>
  </r>
  <r>
    <x v="907"/>
    <x v="4"/>
    <n v="69131.44"/>
    <x v="36"/>
    <n v="1"/>
    <x v="797"/>
    <n v="0.64119999999999999"/>
    <n v="1"/>
    <n v="21031.759999999998"/>
    <n v="7866.08"/>
    <n v="49"/>
    <x v="1"/>
    <x v="2"/>
    <x v="0"/>
    <x v="871"/>
    <x v="1"/>
  </r>
  <r>
    <x v="908"/>
    <x v="1"/>
    <n v="141609.82999999999"/>
    <x v="33"/>
    <n v="0"/>
    <x v="798"/>
    <n v="0.3236"/>
    <n v="4"/>
    <n v="35503.599999999999"/>
    <n v="23648.799999999999"/>
    <n v="81"/>
    <x v="1"/>
    <x v="0"/>
    <x v="1"/>
    <x v="872"/>
    <x v="1"/>
  </r>
  <r>
    <x v="909"/>
    <x v="5"/>
    <n v="88078.12"/>
    <x v="41"/>
    <n v="1"/>
    <x v="799"/>
    <n v="0.52329999999999999"/>
    <n v="4"/>
    <n v="48704.94"/>
    <n v="41731.620000000003"/>
    <n v="98"/>
    <x v="1"/>
    <x v="0"/>
    <x v="1"/>
    <x v="873"/>
    <x v="1"/>
  </r>
  <r>
    <x v="910"/>
    <x v="2"/>
    <n v="74180.52"/>
    <x v="8"/>
    <n v="1"/>
    <x v="800"/>
    <n v="0.79620000000000002"/>
    <n v="4"/>
    <n v="51120.1"/>
    <n v="30812.95"/>
    <n v="169"/>
    <x v="0"/>
    <x v="2"/>
    <x v="1"/>
    <x v="874"/>
    <x v="1"/>
  </r>
  <r>
    <x v="911"/>
    <x v="1"/>
    <n v="132700.85999999999"/>
    <x v="9"/>
    <n v="0"/>
    <x v="801"/>
    <n v="0.37619999999999998"/>
    <n v="0"/>
    <n v="32641.51"/>
    <n v="28577.86"/>
    <n v="49"/>
    <x v="3"/>
    <x v="2"/>
    <x v="1"/>
    <x v="875"/>
    <x v="1"/>
  </r>
  <r>
    <x v="912"/>
    <x v="5"/>
    <n v="89623.01"/>
    <x v="7"/>
    <n v="0"/>
    <x v="655"/>
    <n v="0"/>
    <n v="0"/>
    <n v="1941.7"/>
    <n v="0"/>
    <n v="22"/>
    <x v="0"/>
    <x v="0"/>
    <x v="0"/>
    <x v="876"/>
    <x v="1"/>
  </r>
  <r>
    <x v="913"/>
    <x v="0"/>
    <n v="103906.41"/>
    <x v="6"/>
    <n v="0"/>
    <x v="802"/>
    <n v="0.49619999999999997"/>
    <n v="5"/>
    <n v="32154.71"/>
    <n v="12574.16"/>
    <n v="9"/>
    <x v="2"/>
    <x v="2"/>
    <x v="1"/>
    <x v="877"/>
    <x v="1"/>
  </r>
  <r>
    <x v="914"/>
    <x v="2"/>
    <n v="85108.39"/>
    <x v="4"/>
    <n v="1"/>
    <x v="803"/>
    <n v="0.47189999999999999"/>
    <n v="5"/>
    <n v="34861.279999999999"/>
    <n v="24787.96"/>
    <n v="143"/>
    <x v="2"/>
    <x v="1"/>
    <x v="0"/>
    <x v="24"/>
    <x v="1"/>
  </r>
  <r>
    <x v="915"/>
    <x v="5"/>
    <n v="90441.04"/>
    <x v="23"/>
    <n v="1"/>
    <x v="804"/>
    <n v="0.64080000000000004"/>
    <n v="8"/>
    <n v="64711.360000000001"/>
    <n v="43490.46"/>
    <n v="122"/>
    <x v="0"/>
    <x v="1"/>
    <x v="0"/>
    <x v="878"/>
    <x v="1"/>
  </r>
  <r>
    <x v="916"/>
    <x v="1"/>
    <n v="163088.70000000001"/>
    <x v="28"/>
    <n v="1"/>
    <x v="805"/>
    <n v="0.32590000000000002"/>
    <n v="2"/>
    <n v="62822.35"/>
    <n v="45462.38"/>
    <n v="128"/>
    <x v="1"/>
    <x v="2"/>
    <x v="1"/>
    <x v="879"/>
    <x v="1"/>
  </r>
  <r>
    <x v="917"/>
    <x v="1"/>
    <n v="70166.12"/>
    <x v="38"/>
    <n v="1"/>
    <x v="306"/>
    <n v="0.13450000000000001"/>
    <n v="2"/>
    <n v="25637.15"/>
    <n v="22689.17"/>
    <n v="159"/>
    <x v="1"/>
    <x v="2"/>
    <x v="1"/>
    <x v="880"/>
    <x v="1"/>
  </r>
  <r>
    <x v="918"/>
    <x v="3"/>
    <n v="73238.48"/>
    <x v="27"/>
    <n v="0"/>
    <x v="806"/>
    <n v="0.13969999999999999"/>
    <n v="0"/>
    <n v="500"/>
    <n v="6392.22"/>
    <n v="110"/>
    <x v="1"/>
    <x v="0"/>
    <x v="0"/>
    <x v="881"/>
    <x v="1"/>
  </r>
  <r>
    <x v="919"/>
    <x v="0"/>
    <n v="2000"/>
    <x v="30"/>
    <n v="1"/>
    <x v="807"/>
    <n v="0.3725"/>
    <n v="5"/>
    <n v="500"/>
    <n v="10451.280000000001"/>
    <n v="134"/>
    <x v="0"/>
    <x v="0"/>
    <x v="3"/>
    <x v="882"/>
    <x v="1"/>
  </r>
  <r>
    <x v="920"/>
    <x v="1"/>
    <n v="72587.600000000006"/>
    <x v="9"/>
    <n v="1"/>
    <x v="808"/>
    <n v="0.42749999999999999"/>
    <n v="5"/>
    <n v="37418.29"/>
    <n v="17554.560000000001"/>
    <n v="119"/>
    <x v="0"/>
    <x v="2"/>
    <x v="2"/>
    <x v="883"/>
    <x v="1"/>
  </r>
  <r>
    <x v="921"/>
    <x v="1"/>
    <n v="115348.62"/>
    <x v="30"/>
    <n v="1"/>
    <x v="809"/>
    <n v="0.1804"/>
    <n v="1"/>
    <n v="13950.21"/>
    <n v="9289.85"/>
    <n v="82"/>
    <x v="2"/>
    <x v="0"/>
    <x v="1"/>
    <x v="884"/>
    <x v="1"/>
  </r>
  <r>
    <x v="922"/>
    <x v="3"/>
    <n v="116276.91"/>
    <x v="44"/>
    <n v="1"/>
    <x v="810"/>
    <n v="0.12540000000000001"/>
    <n v="4"/>
    <n v="45952.09"/>
    <n v="45839.09"/>
    <n v="112"/>
    <x v="2"/>
    <x v="0"/>
    <x v="2"/>
    <x v="885"/>
    <x v="1"/>
  </r>
  <r>
    <x v="923"/>
    <x v="0"/>
    <n v="113697.88"/>
    <x v="36"/>
    <n v="0"/>
    <x v="811"/>
    <n v="0.26069999999999999"/>
    <n v="5"/>
    <n v="35872.07"/>
    <n v="16357.27"/>
    <n v="84"/>
    <x v="1"/>
    <x v="0"/>
    <x v="0"/>
    <x v="886"/>
    <x v="1"/>
  </r>
  <r>
    <x v="924"/>
    <x v="3"/>
    <n v="44347.57"/>
    <x v="21"/>
    <n v="0"/>
    <x v="812"/>
    <n v="0.29110000000000003"/>
    <n v="0"/>
    <n v="16123.7"/>
    <n v="12777.48"/>
    <n v="175"/>
    <x v="1"/>
    <x v="0"/>
    <x v="0"/>
    <x v="887"/>
    <x v="1"/>
  </r>
  <r>
    <x v="925"/>
    <x v="5"/>
    <n v="100158.45"/>
    <x v="40"/>
    <n v="0"/>
    <x v="317"/>
    <n v="0.36919999999999997"/>
    <n v="0"/>
    <n v="25032.47"/>
    <n v="9501.59"/>
    <n v="76"/>
    <x v="0"/>
    <x v="0"/>
    <x v="0"/>
    <x v="888"/>
    <x v="1"/>
  </r>
  <r>
    <x v="926"/>
    <x v="3"/>
    <n v="99157.4"/>
    <x v="39"/>
    <n v="1"/>
    <x v="813"/>
    <n v="0.15620000000000001"/>
    <n v="4"/>
    <n v="9606.5499999999993"/>
    <n v="6704.22"/>
    <n v="156"/>
    <x v="1"/>
    <x v="0"/>
    <x v="1"/>
    <x v="24"/>
    <x v="1"/>
  </r>
  <r>
    <x v="927"/>
    <x v="1"/>
    <n v="20394"/>
    <x v="38"/>
    <n v="1"/>
    <x v="24"/>
    <n v="0"/>
    <n v="1"/>
    <n v="36866.480000000003"/>
    <n v="39354.68"/>
    <n v="111"/>
    <x v="2"/>
    <x v="2"/>
    <x v="1"/>
    <x v="889"/>
    <x v="1"/>
  </r>
  <r>
    <x v="928"/>
    <x v="1"/>
    <n v="64050.7"/>
    <x v="10"/>
    <n v="1"/>
    <x v="814"/>
    <n v="0.21290000000000001"/>
    <n v="1"/>
    <n v="32051.89"/>
    <n v="17459.22"/>
    <n v="23"/>
    <x v="2"/>
    <x v="2"/>
    <x v="1"/>
    <x v="890"/>
    <x v="1"/>
  </r>
  <r>
    <x v="929"/>
    <x v="1"/>
    <n v="40165.449999999997"/>
    <x v="23"/>
    <n v="1"/>
    <x v="815"/>
    <n v="0.51939999999999997"/>
    <n v="2"/>
    <n v="4517.62"/>
    <n v="5306.14"/>
    <n v="91"/>
    <x v="0"/>
    <x v="1"/>
    <x v="0"/>
    <x v="891"/>
    <x v="1"/>
  </r>
  <r>
    <x v="930"/>
    <x v="2"/>
    <n v="26648.2"/>
    <x v="6"/>
    <n v="0"/>
    <x v="816"/>
    <n v="0.53349999999999997"/>
    <n v="3"/>
    <n v="14620.92"/>
    <n v="0"/>
    <n v="137"/>
    <x v="1"/>
    <x v="2"/>
    <x v="3"/>
    <x v="892"/>
    <x v="1"/>
  </r>
  <r>
    <x v="931"/>
    <x v="0"/>
    <n v="117978.35"/>
    <x v="49"/>
    <n v="0"/>
    <x v="817"/>
    <n v="7.3499999999999996E-2"/>
    <n v="1"/>
    <n v="500"/>
    <n v="0"/>
    <n v="150"/>
    <x v="0"/>
    <x v="2"/>
    <x v="0"/>
    <x v="893"/>
    <x v="1"/>
  </r>
  <r>
    <x v="932"/>
    <x v="3"/>
    <n v="135284.29999999999"/>
    <x v="17"/>
    <n v="0"/>
    <x v="818"/>
    <n v="0.23949999999999999"/>
    <n v="5"/>
    <n v="31284.95"/>
    <n v="25221.02"/>
    <n v="76"/>
    <x v="1"/>
    <x v="2"/>
    <x v="3"/>
    <x v="894"/>
    <x v="1"/>
  </r>
  <r>
    <x v="933"/>
    <x v="0"/>
    <n v="76204.789999999994"/>
    <x v="17"/>
    <n v="0"/>
    <x v="819"/>
    <n v="0.23619999999999999"/>
    <n v="4"/>
    <n v="8193.36"/>
    <n v="0"/>
    <n v="116"/>
    <x v="2"/>
    <x v="0"/>
    <x v="0"/>
    <x v="895"/>
    <x v="0"/>
  </r>
  <r>
    <x v="934"/>
    <x v="0"/>
    <n v="58626.47"/>
    <x v="10"/>
    <n v="0"/>
    <x v="820"/>
    <n v="0.48549999999999999"/>
    <n v="3"/>
    <n v="50613.74"/>
    <n v="27507.58"/>
    <n v="176"/>
    <x v="0"/>
    <x v="2"/>
    <x v="2"/>
    <x v="896"/>
    <x v="1"/>
  </r>
  <r>
    <x v="935"/>
    <x v="1"/>
    <n v="77090.960000000006"/>
    <x v="1"/>
    <n v="0"/>
    <x v="821"/>
    <n v="0.42449999999999999"/>
    <n v="1"/>
    <n v="34162.769999999997"/>
    <n v="21409.599999999999"/>
    <n v="160"/>
    <x v="2"/>
    <x v="0"/>
    <x v="0"/>
    <x v="897"/>
    <x v="1"/>
  </r>
  <r>
    <x v="936"/>
    <x v="4"/>
    <n v="103886.78"/>
    <x v="5"/>
    <n v="1"/>
    <x v="822"/>
    <n v="0.25940000000000002"/>
    <n v="5"/>
    <n v="66320.710000000006"/>
    <n v="45074.05"/>
    <n v="96"/>
    <x v="0"/>
    <x v="2"/>
    <x v="2"/>
    <x v="898"/>
    <x v="1"/>
  </r>
  <r>
    <x v="937"/>
    <x v="3"/>
    <n v="99672.67"/>
    <x v="23"/>
    <n v="1"/>
    <x v="823"/>
    <n v="0.50409999999999999"/>
    <n v="2"/>
    <n v="65599.14"/>
    <n v="46841.07"/>
    <n v="56"/>
    <x v="0"/>
    <x v="0"/>
    <x v="2"/>
    <x v="899"/>
    <x v="1"/>
  </r>
  <r>
    <x v="938"/>
    <x v="1"/>
    <n v="105380.81"/>
    <x v="32"/>
    <n v="1"/>
    <x v="824"/>
    <n v="0.3846"/>
    <n v="4"/>
    <n v="75041.570000000007"/>
    <n v="47024.76"/>
    <n v="87"/>
    <x v="1"/>
    <x v="0"/>
    <x v="0"/>
    <x v="900"/>
    <x v="1"/>
  </r>
  <r>
    <x v="939"/>
    <x v="3"/>
    <n v="36859.910000000003"/>
    <x v="15"/>
    <n v="1"/>
    <x v="825"/>
    <n v="0.64319999999999999"/>
    <n v="4"/>
    <n v="500"/>
    <n v="10184.32"/>
    <n v="31"/>
    <x v="1"/>
    <x v="1"/>
    <x v="2"/>
    <x v="901"/>
    <x v="1"/>
  </r>
  <r>
    <x v="940"/>
    <x v="2"/>
    <n v="125106.56"/>
    <x v="20"/>
    <n v="1"/>
    <x v="826"/>
    <n v="0.58169999999999999"/>
    <n v="2"/>
    <n v="83600.179999999993"/>
    <n v="71248.09"/>
    <n v="171"/>
    <x v="2"/>
    <x v="0"/>
    <x v="2"/>
    <x v="902"/>
    <x v="1"/>
  </r>
  <r>
    <x v="941"/>
    <x v="0"/>
    <n v="144322.4"/>
    <x v="41"/>
    <n v="1"/>
    <x v="827"/>
    <n v="0.25659999999999999"/>
    <n v="0"/>
    <n v="62077.35"/>
    <n v="47964.91"/>
    <n v="175"/>
    <x v="0"/>
    <x v="2"/>
    <x v="2"/>
    <x v="903"/>
    <x v="1"/>
  </r>
  <r>
    <x v="942"/>
    <x v="1"/>
    <n v="103548.22"/>
    <x v="36"/>
    <n v="1"/>
    <x v="828"/>
    <n v="0"/>
    <n v="2"/>
    <n v="28030.26"/>
    <n v="22535.27"/>
    <n v="133"/>
    <x v="0"/>
    <x v="0"/>
    <x v="0"/>
    <x v="904"/>
    <x v="1"/>
  </r>
  <r>
    <x v="943"/>
    <x v="2"/>
    <n v="82204.23"/>
    <x v="43"/>
    <n v="0"/>
    <x v="829"/>
    <n v="0.14299999999999999"/>
    <n v="5"/>
    <n v="41472.17"/>
    <n v="31109.59"/>
    <n v="110"/>
    <x v="0"/>
    <x v="0"/>
    <x v="1"/>
    <x v="905"/>
    <x v="0"/>
  </r>
  <r>
    <x v="944"/>
    <x v="3"/>
    <n v="85835.51"/>
    <x v="5"/>
    <n v="0"/>
    <x v="24"/>
    <n v="0.8075"/>
    <n v="6"/>
    <n v="80374.37"/>
    <n v="79967.34"/>
    <n v="143"/>
    <x v="1"/>
    <x v="2"/>
    <x v="2"/>
    <x v="906"/>
    <x v="0"/>
  </r>
  <r>
    <x v="945"/>
    <x v="0"/>
    <n v="2000"/>
    <x v="19"/>
    <n v="1"/>
    <x v="256"/>
    <n v="0.65310000000000001"/>
    <n v="6"/>
    <n v="500"/>
    <n v="8601.59"/>
    <n v="30"/>
    <x v="1"/>
    <x v="2"/>
    <x v="2"/>
    <x v="907"/>
    <x v="1"/>
  </r>
  <r>
    <x v="946"/>
    <x v="1"/>
    <n v="119879.07"/>
    <x v="36"/>
    <n v="0"/>
    <x v="830"/>
    <n v="0.50229999999999997"/>
    <n v="5"/>
    <n v="68776.399999999994"/>
    <n v="49976.28"/>
    <n v="63"/>
    <x v="0"/>
    <x v="2"/>
    <x v="0"/>
    <x v="908"/>
    <x v="1"/>
  </r>
  <r>
    <x v="947"/>
    <x v="2"/>
    <n v="31537.32"/>
    <x v="42"/>
    <n v="0"/>
    <x v="369"/>
    <n v="0"/>
    <n v="0"/>
    <n v="500"/>
    <n v="0"/>
    <n v="114"/>
    <x v="1"/>
    <x v="0"/>
    <x v="1"/>
    <x v="909"/>
    <x v="1"/>
  </r>
  <r>
    <x v="948"/>
    <x v="4"/>
    <n v="29767.63"/>
    <x v="24"/>
    <n v="1"/>
    <x v="831"/>
    <n v="0.44929999999999998"/>
    <n v="3"/>
    <n v="20962.189999999999"/>
    <n v="29229.32"/>
    <n v="47"/>
    <x v="1"/>
    <x v="0"/>
    <x v="1"/>
    <x v="910"/>
    <x v="1"/>
  </r>
  <r>
    <x v="949"/>
    <x v="5"/>
    <n v="124624.12"/>
    <x v="17"/>
    <n v="1"/>
    <x v="24"/>
    <n v="0"/>
    <n v="4"/>
    <n v="500"/>
    <n v="2210.89"/>
    <n v="118"/>
    <x v="0"/>
    <x v="0"/>
    <x v="1"/>
    <x v="911"/>
    <x v="1"/>
  </r>
  <r>
    <x v="950"/>
    <x v="0"/>
    <n v="71215.289999999994"/>
    <x v="19"/>
    <n v="0"/>
    <x v="418"/>
    <n v="0.82630000000000003"/>
    <n v="5"/>
    <n v="42443.24"/>
    <n v="38083.81"/>
    <n v="138"/>
    <x v="0"/>
    <x v="2"/>
    <x v="0"/>
    <x v="912"/>
    <x v="0"/>
  </r>
  <r>
    <x v="951"/>
    <x v="2"/>
    <n v="70678.34"/>
    <x v="15"/>
    <n v="0"/>
    <x v="726"/>
    <n v="0.46100000000000002"/>
    <n v="2"/>
    <n v="30774.31"/>
    <n v="16587.98"/>
    <n v="94"/>
    <x v="0"/>
    <x v="0"/>
    <x v="3"/>
    <x v="913"/>
    <x v="1"/>
  </r>
  <r>
    <x v="952"/>
    <x v="1"/>
    <n v="135012.49"/>
    <x v="37"/>
    <n v="0"/>
    <x v="832"/>
    <n v="0"/>
    <n v="0"/>
    <n v="500"/>
    <n v="0"/>
    <n v="56"/>
    <x v="1"/>
    <x v="0"/>
    <x v="1"/>
    <x v="914"/>
    <x v="1"/>
  </r>
  <r>
    <x v="953"/>
    <x v="1"/>
    <n v="124982.84"/>
    <x v="49"/>
    <n v="1"/>
    <x v="498"/>
    <n v="0.28239999999999998"/>
    <n v="3"/>
    <n v="52736.88"/>
    <n v="28684.82"/>
    <n v="101"/>
    <x v="0"/>
    <x v="2"/>
    <x v="1"/>
    <x v="915"/>
    <x v="1"/>
  </r>
  <r>
    <x v="954"/>
    <x v="4"/>
    <n v="65028.77"/>
    <x v="47"/>
    <n v="1"/>
    <x v="833"/>
    <n v="0.88739999999999997"/>
    <n v="2"/>
    <n v="38853.67"/>
    <n v="27112.69"/>
    <n v="108"/>
    <x v="0"/>
    <x v="1"/>
    <x v="3"/>
    <x v="916"/>
    <x v="1"/>
  </r>
  <r>
    <x v="955"/>
    <x v="0"/>
    <n v="66146.87"/>
    <x v="30"/>
    <n v="1"/>
    <x v="834"/>
    <n v="0.59019999999999995"/>
    <n v="3"/>
    <n v="26865.74"/>
    <n v="16128.13"/>
    <n v="162"/>
    <x v="1"/>
    <x v="0"/>
    <x v="1"/>
    <x v="917"/>
    <x v="1"/>
  </r>
  <r>
    <x v="956"/>
    <x v="5"/>
    <n v="129769.52"/>
    <x v="18"/>
    <n v="0"/>
    <x v="835"/>
    <n v="0.49299999999999999"/>
    <n v="1"/>
    <n v="73758.880000000005"/>
    <n v="47525.78"/>
    <n v="63"/>
    <x v="3"/>
    <x v="0"/>
    <x v="2"/>
    <x v="918"/>
    <x v="1"/>
  </r>
  <r>
    <x v="957"/>
    <x v="3"/>
    <n v="82974.62"/>
    <x v="36"/>
    <n v="1"/>
    <x v="836"/>
    <n v="0.438"/>
    <n v="4"/>
    <n v="34210.959999999999"/>
    <n v="23733.99"/>
    <n v="169"/>
    <x v="0"/>
    <x v="0"/>
    <x v="0"/>
    <x v="919"/>
    <x v="1"/>
  </r>
  <r>
    <x v="958"/>
    <x v="1"/>
    <n v="53294.07"/>
    <x v="30"/>
    <n v="0"/>
    <x v="837"/>
    <n v="0.1195"/>
    <n v="0"/>
    <n v="843.71"/>
    <n v="10394.11"/>
    <n v="93"/>
    <x v="2"/>
    <x v="1"/>
    <x v="0"/>
    <x v="920"/>
    <x v="1"/>
  </r>
  <r>
    <x v="959"/>
    <x v="0"/>
    <n v="87835.66"/>
    <x v="29"/>
    <n v="1"/>
    <x v="838"/>
    <n v="0"/>
    <n v="0"/>
    <n v="500"/>
    <n v="0"/>
    <n v="80"/>
    <x v="0"/>
    <x v="0"/>
    <x v="3"/>
    <x v="921"/>
    <x v="1"/>
  </r>
  <r>
    <x v="960"/>
    <x v="5"/>
    <n v="53222.27"/>
    <x v="4"/>
    <n v="0"/>
    <x v="839"/>
    <n v="0.41339999999999999"/>
    <n v="2"/>
    <n v="24108.54"/>
    <n v="24222.65"/>
    <n v="76"/>
    <x v="2"/>
    <x v="2"/>
    <x v="0"/>
    <x v="922"/>
    <x v="1"/>
  </r>
  <r>
    <x v="961"/>
    <x v="4"/>
    <n v="89668.3"/>
    <x v="45"/>
    <n v="1"/>
    <x v="840"/>
    <n v="0.76439999999999997"/>
    <n v="6"/>
    <n v="69339.83"/>
    <n v="61702.44"/>
    <n v="157"/>
    <x v="1"/>
    <x v="0"/>
    <x v="3"/>
    <x v="923"/>
    <x v="1"/>
  </r>
  <r>
    <x v="962"/>
    <x v="5"/>
    <n v="43804.09"/>
    <x v="17"/>
    <n v="0"/>
    <x v="841"/>
    <n v="0.61280000000000001"/>
    <n v="5"/>
    <n v="20173.71"/>
    <n v="3749.75"/>
    <n v="170"/>
    <x v="3"/>
    <x v="2"/>
    <x v="0"/>
    <x v="676"/>
    <x v="1"/>
  </r>
  <r>
    <x v="963"/>
    <x v="2"/>
    <n v="46907.040000000001"/>
    <x v="31"/>
    <n v="1"/>
    <x v="842"/>
    <n v="0.17949999999999999"/>
    <n v="2"/>
    <n v="7922.34"/>
    <n v="0"/>
    <n v="118"/>
    <x v="2"/>
    <x v="2"/>
    <x v="1"/>
    <x v="924"/>
    <x v="1"/>
  </r>
  <r>
    <x v="964"/>
    <x v="0"/>
    <n v="59752.17"/>
    <x v="27"/>
    <n v="0"/>
    <x v="843"/>
    <n v="0.627"/>
    <n v="4"/>
    <n v="46719.62"/>
    <n v="19467.03"/>
    <n v="80"/>
    <x v="2"/>
    <x v="2"/>
    <x v="1"/>
    <x v="925"/>
    <x v="1"/>
  </r>
  <r>
    <x v="965"/>
    <x v="2"/>
    <n v="88164.89"/>
    <x v="21"/>
    <n v="1"/>
    <x v="24"/>
    <n v="1.0699999999999999E-2"/>
    <n v="5"/>
    <n v="500"/>
    <n v="14203.92"/>
    <n v="89"/>
    <x v="1"/>
    <x v="1"/>
    <x v="0"/>
    <x v="926"/>
    <x v="1"/>
  </r>
  <r>
    <x v="966"/>
    <x v="4"/>
    <n v="60305.95"/>
    <x v="40"/>
    <n v="1"/>
    <x v="844"/>
    <n v="7.0300000000000001E-2"/>
    <n v="1"/>
    <n v="500"/>
    <n v="4730.42"/>
    <n v="28"/>
    <x v="0"/>
    <x v="2"/>
    <x v="1"/>
    <x v="927"/>
    <x v="1"/>
  </r>
  <r>
    <x v="967"/>
    <x v="1"/>
    <n v="101872.96000000001"/>
    <x v="2"/>
    <n v="0"/>
    <x v="24"/>
    <n v="0.49340000000000001"/>
    <n v="3"/>
    <n v="32885.39"/>
    <n v="32517.07"/>
    <n v="169"/>
    <x v="0"/>
    <x v="0"/>
    <x v="0"/>
    <x v="928"/>
    <x v="1"/>
  </r>
  <r>
    <x v="968"/>
    <x v="5"/>
    <n v="49675.64"/>
    <x v="3"/>
    <n v="1"/>
    <x v="845"/>
    <n v="0"/>
    <n v="0"/>
    <n v="6544.17"/>
    <n v="0"/>
    <n v="170"/>
    <x v="1"/>
    <x v="2"/>
    <x v="1"/>
    <x v="929"/>
    <x v="1"/>
  </r>
  <r>
    <x v="969"/>
    <x v="5"/>
    <n v="79968.92"/>
    <x v="14"/>
    <n v="1"/>
    <x v="846"/>
    <n v="0.26769999999999999"/>
    <n v="0"/>
    <n v="6188.75"/>
    <n v="0"/>
    <n v="43"/>
    <x v="1"/>
    <x v="2"/>
    <x v="0"/>
    <x v="930"/>
    <x v="1"/>
  </r>
  <r>
    <x v="970"/>
    <x v="3"/>
    <n v="80005.72"/>
    <x v="34"/>
    <n v="1"/>
    <x v="847"/>
    <n v="0"/>
    <n v="0"/>
    <n v="9573.6200000000008"/>
    <n v="7736.71"/>
    <n v="45"/>
    <x v="1"/>
    <x v="0"/>
    <x v="1"/>
    <x v="931"/>
    <x v="1"/>
  </r>
  <r>
    <x v="971"/>
    <x v="3"/>
    <n v="123578.66"/>
    <x v="5"/>
    <n v="1"/>
    <x v="848"/>
    <n v="0"/>
    <n v="2"/>
    <n v="7691.45"/>
    <n v="10496.05"/>
    <n v="11"/>
    <x v="2"/>
    <x v="0"/>
    <x v="0"/>
    <x v="932"/>
    <x v="1"/>
  </r>
  <r>
    <x v="972"/>
    <x v="3"/>
    <n v="34117.120000000003"/>
    <x v="25"/>
    <n v="1"/>
    <x v="849"/>
    <n v="0.13070000000000001"/>
    <n v="0"/>
    <n v="500"/>
    <n v="13516.11"/>
    <n v="99"/>
    <x v="2"/>
    <x v="0"/>
    <x v="0"/>
    <x v="933"/>
    <x v="1"/>
  </r>
  <r>
    <x v="973"/>
    <x v="0"/>
    <n v="126468.52"/>
    <x v="21"/>
    <n v="0"/>
    <x v="850"/>
    <n v="0.74019999999999997"/>
    <n v="6"/>
    <n v="81369.13"/>
    <n v="66625.440000000002"/>
    <n v="69"/>
    <x v="2"/>
    <x v="2"/>
    <x v="0"/>
    <x v="934"/>
    <x v="1"/>
  </r>
  <r>
    <x v="974"/>
    <x v="1"/>
    <n v="25106.17"/>
    <x v="49"/>
    <n v="1"/>
    <x v="851"/>
    <n v="0.81799999999999995"/>
    <n v="2"/>
    <n v="5974.44"/>
    <n v="1395.65"/>
    <n v="147"/>
    <x v="2"/>
    <x v="0"/>
    <x v="0"/>
    <x v="935"/>
    <x v="1"/>
  </r>
  <r>
    <x v="975"/>
    <x v="3"/>
    <n v="43199.39"/>
    <x v="16"/>
    <n v="1"/>
    <x v="852"/>
    <n v="0"/>
    <n v="2"/>
    <n v="9116.93"/>
    <n v="15416.97"/>
    <n v="149"/>
    <x v="1"/>
    <x v="2"/>
    <x v="1"/>
    <x v="936"/>
    <x v="1"/>
  </r>
  <r>
    <x v="976"/>
    <x v="0"/>
    <n v="74274.63"/>
    <x v="32"/>
    <n v="0"/>
    <x v="321"/>
    <n v="0.58799999999999997"/>
    <n v="4"/>
    <n v="41523.4"/>
    <n v="20881.240000000002"/>
    <n v="40"/>
    <x v="3"/>
    <x v="0"/>
    <x v="1"/>
    <x v="937"/>
    <x v="1"/>
  </r>
  <r>
    <x v="977"/>
    <x v="0"/>
    <n v="71623.19"/>
    <x v="17"/>
    <n v="0"/>
    <x v="853"/>
    <n v="0.48920000000000002"/>
    <n v="1"/>
    <n v="13691.28"/>
    <n v="15951.55"/>
    <n v="180"/>
    <x v="1"/>
    <x v="2"/>
    <x v="3"/>
    <x v="938"/>
    <x v="1"/>
  </r>
  <r>
    <x v="978"/>
    <x v="3"/>
    <n v="114639.41"/>
    <x v="27"/>
    <n v="0"/>
    <x v="854"/>
    <n v="0.35110000000000002"/>
    <n v="0"/>
    <n v="35732.400000000001"/>
    <n v="27539.74"/>
    <n v="159"/>
    <x v="2"/>
    <x v="1"/>
    <x v="2"/>
    <x v="939"/>
    <x v="1"/>
  </r>
  <r>
    <x v="979"/>
    <x v="4"/>
    <n v="155535.75"/>
    <x v="33"/>
    <n v="1"/>
    <x v="855"/>
    <n v="0.91200000000000003"/>
    <n v="8"/>
    <n v="109142.86"/>
    <n v="59366.15"/>
    <n v="105"/>
    <x v="2"/>
    <x v="0"/>
    <x v="1"/>
    <x v="940"/>
    <x v="1"/>
  </r>
  <r>
    <x v="980"/>
    <x v="4"/>
    <n v="66568.72"/>
    <x v="25"/>
    <n v="0"/>
    <x v="856"/>
    <n v="0"/>
    <n v="0"/>
    <n v="500"/>
    <n v="0"/>
    <n v="171"/>
    <x v="1"/>
    <x v="0"/>
    <x v="1"/>
    <x v="941"/>
    <x v="1"/>
  </r>
  <r>
    <x v="981"/>
    <x v="2"/>
    <n v="150927.49"/>
    <x v="40"/>
    <n v="1"/>
    <x v="857"/>
    <n v="0.62509999999999999"/>
    <n v="4"/>
    <n v="113265.88"/>
    <n v="96554.7"/>
    <n v="141"/>
    <x v="0"/>
    <x v="0"/>
    <x v="0"/>
    <x v="942"/>
    <x v="1"/>
  </r>
  <r>
    <x v="982"/>
    <x v="4"/>
    <n v="34548.49"/>
    <x v="28"/>
    <n v="1"/>
    <x v="858"/>
    <n v="0.35560000000000003"/>
    <n v="1"/>
    <n v="5743.71"/>
    <n v="5644.7"/>
    <n v="180"/>
    <x v="2"/>
    <x v="2"/>
    <x v="1"/>
    <x v="943"/>
    <x v="1"/>
  </r>
  <r>
    <x v="983"/>
    <x v="1"/>
    <n v="64928.63"/>
    <x v="25"/>
    <n v="0"/>
    <x v="859"/>
    <n v="0"/>
    <n v="0"/>
    <n v="500"/>
    <n v="4034.18"/>
    <n v="143"/>
    <x v="2"/>
    <x v="2"/>
    <x v="0"/>
    <x v="944"/>
    <x v="1"/>
  </r>
  <r>
    <x v="984"/>
    <x v="1"/>
    <n v="47754.52"/>
    <x v="8"/>
    <n v="0"/>
    <x v="860"/>
    <n v="0.67379999999999995"/>
    <n v="6"/>
    <n v="21852.66"/>
    <n v="0"/>
    <n v="92"/>
    <x v="2"/>
    <x v="1"/>
    <x v="1"/>
    <x v="945"/>
    <x v="1"/>
  </r>
  <r>
    <x v="985"/>
    <x v="2"/>
    <n v="68801.73"/>
    <x v="40"/>
    <n v="0"/>
    <x v="861"/>
    <n v="0.57230000000000003"/>
    <n v="4"/>
    <n v="63415.17"/>
    <n v="59708.74"/>
    <n v="131"/>
    <x v="0"/>
    <x v="0"/>
    <x v="0"/>
    <x v="946"/>
    <x v="1"/>
  </r>
  <r>
    <x v="986"/>
    <x v="5"/>
    <n v="39257.72"/>
    <x v="4"/>
    <n v="0"/>
    <x v="862"/>
    <n v="0"/>
    <n v="2"/>
    <n v="10566.95"/>
    <n v="3123.78"/>
    <n v="140"/>
    <x v="1"/>
    <x v="2"/>
    <x v="1"/>
    <x v="947"/>
    <x v="1"/>
  </r>
  <r>
    <x v="987"/>
    <x v="5"/>
    <n v="67196.59"/>
    <x v="41"/>
    <n v="1"/>
    <x v="863"/>
    <n v="0.2427"/>
    <n v="2"/>
    <n v="31163.08"/>
    <n v="16705.419999999998"/>
    <n v="117"/>
    <x v="1"/>
    <x v="0"/>
    <x v="1"/>
    <x v="948"/>
    <x v="1"/>
  </r>
  <r>
    <x v="988"/>
    <x v="4"/>
    <n v="136634.19"/>
    <x v="7"/>
    <n v="1"/>
    <x v="24"/>
    <n v="0.37919999999999998"/>
    <n v="3"/>
    <n v="28771.73"/>
    <n v="20719.21"/>
    <n v="28"/>
    <x v="0"/>
    <x v="2"/>
    <x v="2"/>
    <x v="949"/>
    <x v="1"/>
  </r>
  <r>
    <x v="989"/>
    <x v="5"/>
    <n v="43302.13"/>
    <x v="49"/>
    <n v="0"/>
    <x v="864"/>
    <n v="1"/>
    <n v="6"/>
    <n v="32831.07"/>
    <n v="23920.49"/>
    <n v="143"/>
    <x v="0"/>
    <x v="2"/>
    <x v="2"/>
    <x v="950"/>
    <x v="0"/>
  </r>
  <r>
    <x v="990"/>
    <x v="1"/>
    <n v="35312.03"/>
    <x v="3"/>
    <n v="0"/>
    <x v="865"/>
    <n v="0.33129999999999998"/>
    <n v="3"/>
    <n v="27872.19"/>
    <n v="20895.93"/>
    <n v="87"/>
    <x v="0"/>
    <x v="0"/>
    <x v="0"/>
    <x v="951"/>
    <x v="1"/>
  </r>
  <r>
    <x v="991"/>
    <x v="1"/>
    <n v="191179.68"/>
    <x v="35"/>
    <n v="1"/>
    <x v="866"/>
    <n v="0.50070000000000003"/>
    <n v="2"/>
    <n v="87560.23"/>
    <n v="77866.83"/>
    <n v="174"/>
    <x v="2"/>
    <x v="2"/>
    <x v="3"/>
    <x v="952"/>
    <x v="1"/>
  </r>
  <r>
    <x v="992"/>
    <x v="3"/>
    <n v="83172.289999999994"/>
    <x v="37"/>
    <n v="1"/>
    <x v="867"/>
    <n v="0.43840000000000001"/>
    <n v="3"/>
    <n v="58743.45"/>
    <n v="48625.21"/>
    <n v="152"/>
    <x v="1"/>
    <x v="1"/>
    <x v="0"/>
    <x v="953"/>
    <x v="1"/>
  </r>
  <r>
    <x v="993"/>
    <x v="0"/>
    <n v="33147.78"/>
    <x v="13"/>
    <n v="1"/>
    <x v="868"/>
    <n v="0.30499999999999999"/>
    <n v="0"/>
    <n v="500"/>
    <n v="3602.18"/>
    <n v="54"/>
    <x v="2"/>
    <x v="0"/>
    <x v="1"/>
    <x v="954"/>
    <x v="1"/>
  </r>
  <r>
    <x v="994"/>
    <x v="3"/>
    <n v="57768.49"/>
    <x v="46"/>
    <n v="1"/>
    <x v="869"/>
    <n v="0.67689999999999995"/>
    <n v="5"/>
    <n v="42272.86"/>
    <n v="39980.129999999997"/>
    <n v="23"/>
    <x v="0"/>
    <x v="0"/>
    <x v="2"/>
    <x v="955"/>
    <x v="1"/>
  </r>
  <r>
    <x v="995"/>
    <x v="5"/>
    <n v="46275.35"/>
    <x v="37"/>
    <n v="1"/>
    <x v="870"/>
    <n v="0.35539999999999999"/>
    <n v="4"/>
    <n v="23635.89"/>
    <n v="7199.91"/>
    <n v="36"/>
    <x v="1"/>
    <x v="2"/>
    <x v="0"/>
    <x v="956"/>
    <x v="1"/>
  </r>
  <r>
    <x v="996"/>
    <x v="2"/>
    <n v="135050.39000000001"/>
    <x v="42"/>
    <n v="1"/>
    <x v="871"/>
    <n v="0.39219999999999999"/>
    <n v="4"/>
    <n v="59815.41"/>
    <n v="48604.1"/>
    <n v="23"/>
    <x v="0"/>
    <x v="2"/>
    <x v="0"/>
    <x v="957"/>
    <x v="1"/>
  </r>
  <r>
    <x v="997"/>
    <x v="2"/>
    <n v="79316.460000000006"/>
    <x v="9"/>
    <n v="1"/>
    <x v="134"/>
    <n v="0.41699999999999998"/>
    <n v="1"/>
    <n v="36306.730000000003"/>
    <n v="30990.14"/>
    <n v="151"/>
    <x v="0"/>
    <x v="0"/>
    <x v="2"/>
    <x v="958"/>
    <x v="1"/>
  </r>
  <r>
    <x v="998"/>
    <x v="4"/>
    <n v="117958.61"/>
    <x v="6"/>
    <n v="0"/>
    <x v="206"/>
    <n v="0.4849"/>
    <n v="5"/>
    <n v="51355.69"/>
    <n v="40431.089999999997"/>
    <n v="91"/>
    <x v="1"/>
    <x v="0"/>
    <x v="2"/>
    <x v="909"/>
    <x v="1"/>
  </r>
  <r>
    <x v="722"/>
    <x v="2"/>
    <n v="91464.41"/>
    <x v="40"/>
    <n v="0"/>
    <x v="872"/>
    <n v="0.56679999999999997"/>
    <n v="5"/>
    <n v="48837.61"/>
    <n v="41541.78"/>
    <n v="22"/>
    <x v="1"/>
    <x v="2"/>
    <x v="1"/>
    <x v="959"/>
    <x v="1"/>
  </r>
  <r>
    <x v="999"/>
    <x v="2"/>
    <n v="181610.56"/>
    <x v="36"/>
    <n v="0"/>
    <x v="873"/>
    <n v="0.17979999999999999"/>
    <n v="2"/>
    <n v="32698.81"/>
    <n v="32865.06"/>
    <n v="151"/>
    <x v="0"/>
    <x v="0"/>
    <x v="1"/>
    <x v="960"/>
    <x v="1"/>
  </r>
  <r>
    <x v="1000"/>
    <x v="3"/>
    <n v="148207.32999999999"/>
    <x v="22"/>
    <n v="0"/>
    <x v="607"/>
    <n v="0.73209999999999997"/>
    <n v="3"/>
    <n v="104292.59"/>
    <n v="87165.9"/>
    <n v="121"/>
    <x v="2"/>
    <x v="0"/>
    <x v="1"/>
    <x v="961"/>
    <x v="1"/>
  </r>
  <r>
    <x v="1001"/>
    <x v="0"/>
    <n v="215977.49"/>
    <x v="22"/>
    <n v="0"/>
    <x v="874"/>
    <n v="0.3301"/>
    <n v="0"/>
    <n v="68076.58"/>
    <n v="56053.02"/>
    <n v="50"/>
    <x v="3"/>
    <x v="0"/>
    <x v="0"/>
    <x v="962"/>
    <x v="1"/>
  </r>
  <r>
    <x v="1002"/>
    <x v="5"/>
    <n v="86997.59"/>
    <x v="30"/>
    <n v="0"/>
    <x v="91"/>
    <n v="0.57150000000000001"/>
    <n v="5"/>
    <n v="45137.01"/>
    <n v="17174.25"/>
    <n v="64"/>
    <x v="3"/>
    <x v="0"/>
    <x v="1"/>
    <x v="963"/>
    <x v="1"/>
  </r>
  <r>
    <x v="1003"/>
    <x v="2"/>
    <n v="134332.5"/>
    <x v="15"/>
    <n v="0"/>
    <x v="875"/>
    <n v="0.13059999999999999"/>
    <n v="0"/>
    <n v="26744.71"/>
    <n v="14235.85"/>
    <n v="141"/>
    <x v="0"/>
    <x v="0"/>
    <x v="0"/>
    <x v="964"/>
    <x v="1"/>
  </r>
  <r>
    <x v="1004"/>
    <x v="0"/>
    <n v="136285.92000000001"/>
    <x v="26"/>
    <n v="0"/>
    <x v="876"/>
    <n v="0.21759999999999999"/>
    <n v="3"/>
    <n v="46917.35"/>
    <n v="17189.8"/>
    <n v="101"/>
    <x v="1"/>
    <x v="0"/>
    <x v="0"/>
    <x v="965"/>
    <x v="1"/>
  </r>
  <r>
    <x v="1005"/>
    <x v="5"/>
    <n v="131261.51999999999"/>
    <x v="27"/>
    <n v="0"/>
    <x v="795"/>
    <n v="0.21229999999999999"/>
    <n v="2"/>
    <n v="40797.870000000003"/>
    <n v="39093.730000000003"/>
    <n v="138"/>
    <x v="1"/>
    <x v="1"/>
    <x v="0"/>
    <x v="966"/>
    <x v="1"/>
  </r>
  <r>
    <x v="1006"/>
    <x v="3"/>
    <n v="64766.5"/>
    <x v="23"/>
    <n v="0"/>
    <x v="288"/>
    <n v="0.21920000000000001"/>
    <n v="0"/>
    <n v="1808.61"/>
    <n v="0"/>
    <n v="56"/>
    <x v="0"/>
    <x v="0"/>
    <x v="0"/>
    <x v="967"/>
    <x v="1"/>
  </r>
  <r>
    <x v="1007"/>
    <x v="2"/>
    <n v="13883.35"/>
    <x v="26"/>
    <n v="0"/>
    <x v="877"/>
    <n v="0.25940000000000002"/>
    <n v="1"/>
    <n v="500"/>
    <n v="0"/>
    <n v="27"/>
    <x v="0"/>
    <x v="1"/>
    <x v="2"/>
    <x v="968"/>
    <x v="1"/>
  </r>
  <r>
    <x v="1008"/>
    <x v="2"/>
    <n v="178012.96"/>
    <x v="21"/>
    <n v="0"/>
    <x v="878"/>
    <n v="0.44159999999999999"/>
    <n v="4"/>
    <n v="85226.1"/>
    <n v="81331.45"/>
    <n v="98"/>
    <x v="1"/>
    <x v="0"/>
    <x v="2"/>
    <x v="969"/>
    <x v="1"/>
  </r>
  <r>
    <x v="1009"/>
    <x v="2"/>
    <n v="103469.02"/>
    <x v="30"/>
    <n v="0"/>
    <x v="879"/>
    <n v="0.59119999999999995"/>
    <n v="4"/>
    <n v="56146.36"/>
    <n v="34320.870000000003"/>
    <n v="164"/>
    <x v="1"/>
    <x v="2"/>
    <x v="1"/>
    <x v="970"/>
    <x v="1"/>
  </r>
  <r>
    <x v="1010"/>
    <x v="5"/>
    <n v="72967.67"/>
    <x v="18"/>
    <n v="1"/>
    <x v="24"/>
    <n v="0.76500000000000001"/>
    <n v="4"/>
    <n v="65663.08"/>
    <n v="59443.68"/>
    <n v="16"/>
    <x v="0"/>
    <x v="0"/>
    <x v="0"/>
    <x v="971"/>
    <x v="1"/>
  </r>
  <r>
    <x v="1011"/>
    <x v="3"/>
    <n v="97929.93"/>
    <x v="3"/>
    <n v="1"/>
    <x v="880"/>
    <n v="0.2606"/>
    <n v="4"/>
    <n v="54431.4"/>
    <n v="61282.31"/>
    <n v="151"/>
    <x v="0"/>
    <x v="0"/>
    <x v="0"/>
    <x v="972"/>
    <x v="1"/>
  </r>
  <r>
    <x v="1012"/>
    <x v="4"/>
    <n v="117785.31"/>
    <x v="8"/>
    <n v="1"/>
    <x v="881"/>
    <n v="0.28839999999999999"/>
    <n v="3"/>
    <n v="60477.08"/>
    <n v="46565.23"/>
    <n v="177"/>
    <x v="0"/>
    <x v="2"/>
    <x v="0"/>
    <x v="973"/>
    <x v="1"/>
  </r>
  <r>
    <x v="1013"/>
    <x v="1"/>
    <n v="13750.74"/>
    <x v="7"/>
    <n v="1"/>
    <x v="24"/>
    <n v="0.45269999999999999"/>
    <n v="2"/>
    <n v="10735.91"/>
    <n v="11692.62"/>
    <n v="77"/>
    <x v="3"/>
    <x v="1"/>
    <x v="0"/>
    <x v="974"/>
    <x v="1"/>
  </r>
  <r>
    <x v="1014"/>
    <x v="5"/>
    <n v="122500.11"/>
    <x v="20"/>
    <n v="0"/>
    <x v="881"/>
    <n v="0.3049"/>
    <n v="4"/>
    <n v="33418.28"/>
    <n v="27019.42"/>
    <n v="174"/>
    <x v="1"/>
    <x v="0"/>
    <x v="1"/>
    <x v="24"/>
    <x v="1"/>
  </r>
  <r>
    <x v="1015"/>
    <x v="2"/>
    <n v="181114.04"/>
    <x v="23"/>
    <n v="0"/>
    <x v="149"/>
    <n v="0.30520000000000003"/>
    <n v="3"/>
    <n v="71346.850000000006"/>
    <n v="34755.33"/>
    <n v="75"/>
    <x v="1"/>
    <x v="0"/>
    <x v="2"/>
    <x v="975"/>
    <x v="1"/>
  </r>
  <r>
    <x v="1016"/>
    <x v="2"/>
    <n v="99790.26"/>
    <x v="33"/>
    <n v="0"/>
    <x v="882"/>
    <n v="0.55530000000000002"/>
    <n v="5"/>
    <n v="54698.68"/>
    <n v="38046.28"/>
    <n v="78"/>
    <x v="0"/>
    <x v="1"/>
    <x v="2"/>
    <x v="976"/>
    <x v="1"/>
  </r>
  <r>
    <x v="1017"/>
    <x v="2"/>
    <n v="123860.52"/>
    <x v="9"/>
    <n v="0"/>
    <x v="883"/>
    <n v="0.36720000000000003"/>
    <n v="5"/>
    <n v="63843.73"/>
    <n v="44508.79"/>
    <n v="22"/>
    <x v="0"/>
    <x v="2"/>
    <x v="1"/>
    <x v="977"/>
    <x v="1"/>
  </r>
  <r>
    <x v="1018"/>
    <x v="1"/>
    <n v="97391.18"/>
    <x v="33"/>
    <n v="0"/>
    <x v="884"/>
    <n v="0.63749999999999996"/>
    <n v="2"/>
    <n v="73777.490000000005"/>
    <n v="59557.95"/>
    <n v="123"/>
    <x v="1"/>
    <x v="0"/>
    <x v="1"/>
    <x v="978"/>
    <x v="1"/>
  </r>
  <r>
    <x v="1019"/>
    <x v="0"/>
    <n v="80058.22"/>
    <x v="23"/>
    <n v="0"/>
    <x v="279"/>
    <n v="0.32869999999999999"/>
    <n v="2"/>
    <n v="19869.490000000002"/>
    <n v="3316.77"/>
    <n v="59"/>
    <x v="0"/>
    <x v="0"/>
    <x v="0"/>
    <x v="979"/>
    <x v="1"/>
  </r>
  <r>
    <x v="1020"/>
    <x v="2"/>
    <n v="60503.040000000001"/>
    <x v="7"/>
    <n v="1"/>
    <x v="885"/>
    <n v="0.27350000000000002"/>
    <n v="1"/>
    <n v="11213.36"/>
    <n v="19385.68"/>
    <n v="21"/>
    <x v="1"/>
    <x v="2"/>
    <x v="0"/>
    <x v="980"/>
    <x v="1"/>
  </r>
  <r>
    <x v="1021"/>
    <x v="3"/>
    <n v="84320.56"/>
    <x v="17"/>
    <n v="1"/>
    <x v="24"/>
    <n v="0.33379999999999999"/>
    <n v="2"/>
    <n v="22453.97"/>
    <n v="20677.59"/>
    <n v="64"/>
    <x v="0"/>
    <x v="2"/>
    <x v="1"/>
    <x v="981"/>
    <x v="1"/>
  </r>
  <r>
    <x v="1022"/>
    <x v="5"/>
    <n v="53141.21"/>
    <x v="29"/>
    <n v="1"/>
    <x v="886"/>
    <n v="0.39860000000000001"/>
    <n v="4"/>
    <n v="21286.5"/>
    <n v="15361.96"/>
    <n v="180"/>
    <x v="0"/>
    <x v="2"/>
    <x v="0"/>
    <x v="982"/>
    <x v="1"/>
  </r>
  <r>
    <x v="1023"/>
    <x v="3"/>
    <n v="105887.27"/>
    <x v="26"/>
    <n v="1"/>
    <x v="887"/>
    <n v="0.1351"/>
    <n v="0"/>
    <n v="500"/>
    <n v="0"/>
    <n v="178"/>
    <x v="0"/>
    <x v="2"/>
    <x v="2"/>
    <x v="983"/>
    <x v="1"/>
  </r>
  <r>
    <x v="1024"/>
    <x v="5"/>
    <n v="61564.62"/>
    <x v="28"/>
    <n v="1"/>
    <x v="888"/>
    <n v="3.4599999999999999E-2"/>
    <n v="0"/>
    <n v="500"/>
    <n v="7120.24"/>
    <n v="128"/>
    <x v="1"/>
    <x v="0"/>
    <x v="1"/>
    <x v="984"/>
    <x v="1"/>
  </r>
  <r>
    <x v="1025"/>
    <x v="3"/>
    <n v="68834.78"/>
    <x v="44"/>
    <n v="0"/>
    <x v="889"/>
    <n v="0.46179999999999999"/>
    <n v="1"/>
    <n v="35437.089999999997"/>
    <n v="40377.81"/>
    <n v="109"/>
    <x v="1"/>
    <x v="2"/>
    <x v="1"/>
    <x v="985"/>
    <x v="1"/>
  </r>
  <r>
    <x v="1026"/>
    <x v="1"/>
    <n v="90162.83"/>
    <x v="43"/>
    <n v="0"/>
    <x v="890"/>
    <n v="0.70830000000000004"/>
    <n v="2"/>
    <n v="41572.03"/>
    <n v="35759.07"/>
    <n v="44"/>
    <x v="1"/>
    <x v="0"/>
    <x v="1"/>
    <x v="986"/>
    <x v="1"/>
  </r>
  <r>
    <x v="1027"/>
    <x v="0"/>
    <n v="66434.009999999995"/>
    <x v="25"/>
    <n v="0"/>
    <x v="887"/>
    <n v="0.44450000000000001"/>
    <n v="1"/>
    <n v="31593.91"/>
    <n v="24603.45"/>
    <n v="46"/>
    <x v="0"/>
    <x v="1"/>
    <x v="1"/>
    <x v="987"/>
    <x v="1"/>
  </r>
  <r>
    <x v="1028"/>
    <x v="3"/>
    <n v="18079.13"/>
    <x v="29"/>
    <n v="0"/>
    <x v="891"/>
    <n v="0"/>
    <n v="2"/>
    <n v="500"/>
    <n v="1286.42"/>
    <n v="96"/>
    <x v="3"/>
    <x v="0"/>
    <x v="0"/>
    <x v="988"/>
    <x v="1"/>
  </r>
  <r>
    <x v="1029"/>
    <x v="1"/>
    <n v="95425.31"/>
    <x v="7"/>
    <n v="1"/>
    <x v="892"/>
    <n v="0.1552"/>
    <n v="3"/>
    <n v="15853.06"/>
    <n v="17347.13"/>
    <n v="164"/>
    <x v="1"/>
    <x v="0"/>
    <x v="0"/>
    <x v="989"/>
    <x v="1"/>
  </r>
  <r>
    <x v="608"/>
    <x v="3"/>
    <n v="77105.429999999993"/>
    <x v="41"/>
    <n v="1"/>
    <x v="893"/>
    <n v="0"/>
    <n v="4"/>
    <n v="15061.55"/>
    <n v="11447.61"/>
    <n v="112"/>
    <x v="0"/>
    <x v="1"/>
    <x v="1"/>
    <x v="990"/>
    <x v="1"/>
  </r>
  <r>
    <x v="1030"/>
    <x v="0"/>
    <n v="38041.43"/>
    <x v="22"/>
    <n v="0"/>
    <x v="894"/>
    <n v="9.0300000000000005E-2"/>
    <n v="0"/>
    <n v="500"/>
    <n v="1780.17"/>
    <n v="88"/>
    <x v="2"/>
    <x v="2"/>
    <x v="2"/>
    <x v="991"/>
    <x v="1"/>
  </r>
  <r>
    <x v="1031"/>
    <x v="3"/>
    <n v="26272.11"/>
    <x v="18"/>
    <n v="0"/>
    <x v="895"/>
    <n v="0.1191"/>
    <n v="1"/>
    <n v="20937.71"/>
    <n v="13453.91"/>
    <n v="30"/>
    <x v="1"/>
    <x v="0"/>
    <x v="0"/>
    <x v="992"/>
    <x v="1"/>
  </r>
  <r>
    <x v="1032"/>
    <x v="4"/>
    <n v="80838.179999999993"/>
    <x v="32"/>
    <n v="1"/>
    <x v="896"/>
    <n v="0.67179999999999995"/>
    <n v="4"/>
    <n v="28145.65"/>
    <n v="18163.169999999998"/>
    <n v="21"/>
    <x v="1"/>
    <x v="0"/>
    <x v="0"/>
    <x v="993"/>
    <x v="1"/>
  </r>
  <r>
    <x v="1033"/>
    <x v="3"/>
    <n v="48019.06"/>
    <x v="0"/>
    <n v="0"/>
    <x v="897"/>
    <n v="0.67730000000000001"/>
    <n v="3"/>
    <n v="20325.72"/>
    <n v="27635.01"/>
    <n v="57"/>
    <x v="2"/>
    <x v="2"/>
    <x v="3"/>
    <x v="994"/>
    <x v="1"/>
  </r>
  <r>
    <x v="1034"/>
    <x v="5"/>
    <n v="76885.3"/>
    <x v="23"/>
    <n v="0"/>
    <x v="898"/>
    <n v="0.19839999999999999"/>
    <n v="0"/>
    <n v="14957.55"/>
    <n v="2421.2399999999998"/>
    <n v="8"/>
    <x v="0"/>
    <x v="0"/>
    <x v="0"/>
    <x v="995"/>
    <x v="1"/>
  </r>
  <r>
    <x v="1035"/>
    <x v="2"/>
    <n v="60911.27"/>
    <x v="3"/>
    <n v="1"/>
    <x v="899"/>
    <n v="0"/>
    <n v="1"/>
    <n v="12617.3"/>
    <n v="16725.490000000002"/>
    <n v="148"/>
    <x v="0"/>
    <x v="0"/>
    <x v="0"/>
    <x v="996"/>
    <x v="1"/>
  </r>
  <r>
    <x v="1036"/>
    <x v="5"/>
    <n v="70827.37"/>
    <x v="31"/>
    <n v="0"/>
    <x v="900"/>
    <n v="0.44309999999999999"/>
    <n v="6"/>
    <n v="58486.11"/>
    <n v="48555.21"/>
    <n v="147"/>
    <x v="1"/>
    <x v="0"/>
    <x v="2"/>
    <x v="997"/>
    <x v="1"/>
  </r>
  <r>
    <x v="1037"/>
    <x v="3"/>
    <n v="137417.32999999999"/>
    <x v="10"/>
    <n v="1"/>
    <x v="714"/>
    <n v="0.22389999999999999"/>
    <n v="3"/>
    <n v="32810.81"/>
    <n v="20939.43"/>
    <n v="78"/>
    <x v="0"/>
    <x v="2"/>
    <x v="0"/>
    <x v="998"/>
    <x v="1"/>
  </r>
  <r>
    <x v="1038"/>
    <x v="0"/>
    <n v="84701.98"/>
    <x v="7"/>
    <n v="0"/>
    <x v="901"/>
    <n v="0.43659999999999999"/>
    <n v="4"/>
    <n v="51848.98"/>
    <n v="42135.41"/>
    <n v="98"/>
    <x v="3"/>
    <x v="0"/>
    <x v="0"/>
    <x v="999"/>
    <x v="1"/>
  </r>
  <r>
    <x v="1039"/>
    <x v="1"/>
    <n v="33581.629999999997"/>
    <x v="42"/>
    <n v="0"/>
    <x v="902"/>
    <n v="1.8100000000000002E-2"/>
    <n v="2"/>
    <n v="500"/>
    <n v="0"/>
    <n v="28"/>
    <x v="2"/>
    <x v="0"/>
    <x v="0"/>
    <x v="1000"/>
    <x v="1"/>
  </r>
  <r>
    <x v="1040"/>
    <x v="3"/>
    <n v="71521.789999999994"/>
    <x v="6"/>
    <n v="1"/>
    <x v="903"/>
    <n v="0.34939999999999999"/>
    <n v="0"/>
    <n v="6855.11"/>
    <n v="2284.6799999999998"/>
    <n v="65"/>
    <x v="2"/>
    <x v="1"/>
    <x v="0"/>
    <x v="1001"/>
    <x v="1"/>
  </r>
  <r>
    <x v="1041"/>
    <x v="1"/>
    <n v="41455.9"/>
    <x v="37"/>
    <n v="0"/>
    <x v="904"/>
    <n v="0.82269999999999999"/>
    <n v="5"/>
    <n v="11806.83"/>
    <n v="9479.8799999999992"/>
    <n v="112"/>
    <x v="1"/>
    <x v="0"/>
    <x v="1"/>
    <x v="1002"/>
    <x v="0"/>
  </r>
  <r>
    <x v="1042"/>
    <x v="0"/>
    <n v="147517.97"/>
    <x v="20"/>
    <n v="1"/>
    <x v="24"/>
    <n v="0.65059999999999996"/>
    <n v="0"/>
    <n v="94355.87"/>
    <n v="71813.19"/>
    <n v="7"/>
    <x v="2"/>
    <x v="2"/>
    <x v="0"/>
    <x v="1003"/>
    <x v="1"/>
  </r>
  <r>
    <x v="1043"/>
    <x v="3"/>
    <n v="63501.31"/>
    <x v="1"/>
    <n v="1"/>
    <x v="905"/>
    <n v="0.40500000000000003"/>
    <n v="1"/>
    <n v="36429.360000000001"/>
    <n v="40763.07"/>
    <n v="106"/>
    <x v="0"/>
    <x v="0"/>
    <x v="0"/>
    <x v="1004"/>
    <x v="1"/>
  </r>
  <r>
    <x v="1044"/>
    <x v="0"/>
    <n v="50489.77"/>
    <x v="37"/>
    <n v="0"/>
    <x v="906"/>
    <n v="0.51729999999999998"/>
    <n v="2"/>
    <n v="30748.9"/>
    <n v="26202.720000000001"/>
    <n v="151"/>
    <x v="1"/>
    <x v="0"/>
    <x v="1"/>
    <x v="1005"/>
    <x v="1"/>
  </r>
  <r>
    <x v="1045"/>
    <x v="3"/>
    <n v="58119.67"/>
    <x v="15"/>
    <n v="0"/>
    <x v="907"/>
    <n v="0.73040000000000005"/>
    <n v="5"/>
    <n v="14001.28"/>
    <n v="2217.9299999999998"/>
    <n v="70"/>
    <x v="0"/>
    <x v="0"/>
    <x v="0"/>
    <x v="1006"/>
    <x v="1"/>
  </r>
  <r>
    <x v="1046"/>
    <x v="5"/>
    <n v="11641.19"/>
    <x v="32"/>
    <n v="0"/>
    <x v="908"/>
    <n v="0.54339999999999999"/>
    <n v="6"/>
    <n v="4312.6099999999997"/>
    <n v="7422.04"/>
    <n v="149"/>
    <x v="1"/>
    <x v="2"/>
    <x v="1"/>
    <x v="784"/>
    <x v="1"/>
  </r>
  <r>
    <x v="1047"/>
    <x v="3"/>
    <n v="108933.78"/>
    <x v="45"/>
    <n v="0"/>
    <x v="797"/>
    <n v="0.6089"/>
    <n v="1"/>
    <n v="88989.37"/>
    <n v="46954.87"/>
    <n v="6"/>
    <x v="0"/>
    <x v="0"/>
    <x v="1"/>
    <x v="1007"/>
    <x v="1"/>
  </r>
  <r>
    <x v="1048"/>
    <x v="0"/>
    <n v="102578.38"/>
    <x v="1"/>
    <n v="1"/>
    <x v="24"/>
    <n v="0.32529999999999998"/>
    <n v="1"/>
    <n v="42081.97"/>
    <n v="29839.08"/>
    <n v="14"/>
    <x v="2"/>
    <x v="0"/>
    <x v="0"/>
    <x v="259"/>
    <x v="1"/>
  </r>
  <r>
    <x v="1049"/>
    <x v="3"/>
    <n v="151399.37"/>
    <x v="35"/>
    <n v="1"/>
    <x v="909"/>
    <n v="0.65880000000000005"/>
    <n v="6"/>
    <n v="125181.38"/>
    <n v="69252.7"/>
    <n v="127"/>
    <x v="0"/>
    <x v="0"/>
    <x v="1"/>
    <x v="1008"/>
    <x v="1"/>
  </r>
  <r>
    <x v="1050"/>
    <x v="1"/>
    <n v="116048.7"/>
    <x v="0"/>
    <n v="1"/>
    <x v="910"/>
    <n v="0.78639999999999999"/>
    <n v="1"/>
    <n v="94350.42"/>
    <n v="64356.14"/>
    <n v="179"/>
    <x v="1"/>
    <x v="0"/>
    <x v="0"/>
    <x v="1009"/>
    <x v="1"/>
  </r>
  <r>
    <x v="1051"/>
    <x v="4"/>
    <n v="93338.26"/>
    <x v="39"/>
    <n v="0"/>
    <x v="911"/>
    <n v="4.9599999999999998E-2"/>
    <n v="0"/>
    <n v="21456.15"/>
    <n v="6017.88"/>
    <n v="128"/>
    <x v="0"/>
    <x v="0"/>
    <x v="1"/>
    <x v="1010"/>
    <x v="1"/>
  </r>
  <r>
    <x v="1052"/>
    <x v="1"/>
    <n v="83341.350000000006"/>
    <x v="45"/>
    <n v="0"/>
    <x v="912"/>
    <n v="0.39800000000000002"/>
    <n v="0"/>
    <n v="21729.45"/>
    <n v="3678.39"/>
    <n v="65"/>
    <x v="1"/>
    <x v="2"/>
    <x v="0"/>
    <x v="1011"/>
    <x v="1"/>
  </r>
  <r>
    <x v="1053"/>
    <x v="3"/>
    <n v="33927.370000000003"/>
    <x v="49"/>
    <n v="0"/>
    <x v="913"/>
    <n v="0.58879999999999999"/>
    <n v="6"/>
    <n v="6870.16"/>
    <n v="12750.91"/>
    <n v="43"/>
    <x v="0"/>
    <x v="2"/>
    <x v="0"/>
    <x v="1012"/>
    <x v="1"/>
  </r>
  <r>
    <x v="1054"/>
    <x v="1"/>
    <n v="69034.23"/>
    <x v="27"/>
    <n v="1"/>
    <x v="914"/>
    <n v="0.84250000000000003"/>
    <n v="5"/>
    <n v="40639.360000000001"/>
    <n v="18765.23"/>
    <n v="116"/>
    <x v="0"/>
    <x v="0"/>
    <x v="0"/>
    <x v="1013"/>
    <x v="1"/>
  </r>
  <r>
    <x v="1055"/>
    <x v="1"/>
    <n v="59919.62"/>
    <x v="49"/>
    <n v="1"/>
    <x v="915"/>
    <n v="0.49680000000000002"/>
    <n v="2"/>
    <n v="46950.2"/>
    <n v="31192.82"/>
    <n v="166"/>
    <x v="0"/>
    <x v="0"/>
    <x v="1"/>
    <x v="1014"/>
    <x v="1"/>
  </r>
  <r>
    <x v="1056"/>
    <x v="1"/>
    <n v="2222.8000000000002"/>
    <x v="35"/>
    <n v="1"/>
    <x v="916"/>
    <n v="0.17599999999999999"/>
    <n v="3"/>
    <n v="500"/>
    <n v="10365.94"/>
    <n v="139"/>
    <x v="0"/>
    <x v="0"/>
    <x v="2"/>
    <x v="1015"/>
    <x v="1"/>
  </r>
  <r>
    <x v="1057"/>
    <x v="5"/>
    <n v="106481.02"/>
    <x v="47"/>
    <n v="0"/>
    <x v="917"/>
    <n v="0.46800000000000003"/>
    <n v="1"/>
    <n v="36800.519999999997"/>
    <n v="40383.42"/>
    <n v="101"/>
    <x v="1"/>
    <x v="0"/>
    <x v="1"/>
    <x v="1016"/>
    <x v="1"/>
  </r>
  <r>
    <x v="1058"/>
    <x v="3"/>
    <n v="126822.29"/>
    <x v="20"/>
    <n v="0"/>
    <x v="643"/>
    <n v="0.28139999999999998"/>
    <n v="1"/>
    <n v="22949.38"/>
    <n v="24204.560000000001"/>
    <n v="54"/>
    <x v="1"/>
    <x v="2"/>
    <x v="3"/>
    <x v="1017"/>
    <x v="1"/>
  </r>
  <r>
    <x v="1059"/>
    <x v="1"/>
    <n v="2000"/>
    <x v="20"/>
    <n v="1"/>
    <x v="918"/>
    <n v="0.57699999999999996"/>
    <n v="3"/>
    <n v="500"/>
    <n v="8654.2900000000009"/>
    <n v="144"/>
    <x v="1"/>
    <x v="1"/>
    <x v="0"/>
    <x v="1018"/>
    <x v="1"/>
  </r>
  <r>
    <x v="1060"/>
    <x v="1"/>
    <n v="93834.03"/>
    <x v="27"/>
    <n v="0"/>
    <x v="919"/>
    <n v="0.31559999999999999"/>
    <n v="1"/>
    <n v="31831.27"/>
    <n v="32321.119999999999"/>
    <n v="8"/>
    <x v="1"/>
    <x v="0"/>
    <x v="0"/>
    <x v="794"/>
    <x v="1"/>
  </r>
  <r>
    <x v="1061"/>
    <x v="3"/>
    <n v="35890.230000000003"/>
    <x v="22"/>
    <n v="0"/>
    <x v="920"/>
    <n v="0.17860000000000001"/>
    <n v="0"/>
    <n v="500"/>
    <n v="0"/>
    <n v="133"/>
    <x v="0"/>
    <x v="0"/>
    <x v="1"/>
    <x v="1019"/>
    <x v="1"/>
  </r>
  <r>
    <x v="1062"/>
    <x v="5"/>
    <n v="56091.55"/>
    <x v="2"/>
    <n v="0"/>
    <x v="921"/>
    <n v="0.55520000000000003"/>
    <n v="7"/>
    <n v="6189.55"/>
    <n v="0"/>
    <n v="103"/>
    <x v="0"/>
    <x v="0"/>
    <x v="2"/>
    <x v="1020"/>
    <x v="1"/>
  </r>
  <r>
    <x v="1063"/>
    <x v="0"/>
    <n v="71973.899999999994"/>
    <x v="32"/>
    <n v="1"/>
    <x v="922"/>
    <n v="0.57140000000000002"/>
    <n v="1"/>
    <n v="53301.82"/>
    <n v="40118.86"/>
    <n v="92"/>
    <x v="0"/>
    <x v="1"/>
    <x v="0"/>
    <x v="1021"/>
    <x v="1"/>
  </r>
  <r>
    <x v="1064"/>
    <x v="0"/>
    <n v="162534.31"/>
    <x v="35"/>
    <n v="1"/>
    <x v="923"/>
    <n v="0.32679999999999998"/>
    <n v="1"/>
    <n v="34710.58"/>
    <n v="21799.51"/>
    <n v="135"/>
    <x v="1"/>
    <x v="2"/>
    <x v="1"/>
    <x v="1022"/>
    <x v="1"/>
  </r>
  <r>
    <x v="1065"/>
    <x v="5"/>
    <n v="11837.75"/>
    <x v="6"/>
    <n v="0"/>
    <x v="924"/>
    <n v="0.36930000000000002"/>
    <n v="1"/>
    <n v="17738.740000000002"/>
    <n v="20650.12"/>
    <n v="50"/>
    <x v="2"/>
    <x v="0"/>
    <x v="0"/>
    <x v="1023"/>
    <x v="1"/>
  </r>
  <r>
    <x v="1066"/>
    <x v="3"/>
    <n v="129092.71"/>
    <x v="36"/>
    <n v="0"/>
    <x v="925"/>
    <n v="0.38040000000000002"/>
    <n v="1"/>
    <n v="50375.81"/>
    <n v="25796.26"/>
    <n v="173"/>
    <x v="2"/>
    <x v="2"/>
    <x v="0"/>
    <x v="1024"/>
    <x v="1"/>
  </r>
  <r>
    <x v="1067"/>
    <x v="4"/>
    <n v="53423.12"/>
    <x v="7"/>
    <n v="1"/>
    <x v="926"/>
    <n v="0.43609999999999999"/>
    <n v="5"/>
    <n v="13242.08"/>
    <n v="0"/>
    <n v="31"/>
    <x v="0"/>
    <x v="0"/>
    <x v="3"/>
    <x v="1025"/>
    <x v="1"/>
  </r>
  <r>
    <x v="1068"/>
    <x v="1"/>
    <n v="83951.93"/>
    <x v="20"/>
    <n v="0"/>
    <x v="927"/>
    <n v="0.56720000000000004"/>
    <n v="5"/>
    <n v="38996.9"/>
    <n v="14063.56"/>
    <n v="14"/>
    <x v="0"/>
    <x v="2"/>
    <x v="0"/>
    <x v="1026"/>
    <x v="0"/>
  </r>
  <r>
    <x v="1069"/>
    <x v="1"/>
    <n v="81206.73"/>
    <x v="21"/>
    <n v="1"/>
    <x v="24"/>
    <n v="0.10639999999999999"/>
    <n v="1"/>
    <n v="10102.040000000001"/>
    <n v="26410.2"/>
    <n v="41"/>
    <x v="0"/>
    <x v="0"/>
    <x v="1"/>
    <x v="1027"/>
    <x v="1"/>
  </r>
  <r>
    <x v="1070"/>
    <x v="4"/>
    <n v="47953.42"/>
    <x v="3"/>
    <n v="1"/>
    <x v="928"/>
    <n v="0.29949999999999999"/>
    <n v="5"/>
    <n v="10370.370000000001"/>
    <n v="2713.72"/>
    <n v="16"/>
    <x v="0"/>
    <x v="0"/>
    <x v="0"/>
    <x v="424"/>
    <x v="1"/>
  </r>
  <r>
    <x v="1071"/>
    <x v="5"/>
    <n v="105790.25"/>
    <x v="45"/>
    <n v="1"/>
    <x v="412"/>
    <n v="0.68110000000000004"/>
    <n v="6"/>
    <n v="70336.820000000007"/>
    <n v="47421.61"/>
    <n v="41"/>
    <x v="0"/>
    <x v="0"/>
    <x v="1"/>
    <x v="1028"/>
    <x v="1"/>
  </r>
  <r>
    <x v="1072"/>
    <x v="2"/>
    <n v="154730.21"/>
    <x v="35"/>
    <n v="0"/>
    <x v="929"/>
    <n v="0.5444"/>
    <n v="2"/>
    <n v="70308.62"/>
    <n v="53830.81"/>
    <n v="38"/>
    <x v="2"/>
    <x v="0"/>
    <x v="1"/>
    <x v="1029"/>
    <x v="1"/>
  </r>
  <r>
    <x v="1073"/>
    <x v="4"/>
    <n v="107434.76"/>
    <x v="44"/>
    <n v="0"/>
    <x v="930"/>
    <n v="0.40770000000000001"/>
    <n v="6"/>
    <n v="51400.92"/>
    <n v="28444.47"/>
    <n v="63"/>
    <x v="2"/>
    <x v="0"/>
    <x v="1"/>
    <x v="1030"/>
    <x v="1"/>
  </r>
  <r>
    <x v="1074"/>
    <x v="3"/>
    <n v="100536.3"/>
    <x v="1"/>
    <n v="0"/>
    <x v="931"/>
    <n v="0"/>
    <n v="0"/>
    <n v="12980.43"/>
    <n v="16604.7"/>
    <n v="38"/>
    <x v="1"/>
    <x v="1"/>
    <x v="1"/>
    <x v="1031"/>
    <x v="1"/>
  </r>
  <r>
    <x v="1075"/>
    <x v="5"/>
    <n v="134300.4"/>
    <x v="18"/>
    <n v="1"/>
    <x v="669"/>
    <n v="0.23269999999999999"/>
    <n v="1"/>
    <n v="33555.230000000003"/>
    <n v="11639.73"/>
    <n v="13"/>
    <x v="1"/>
    <x v="2"/>
    <x v="1"/>
    <x v="1032"/>
    <x v="1"/>
  </r>
  <r>
    <x v="1076"/>
    <x v="1"/>
    <n v="13631.44"/>
    <x v="0"/>
    <n v="1"/>
    <x v="932"/>
    <n v="0.5736"/>
    <n v="5"/>
    <n v="500"/>
    <n v="0"/>
    <n v="89"/>
    <x v="2"/>
    <x v="2"/>
    <x v="1"/>
    <x v="1033"/>
    <x v="1"/>
  </r>
  <r>
    <x v="1077"/>
    <x v="0"/>
    <n v="94010.4"/>
    <x v="16"/>
    <n v="0"/>
    <x v="933"/>
    <n v="0.20880000000000001"/>
    <n v="0"/>
    <n v="2217.6999999999998"/>
    <n v="0"/>
    <n v="152"/>
    <x v="0"/>
    <x v="0"/>
    <x v="1"/>
    <x v="1034"/>
    <x v="1"/>
  </r>
  <r>
    <x v="1078"/>
    <x v="3"/>
    <n v="81394.2"/>
    <x v="28"/>
    <n v="0"/>
    <x v="934"/>
    <n v="0.59760000000000002"/>
    <n v="3"/>
    <n v="60915.11"/>
    <n v="34475.94"/>
    <n v="88"/>
    <x v="2"/>
    <x v="2"/>
    <x v="0"/>
    <x v="1035"/>
    <x v="1"/>
  </r>
  <r>
    <x v="1079"/>
    <x v="3"/>
    <n v="114893.84"/>
    <x v="13"/>
    <n v="1"/>
    <x v="935"/>
    <n v="0.33989999999999998"/>
    <n v="5"/>
    <n v="34362.21"/>
    <n v="15891.34"/>
    <n v="162"/>
    <x v="2"/>
    <x v="0"/>
    <x v="1"/>
    <x v="1036"/>
    <x v="1"/>
  </r>
  <r>
    <x v="1080"/>
    <x v="2"/>
    <n v="155871.95000000001"/>
    <x v="49"/>
    <n v="1"/>
    <x v="936"/>
    <n v="0.3448"/>
    <n v="0"/>
    <n v="57970.3"/>
    <n v="45948.06"/>
    <n v="80"/>
    <x v="1"/>
    <x v="0"/>
    <x v="1"/>
    <x v="1037"/>
    <x v="1"/>
  </r>
  <r>
    <x v="1081"/>
    <x v="5"/>
    <n v="116525.93"/>
    <x v="7"/>
    <n v="0"/>
    <x v="937"/>
    <n v="0.2238"/>
    <n v="3"/>
    <n v="18913.22"/>
    <n v="0"/>
    <n v="123"/>
    <x v="1"/>
    <x v="0"/>
    <x v="1"/>
    <x v="1038"/>
    <x v="1"/>
  </r>
  <r>
    <x v="1082"/>
    <x v="4"/>
    <n v="207272.4"/>
    <x v="37"/>
    <n v="0"/>
    <x v="938"/>
    <n v="0.40329999999999999"/>
    <n v="7"/>
    <n v="69764.84"/>
    <n v="27521.86"/>
    <n v="155"/>
    <x v="2"/>
    <x v="2"/>
    <x v="0"/>
    <x v="1039"/>
    <x v="1"/>
  </r>
  <r>
    <x v="1083"/>
    <x v="3"/>
    <n v="152870.34"/>
    <x v="7"/>
    <n v="0"/>
    <x v="939"/>
    <n v="0.1651"/>
    <n v="0"/>
    <n v="19500.25"/>
    <n v="15639.18"/>
    <n v="52"/>
    <x v="0"/>
    <x v="2"/>
    <x v="3"/>
    <x v="1040"/>
    <x v="1"/>
  </r>
  <r>
    <x v="1084"/>
    <x v="1"/>
    <n v="94380.41"/>
    <x v="49"/>
    <n v="1"/>
    <x v="940"/>
    <n v="0.8347"/>
    <n v="7"/>
    <n v="68496.27"/>
    <n v="50183.3"/>
    <n v="151"/>
    <x v="0"/>
    <x v="0"/>
    <x v="3"/>
    <x v="1041"/>
    <x v="1"/>
  </r>
  <r>
    <x v="1085"/>
    <x v="0"/>
    <n v="82881.87"/>
    <x v="5"/>
    <n v="0"/>
    <x v="941"/>
    <n v="0.16070000000000001"/>
    <n v="0"/>
    <n v="11320.7"/>
    <n v="18445.32"/>
    <n v="66"/>
    <x v="0"/>
    <x v="2"/>
    <x v="0"/>
    <x v="453"/>
    <x v="1"/>
  </r>
  <r>
    <x v="1086"/>
    <x v="1"/>
    <n v="170003.69"/>
    <x v="35"/>
    <n v="1"/>
    <x v="942"/>
    <n v="0.38779999999999998"/>
    <n v="4"/>
    <n v="82444.3"/>
    <n v="38569.300000000003"/>
    <n v="130"/>
    <x v="0"/>
    <x v="0"/>
    <x v="0"/>
    <x v="1042"/>
    <x v="1"/>
  </r>
  <r>
    <x v="516"/>
    <x v="3"/>
    <n v="16715.13"/>
    <x v="5"/>
    <n v="1"/>
    <x v="943"/>
    <n v="0.39629999999999999"/>
    <n v="3"/>
    <n v="500"/>
    <n v="0"/>
    <n v="159"/>
    <x v="2"/>
    <x v="0"/>
    <x v="0"/>
    <x v="1043"/>
    <x v="1"/>
  </r>
  <r>
    <x v="1087"/>
    <x v="5"/>
    <n v="52232.35"/>
    <x v="36"/>
    <n v="0"/>
    <x v="944"/>
    <n v="0.15429999999999999"/>
    <n v="0"/>
    <n v="500"/>
    <n v="0"/>
    <n v="178"/>
    <x v="1"/>
    <x v="2"/>
    <x v="1"/>
    <x v="1044"/>
    <x v="1"/>
  </r>
  <r>
    <x v="1088"/>
    <x v="1"/>
    <n v="27771.83"/>
    <x v="46"/>
    <n v="1"/>
    <x v="945"/>
    <n v="0.21060000000000001"/>
    <n v="0"/>
    <n v="500"/>
    <n v="0"/>
    <n v="180"/>
    <x v="1"/>
    <x v="2"/>
    <x v="0"/>
    <x v="1045"/>
    <x v="1"/>
  </r>
  <r>
    <x v="1089"/>
    <x v="0"/>
    <n v="132180.84"/>
    <x v="34"/>
    <n v="0"/>
    <x v="946"/>
    <n v="0.2545"/>
    <n v="5"/>
    <n v="7131.13"/>
    <n v="1295.73"/>
    <n v="171"/>
    <x v="1"/>
    <x v="0"/>
    <x v="2"/>
    <x v="1046"/>
    <x v="1"/>
  </r>
  <r>
    <x v="1090"/>
    <x v="1"/>
    <n v="65185.38"/>
    <x v="7"/>
    <n v="0"/>
    <x v="947"/>
    <n v="0.15"/>
    <n v="2"/>
    <n v="500"/>
    <n v="4308.9399999999996"/>
    <n v="95"/>
    <x v="0"/>
    <x v="0"/>
    <x v="3"/>
    <x v="1047"/>
    <x v="1"/>
  </r>
  <r>
    <x v="1091"/>
    <x v="2"/>
    <n v="93676.98"/>
    <x v="6"/>
    <n v="1"/>
    <x v="948"/>
    <n v="0.3669"/>
    <n v="3"/>
    <n v="38211.78"/>
    <n v="20400.169999999998"/>
    <n v="64"/>
    <x v="0"/>
    <x v="1"/>
    <x v="0"/>
    <x v="1048"/>
    <x v="1"/>
  </r>
  <r>
    <x v="1092"/>
    <x v="5"/>
    <n v="107389.77"/>
    <x v="19"/>
    <n v="0"/>
    <x v="949"/>
    <n v="0.20069999999999999"/>
    <n v="2"/>
    <n v="29193.42"/>
    <n v="15125.91"/>
    <n v="53"/>
    <x v="0"/>
    <x v="0"/>
    <x v="1"/>
    <x v="1049"/>
    <x v="1"/>
  </r>
  <r>
    <x v="1093"/>
    <x v="0"/>
    <n v="109671.86"/>
    <x v="6"/>
    <n v="1"/>
    <x v="950"/>
    <n v="0"/>
    <n v="3"/>
    <n v="500"/>
    <n v="0"/>
    <n v="114"/>
    <x v="2"/>
    <x v="0"/>
    <x v="2"/>
    <x v="1050"/>
    <x v="1"/>
  </r>
  <r>
    <x v="1094"/>
    <x v="0"/>
    <n v="86079.11"/>
    <x v="2"/>
    <n v="1"/>
    <x v="951"/>
    <n v="0.3478"/>
    <n v="6"/>
    <n v="4465.0200000000004"/>
    <n v="0"/>
    <n v="147"/>
    <x v="2"/>
    <x v="2"/>
    <x v="0"/>
    <x v="539"/>
    <x v="0"/>
  </r>
  <r>
    <x v="1095"/>
    <x v="0"/>
    <n v="76027.820000000007"/>
    <x v="44"/>
    <n v="0"/>
    <x v="952"/>
    <n v="0.1016"/>
    <n v="3"/>
    <n v="10030.57"/>
    <n v="10955.27"/>
    <n v="18"/>
    <x v="1"/>
    <x v="2"/>
    <x v="0"/>
    <x v="1051"/>
    <x v="1"/>
  </r>
  <r>
    <x v="1096"/>
    <x v="0"/>
    <n v="37159.57"/>
    <x v="15"/>
    <n v="0"/>
    <x v="953"/>
    <n v="0.40410000000000001"/>
    <n v="4"/>
    <n v="23752.49"/>
    <n v="22461.81"/>
    <n v="169"/>
    <x v="1"/>
    <x v="0"/>
    <x v="3"/>
    <x v="1052"/>
    <x v="1"/>
  </r>
  <r>
    <x v="1097"/>
    <x v="1"/>
    <n v="117914.67"/>
    <x v="7"/>
    <n v="0"/>
    <x v="954"/>
    <n v="0.1749"/>
    <n v="0"/>
    <n v="16692.849999999999"/>
    <n v="0"/>
    <n v="139"/>
    <x v="1"/>
    <x v="2"/>
    <x v="1"/>
    <x v="1053"/>
    <x v="1"/>
  </r>
  <r>
    <x v="1098"/>
    <x v="0"/>
    <n v="90561.56"/>
    <x v="13"/>
    <n v="0"/>
    <x v="955"/>
    <n v="0.64629999999999999"/>
    <n v="7"/>
    <n v="61399.06"/>
    <n v="37323.9"/>
    <n v="24"/>
    <x v="1"/>
    <x v="0"/>
    <x v="0"/>
    <x v="1054"/>
    <x v="1"/>
  </r>
  <r>
    <x v="1099"/>
    <x v="2"/>
    <n v="61696.9"/>
    <x v="3"/>
    <n v="1"/>
    <x v="956"/>
    <n v="0.44319999999999998"/>
    <n v="3"/>
    <n v="16890.38"/>
    <n v="15120.49"/>
    <n v="121"/>
    <x v="2"/>
    <x v="2"/>
    <x v="1"/>
    <x v="1055"/>
    <x v="1"/>
  </r>
  <r>
    <x v="1100"/>
    <x v="2"/>
    <n v="79190.8"/>
    <x v="43"/>
    <n v="0"/>
    <x v="957"/>
    <n v="0.83850000000000002"/>
    <n v="2"/>
    <n v="66126.7"/>
    <n v="56792.91"/>
    <n v="125"/>
    <x v="1"/>
    <x v="0"/>
    <x v="0"/>
    <x v="1056"/>
    <x v="1"/>
  </r>
  <r>
    <x v="1101"/>
    <x v="0"/>
    <n v="81524.25"/>
    <x v="24"/>
    <n v="1"/>
    <x v="958"/>
    <n v="0.3024"/>
    <n v="4"/>
    <n v="30149.05"/>
    <n v="13475.59"/>
    <n v="116"/>
    <x v="0"/>
    <x v="0"/>
    <x v="2"/>
    <x v="1057"/>
    <x v="1"/>
  </r>
  <r>
    <x v="1102"/>
    <x v="5"/>
    <n v="212902.86"/>
    <x v="22"/>
    <n v="0"/>
    <x v="959"/>
    <n v="0.60429999999999995"/>
    <n v="4"/>
    <n v="122061.4"/>
    <n v="98778.43"/>
    <n v="8"/>
    <x v="3"/>
    <x v="0"/>
    <x v="1"/>
    <x v="1058"/>
    <x v="1"/>
  </r>
  <r>
    <x v="1103"/>
    <x v="5"/>
    <n v="99984.69"/>
    <x v="42"/>
    <n v="1"/>
    <x v="960"/>
    <n v="0.59730000000000005"/>
    <n v="2"/>
    <n v="77571.350000000006"/>
    <n v="44006.52"/>
    <n v="100"/>
    <x v="0"/>
    <x v="2"/>
    <x v="0"/>
    <x v="1059"/>
    <x v="1"/>
  </r>
  <r>
    <x v="1104"/>
    <x v="4"/>
    <n v="13803.89"/>
    <x v="39"/>
    <n v="0"/>
    <x v="961"/>
    <n v="0.2419"/>
    <n v="0"/>
    <n v="3219.97"/>
    <n v="0"/>
    <n v="45"/>
    <x v="2"/>
    <x v="0"/>
    <x v="1"/>
    <x v="1060"/>
    <x v="1"/>
  </r>
  <r>
    <x v="1105"/>
    <x v="3"/>
    <n v="116584.92"/>
    <x v="36"/>
    <n v="0"/>
    <x v="962"/>
    <n v="0.23519999999999999"/>
    <n v="0"/>
    <n v="19344.95"/>
    <n v="13678.59"/>
    <n v="9"/>
    <x v="3"/>
    <x v="0"/>
    <x v="1"/>
    <x v="1061"/>
    <x v="1"/>
  </r>
  <r>
    <x v="1106"/>
    <x v="2"/>
    <n v="101849.63"/>
    <x v="40"/>
    <n v="1"/>
    <x v="963"/>
    <n v="0"/>
    <n v="0"/>
    <n v="11280.69"/>
    <n v="31025.54"/>
    <n v="47"/>
    <x v="2"/>
    <x v="0"/>
    <x v="1"/>
    <x v="1062"/>
    <x v="1"/>
  </r>
  <r>
    <x v="1107"/>
    <x v="2"/>
    <n v="110404.92"/>
    <x v="8"/>
    <n v="0"/>
    <x v="964"/>
    <n v="0.4042"/>
    <n v="0"/>
    <n v="52695.23"/>
    <n v="17552.79"/>
    <n v="126"/>
    <x v="3"/>
    <x v="0"/>
    <x v="1"/>
    <x v="1063"/>
    <x v="1"/>
  </r>
  <r>
    <x v="1108"/>
    <x v="4"/>
    <n v="105868.14"/>
    <x v="4"/>
    <n v="1"/>
    <x v="965"/>
    <n v="0.3327"/>
    <n v="3"/>
    <n v="25351.3"/>
    <n v="4008.33"/>
    <n v="139"/>
    <x v="1"/>
    <x v="2"/>
    <x v="1"/>
    <x v="1064"/>
    <x v="1"/>
  </r>
  <r>
    <x v="1109"/>
    <x v="3"/>
    <n v="172622.7"/>
    <x v="0"/>
    <n v="0"/>
    <x v="966"/>
    <n v="0.66290000000000004"/>
    <n v="1"/>
    <n v="114599.76"/>
    <n v="56481.42"/>
    <n v="82"/>
    <x v="2"/>
    <x v="0"/>
    <x v="2"/>
    <x v="1065"/>
    <x v="1"/>
  </r>
  <r>
    <x v="1110"/>
    <x v="2"/>
    <n v="107697.81"/>
    <x v="18"/>
    <n v="1"/>
    <x v="141"/>
    <n v="0.25940000000000002"/>
    <n v="2"/>
    <n v="43203.18"/>
    <n v="33170.79"/>
    <n v="98"/>
    <x v="1"/>
    <x v="0"/>
    <x v="1"/>
    <x v="1066"/>
    <x v="1"/>
  </r>
  <r>
    <x v="1111"/>
    <x v="4"/>
    <n v="121955.41"/>
    <x v="4"/>
    <n v="1"/>
    <x v="967"/>
    <n v="0.48780000000000001"/>
    <n v="5"/>
    <n v="49214.34"/>
    <n v="38430.58"/>
    <n v="127"/>
    <x v="3"/>
    <x v="0"/>
    <x v="0"/>
    <x v="1067"/>
    <x v="1"/>
  </r>
  <r>
    <x v="1112"/>
    <x v="3"/>
    <n v="2000"/>
    <x v="37"/>
    <n v="1"/>
    <x v="968"/>
    <n v="0.1835"/>
    <n v="0"/>
    <n v="7576.43"/>
    <n v="0.4"/>
    <n v="162"/>
    <x v="2"/>
    <x v="0"/>
    <x v="1"/>
    <x v="1068"/>
    <x v="1"/>
  </r>
  <r>
    <x v="1113"/>
    <x v="5"/>
    <n v="41165.89"/>
    <x v="14"/>
    <n v="1"/>
    <x v="887"/>
    <n v="0.36870000000000003"/>
    <n v="0"/>
    <n v="10793.62"/>
    <n v="25097.79"/>
    <n v="171"/>
    <x v="0"/>
    <x v="0"/>
    <x v="1"/>
    <x v="1069"/>
    <x v="1"/>
  </r>
  <r>
    <x v="1114"/>
    <x v="5"/>
    <n v="67693.5"/>
    <x v="8"/>
    <n v="0"/>
    <x v="24"/>
    <n v="0.21590000000000001"/>
    <n v="0"/>
    <n v="2418.9899999999998"/>
    <n v="10079.27"/>
    <n v="16"/>
    <x v="0"/>
    <x v="0"/>
    <x v="0"/>
    <x v="1070"/>
    <x v="1"/>
  </r>
  <r>
    <x v="1115"/>
    <x v="2"/>
    <n v="89568.16"/>
    <x v="45"/>
    <n v="0"/>
    <x v="969"/>
    <n v="0.25280000000000002"/>
    <n v="3"/>
    <n v="35729.379999999997"/>
    <n v="28919.32"/>
    <n v="157"/>
    <x v="0"/>
    <x v="2"/>
    <x v="0"/>
    <x v="1071"/>
    <x v="1"/>
  </r>
  <r>
    <x v="1116"/>
    <x v="0"/>
    <n v="122289.38"/>
    <x v="19"/>
    <n v="0"/>
    <x v="970"/>
    <n v="0.63770000000000004"/>
    <n v="7"/>
    <n v="60489.97"/>
    <n v="44381.47"/>
    <n v="63"/>
    <x v="1"/>
    <x v="0"/>
    <x v="2"/>
    <x v="1072"/>
    <x v="1"/>
  </r>
  <r>
    <x v="1117"/>
    <x v="1"/>
    <n v="30314.87"/>
    <x v="21"/>
    <n v="0"/>
    <x v="357"/>
    <n v="0.33610000000000001"/>
    <n v="0"/>
    <n v="500"/>
    <n v="0"/>
    <n v="85"/>
    <x v="1"/>
    <x v="0"/>
    <x v="1"/>
    <x v="1073"/>
    <x v="1"/>
  </r>
  <r>
    <x v="1118"/>
    <x v="2"/>
    <n v="105242.35"/>
    <x v="38"/>
    <n v="0"/>
    <x v="971"/>
    <n v="0.9335"/>
    <n v="11"/>
    <n v="115111.12"/>
    <n v="88134.080000000002"/>
    <n v="78"/>
    <x v="2"/>
    <x v="2"/>
    <x v="1"/>
    <x v="1074"/>
    <x v="0"/>
  </r>
  <r>
    <x v="1119"/>
    <x v="5"/>
    <n v="42819.94"/>
    <x v="6"/>
    <n v="0"/>
    <x v="972"/>
    <n v="7.4999999999999997E-2"/>
    <n v="1"/>
    <n v="500"/>
    <n v="0"/>
    <n v="173"/>
    <x v="0"/>
    <x v="0"/>
    <x v="0"/>
    <x v="1075"/>
    <x v="1"/>
  </r>
  <r>
    <x v="1120"/>
    <x v="3"/>
    <n v="176423.27"/>
    <x v="19"/>
    <n v="1"/>
    <x v="973"/>
    <n v="4.8300000000000003E-2"/>
    <n v="3"/>
    <n v="500"/>
    <n v="5095.75"/>
    <n v="88"/>
    <x v="1"/>
    <x v="2"/>
    <x v="1"/>
    <x v="1076"/>
    <x v="1"/>
  </r>
  <r>
    <x v="1121"/>
    <x v="4"/>
    <n v="26394.09"/>
    <x v="11"/>
    <n v="1"/>
    <x v="974"/>
    <n v="0.24249999999999999"/>
    <n v="5"/>
    <n v="7625"/>
    <n v="12275.12"/>
    <n v="130"/>
    <x v="2"/>
    <x v="0"/>
    <x v="0"/>
    <x v="1077"/>
    <x v="1"/>
  </r>
  <r>
    <x v="1122"/>
    <x v="2"/>
    <n v="37540.65"/>
    <x v="0"/>
    <n v="1"/>
    <x v="975"/>
    <n v="0.73350000000000004"/>
    <n v="2"/>
    <n v="5139.72"/>
    <n v="10232.84"/>
    <n v="167"/>
    <x v="1"/>
    <x v="0"/>
    <x v="1"/>
    <x v="1078"/>
    <x v="1"/>
  </r>
  <r>
    <x v="1123"/>
    <x v="2"/>
    <n v="108058.12"/>
    <x v="9"/>
    <n v="1"/>
    <x v="976"/>
    <n v="0.53490000000000004"/>
    <n v="2"/>
    <n v="30970.53"/>
    <n v="21239.71"/>
    <n v="106"/>
    <x v="2"/>
    <x v="1"/>
    <x v="1"/>
    <x v="1079"/>
    <x v="1"/>
  </r>
  <r>
    <x v="1124"/>
    <x v="0"/>
    <n v="2000"/>
    <x v="39"/>
    <n v="0"/>
    <x v="977"/>
    <n v="1.7500000000000002E-2"/>
    <n v="1"/>
    <n v="500"/>
    <n v="0"/>
    <n v="122"/>
    <x v="0"/>
    <x v="0"/>
    <x v="0"/>
    <x v="1080"/>
    <x v="1"/>
  </r>
  <r>
    <x v="1125"/>
    <x v="5"/>
    <n v="32906.32"/>
    <x v="13"/>
    <n v="0"/>
    <x v="24"/>
    <n v="0.16120000000000001"/>
    <n v="0"/>
    <n v="500"/>
    <n v="0"/>
    <n v="121"/>
    <x v="0"/>
    <x v="2"/>
    <x v="2"/>
    <x v="1081"/>
    <x v="1"/>
  </r>
  <r>
    <x v="1126"/>
    <x v="3"/>
    <n v="60951.79"/>
    <x v="37"/>
    <n v="1"/>
    <x v="978"/>
    <n v="0.37040000000000001"/>
    <n v="5"/>
    <n v="58347.38"/>
    <n v="39289.31"/>
    <n v="121"/>
    <x v="0"/>
    <x v="0"/>
    <x v="0"/>
    <x v="1082"/>
    <x v="1"/>
  </r>
  <r>
    <x v="1127"/>
    <x v="2"/>
    <n v="127342.63"/>
    <x v="49"/>
    <n v="1"/>
    <x v="976"/>
    <n v="0.38329999999999997"/>
    <n v="5"/>
    <n v="30891.41"/>
    <n v="22905.99"/>
    <n v="159"/>
    <x v="1"/>
    <x v="0"/>
    <x v="1"/>
    <x v="1083"/>
    <x v="1"/>
  </r>
  <r>
    <x v="1128"/>
    <x v="4"/>
    <n v="15927.25"/>
    <x v="18"/>
    <n v="0"/>
    <x v="979"/>
    <n v="0.62160000000000004"/>
    <n v="3"/>
    <n v="8476.0300000000007"/>
    <n v="443.57"/>
    <n v="173"/>
    <x v="0"/>
    <x v="2"/>
    <x v="0"/>
    <x v="1084"/>
    <x v="0"/>
  </r>
  <r>
    <x v="1129"/>
    <x v="2"/>
    <n v="3165.1"/>
    <x v="41"/>
    <n v="1"/>
    <x v="980"/>
    <n v="0.23"/>
    <n v="2"/>
    <n v="11621.57"/>
    <n v="9058.49"/>
    <n v="115"/>
    <x v="0"/>
    <x v="0"/>
    <x v="0"/>
    <x v="1085"/>
    <x v="1"/>
  </r>
  <r>
    <x v="1130"/>
    <x v="3"/>
    <n v="69455.5"/>
    <x v="40"/>
    <n v="0"/>
    <x v="981"/>
    <n v="0.33610000000000001"/>
    <n v="2"/>
    <n v="27609.85"/>
    <n v="24720.71"/>
    <n v="6"/>
    <x v="3"/>
    <x v="0"/>
    <x v="1"/>
    <x v="1086"/>
    <x v="1"/>
  </r>
  <r>
    <x v="1131"/>
    <x v="4"/>
    <n v="54345.08"/>
    <x v="11"/>
    <n v="1"/>
    <x v="982"/>
    <n v="0.43830000000000002"/>
    <n v="3"/>
    <n v="500"/>
    <n v="0"/>
    <n v="177"/>
    <x v="1"/>
    <x v="2"/>
    <x v="0"/>
    <x v="1087"/>
    <x v="1"/>
  </r>
  <r>
    <x v="1132"/>
    <x v="0"/>
    <n v="126393.3"/>
    <x v="49"/>
    <n v="1"/>
    <x v="24"/>
    <n v="0.77810000000000001"/>
    <n v="3"/>
    <n v="116034.97"/>
    <n v="86916.52"/>
    <n v="28"/>
    <x v="3"/>
    <x v="0"/>
    <x v="0"/>
    <x v="1088"/>
    <x v="1"/>
  </r>
  <r>
    <x v="1133"/>
    <x v="4"/>
    <n v="80479.17"/>
    <x v="11"/>
    <n v="1"/>
    <x v="829"/>
    <n v="0.3548"/>
    <n v="4"/>
    <n v="7374"/>
    <n v="0"/>
    <n v="109"/>
    <x v="0"/>
    <x v="0"/>
    <x v="1"/>
    <x v="1089"/>
    <x v="1"/>
  </r>
  <r>
    <x v="1134"/>
    <x v="2"/>
    <n v="89761.62"/>
    <x v="23"/>
    <n v="0"/>
    <x v="983"/>
    <n v="0.45319999999999999"/>
    <n v="6"/>
    <n v="55641.72"/>
    <n v="31317.51"/>
    <n v="123"/>
    <x v="1"/>
    <x v="2"/>
    <x v="0"/>
    <x v="1090"/>
    <x v="0"/>
  </r>
  <r>
    <x v="1135"/>
    <x v="4"/>
    <n v="102881.2"/>
    <x v="21"/>
    <n v="0"/>
    <x v="984"/>
    <n v="0.43969999999999998"/>
    <n v="1"/>
    <n v="55029.02"/>
    <n v="43887.5"/>
    <n v="86"/>
    <x v="2"/>
    <x v="0"/>
    <x v="2"/>
    <x v="1091"/>
    <x v="1"/>
  </r>
  <r>
    <x v="1136"/>
    <x v="3"/>
    <n v="69249.87"/>
    <x v="41"/>
    <n v="0"/>
    <x v="985"/>
    <n v="8.6900000000000005E-2"/>
    <n v="1"/>
    <n v="500"/>
    <n v="0"/>
    <n v="36"/>
    <x v="1"/>
    <x v="0"/>
    <x v="2"/>
    <x v="1092"/>
    <x v="1"/>
  </r>
  <r>
    <x v="1137"/>
    <x v="1"/>
    <n v="125516.91"/>
    <x v="34"/>
    <n v="1"/>
    <x v="547"/>
    <n v="0.42870000000000003"/>
    <n v="5"/>
    <n v="45527.61"/>
    <n v="44979.76"/>
    <n v="103"/>
    <x v="3"/>
    <x v="0"/>
    <x v="2"/>
    <x v="1093"/>
    <x v="1"/>
  </r>
  <r>
    <x v="1138"/>
    <x v="2"/>
    <n v="132274.43"/>
    <x v="7"/>
    <n v="1"/>
    <x v="986"/>
    <n v="0.32429999999999998"/>
    <n v="4"/>
    <n v="84768.01"/>
    <n v="59850.09"/>
    <n v="89"/>
    <x v="0"/>
    <x v="0"/>
    <x v="0"/>
    <x v="1094"/>
    <x v="1"/>
  </r>
  <r>
    <x v="1139"/>
    <x v="1"/>
    <n v="80493.509999999995"/>
    <x v="38"/>
    <n v="0"/>
    <x v="987"/>
    <n v="0.51019999999999999"/>
    <n v="1"/>
    <n v="68230.66"/>
    <n v="52201.5"/>
    <n v="26"/>
    <x v="0"/>
    <x v="0"/>
    <x v="2"/>
    <x v="1095"/>
    <x v="1"/>
  </r>
  <r>
    <x v="1140"/>
    <x v="4"/>
    <n v="3871.1"/>
    <x v="47"/>
    <n v="1"/>
    <x v="988"/>
    <n v="8.7300000000000003E-2"/>
    <n v="0"/>
    <n v="500"/>
    <n v="0"/>
    <n v="147"/>
    <x v="1"/>
    <x v="0"/>
    <x v="0"/>
    <x v="1096"/>
    <x v="1"/>
  </r>
  <r>
    <x v="1141"/>
    <x v="4"/>
    <n v="73607.62"/>
    <x v="14"/>
    <n v="0"/>
    <x v="271"/>
    <n v="0.23430000000000001"/>
    <n v="2"/>
    <n v="19064.93"/>
    <n v="22418.99"/>
    <n v="33"/>
    <x v="2"/>
    <x v="0"/>
    <x v="2"/>
    <x v="1097"/>
    <x v="1"/>
  </r>
  <r>
    <x v="1142"/>
    <x v="5"/>
    <n v="110717.07"/>
    <x v="40"/>
    <n v="1"/>
    <x v="989"/>
    <n v="0.54900000000000004"/>
    <n v="2"/>
    <n v="55948"/>
    <n v="44104.04"/>
    <n v="151"/>
    <x v="1"/>
    <x v="0"/>
    <x v="2"/>
    <x v="1098"/>
    <x v="1"/>
  </r>
  <r>
    <x v="1143"/>
    <x v="0"/>
    <n v="103479.4"/>
    <x v="23"/>
    <n v="0"/>
    <x v="24"/>
    <n v="0.2676"/>
    <n v="0"/>
    <n v="24937.05"/>
    <n v="29677.919999999998"/>
    <n v="75"/>
    <x v="1"/>
    <x v="2"/>
    <x v="2"/>
    <x v="1099"/>
    <x v="1"/>
  </r>
  <r>
    <x v="1144"/>
    <x v="4"/>
    <n v="93618.94"/>
    <x v="26"/>
    <n v="0"/>
    <x v="990"/>
    <n v="0.31850000000000001"/>
    <n v="1"/>
    <n v="16242.57"/>
    <n v="11141.75"/>
    <n v="109"/>
    <x v="3"/>
    <x v="0"/>
    <x v="1"/>
    <x v="1100"/>
    <x v="1"/>
  </r>
  <r>
    <x v="1145"/>
    <x v="5"/>
    <n v="151832.28"/>
    <x v="47"/>
    <n v="0"/>
    <x v="991"/>
    <n v="0.57369999999999999"/>
    <n v="0"/>
    <n v="87706.76"/>
    <n v="46424.3"/>
    <n v="70"/>
    <x v="1"/>
    <x v="2"/>
    <x v="2"/>
    <x v="1101"/>
    <x v="1"/>
  </r>
  <r>
    <x v="1146"/>
    <x v="0"/>
    <n v="123315.8"/>
    <x v="47"/>
    <n v="1"/>
    <x v="992"/>
    <n v="1"/>
    <n v="7"/>
    <n v="122533.7"/>
    <n v="68842.39"/>
    <n v="107"/>
    <x v="0"/>
    <x v="0"/>
    <x v="3"/>
    <x v="1102"/>
    <x v="1"/>
  </r>
  <r>
    <x v="1147"/>
    <x v="1"/>
    <n v="60478.239999999998"/>
    <x v="20"/>
    <n v="0"/>
    <x v="993"/>
    <n v="0.4103"/>
    <n v="3"/>
    <n v="32875.71"/>
    <n v="21345.78"/>
    <n v="100"/>
    <x v="0"/>
    <x v="0"/>
    <x v="1"/>
    <x v="1103"/>
    <x v="1"/>
  </r>
  <r>
    <x v="1148"/>
    <x v="3"/>
    <n v="61696.03"/>
    <x v="24"/>
    <n v="1"/>
    <x v="994"/>
    <n v="0.55100000000000005"/>
    <n v="5"/>
    <n v="42430.559999999998"/>
    <n v="40603.46"/>
    <n v="175"/>
    <x v="0"/>
    <x v="0"/>
    <x v="0"/>
    <x v="1104"/>
    <x v="1"/>
  </r>
  <r>
    <x v="1149"/>
    <x v="5"/>
    <n v="91065.75"/>
    <x v="12"/>
    <n v="1"/>
    <x v="995"/>
    <n v="0"/>
    <n v="0"/>
    <n v="500"/>
    <n v="1461.58"/>
    <n v="79"/>
    <x v="0"/>
    <x v="0"/>
    <x v="0"/>
    <x v="377"/>
    <x v="1"/>
  </r>
  <r>
    <x v="1150"/>
    <x v="0"/>
    <n v="102291.39"/>
    <x v="16"/>
    <n v="1"/>
    <x v="996"/>
    <n v="0.19620000000000001"/>
    <n v="2"/>
    <n v="21678.880000000001"/>
    <n v="17953.599999999999"/>
    <n v="76"/>
    <x v="2"/>
    <x v="1"/>
    <x v="0"/>
    <x v="1105"/>
    <x v="1"/>
  </r>
  <r>
    <x v="1151"/>
    <x v="3"/>
    <n v="95950.5"/>
    <x v="27"/>
    <n v="1"/>
    <x v="997"/>
    <n v="0.68700000000000006"/>
    <n v="5"/>
    <n v="101758.64"/>
    <n v="51496.95"/>
    <n v="34"/>
    <x v="0"/>
    <x v="0"/>
    <x v="0"/>
    <x v="1106"/>
    <x v="0"/>
  </r>
  <r>
    <x v="1152"/>
    <x v="2"/>
    <n v="125102.97"/>
    <x v="30"/>
    <n v="0"/>
    <x v="998"/>
    <n v="0.39889999999999998"/>
    <n v="2"/>
    <n v="21447.98"/>
    <n v="6195.95"/>
    <n v="67"/>
    <x v="2"/>
    <x v="0"/>
    <x v="0"/>
    <x v="1107"/>
    <x v="1"/>
  </r>
  <r>
    <x v="1153"/>
    <x v="0"/>
    <n v="62626.91"/>
    <x v="17"/>
    <n v="0"/>
    <x v="999"/>
    <n v="0.10730000000000001"/>
    <n v="2"/>
    <n v="22765.66"/>
    <n v="11684.49"/>
    <n v="11"/>
    <x v="0"/>
    <x v="2"/>
    <x v="1"/>
    <x v="35"/>
    <x v="1"/>
  </r>
  <r>
    <x v="1154"/>
    <x v="0"/>
    <n v="119503.88"/>
    <x v="2"/>
    <n v="1"/>
    <x v="1000"/>
    <n v="0.35649999999999998"/>
    <n v="0"/>
    <n v="21983.759999999998"/>
    <n v="20574.98"/>
    <n v="75"/>
    <x v="1"/>
    <x v="2"/>
    <x v="1"/>
    <x v="1108"/>
    <x v="1"/>
  </r>
  <r>
    <x v="1155"/>
    <x v="5"/>
    <n v="75787.42"/>
    <x v="48"/>
    <n v="0"/>
    <x v="36"/>
    <n v="0.42909999999999998"/>
    <n v="3"/>
    <n v="37109.300000000003"/>
    <n v="18648.21"/>
    <n v="67"/>
    <x v="1"/>
    <x v="0"/>
    <x v="0"/>
    <x v="1109"/>
    <x v="1"/>
  </r>
  <r>
    <x v="1156"/>
    <x v="2"/>
    <n v="82235.289999999994"/>
    <x v="41"/>
    <n v="1"/>
    <x v="1001"/>
    <n v="0.45879999999999999"/>
    <n v="7"/>
    <n v="42048.94"/>
    <n v="35055.61"/>
    <n v="24"/>
    <x v="0"/>
    <x v="1"/>
    <x v="1"/>
    <x v="1110"/>
    <x v="1"/>
  </r>
  <r>
    <x v="1157"/>
    <x v="2"/>
    <n v="58841.54"/>
    <x v="3"/>
    <n v="0"/>
    <x v="106"/>
    <n v="0.51"/>
    <n v="5"/>
    <n v="22446.06"/>
    <n v="27863.01"/>
    <n v="121"/>
    <x v="2"/>
    <x v="0"/>
    <x v="2"/>
    <x v="1111"/>
    <x v="1"/>
  </r>
  <r>
    <x v="1158"/>
    <x v="4"/>
    <n v="118430.56"/>
    <x v="31"/>
    <n v="0"/>
    <x v="1002"/>
    <n v="5.7299999999999997E-2"/>
    <n v="0"/>
    <n v="7095.94"/>
    <n v="2665.07"/>
    <n v="76"/>
    <x v="1"/>
    <x v="2"/>
    <x v="1"/>
    <x v="24"/>
    <x v="1"/>
  </r>
  <r>
    <x v="1159"/>
    <x v="0"/>
    <n v="93451.99"/>
    <x v="35"/>
    <n v="0"/>
    <x v="1003"/>
    <n v="0"/>
    <n v="2"/>
    <n v="10444.879999999999"/>
    <n v="8954.08"/>
    <n v="6"/>
    <x v="1"/>
    <x v="0"/>
    <x v="0"/>
    <x v="1112"/>
    <x v="1"/>
  </r>
  <r>
    <x v="1160"/>
    <x v="0"/>
    <n v="86498.67"/>
    <x v="2"/>
    <n v="0"/>
    <x v="1004"/>
    <n v="0.72319999999999995"/>
    <n v="4"/>
    <n v="57682.39"/>
    <n v="33666.46"/>
    <n v="46"/>
    <x v="0"/>
    <x v="0"/>
    <x v="0"/>
    <x v="1113"/>
    <x v="1"/>
  </r>
  <r>
    <x v="1161"/>
    <x v="4"/>
    <n v="63588.21"/>
    <x v="12"/>
    <n v="1"/>
    <x v="1005"/>
    <n v="0.24809999999999999"/>
    <n v="2"/>
    <n v="21393.81"/>
    <n v="18508"/>
    <n v="166"/>
    <x v="2"/>
    <x v="2"/>
    <x v="2"/>
    <x v="1114"/>
    <x v="1"/>
  </r>
  <r>
    <x v="1162"/>
    <x v="2"/>
    <n v="57591.63"/>
    <x v="44"/>
    <n v="0"/>
    <x v="1006"/>
    <n v="0.3695"/>
    <n v="2"/>
    <n v="8228.4500000000007"/>
    <n v="11443.68"/>
    <n v="113"/>
    <x v="0"/>
    <x v="2"/>
    <x v="0"/>
    <x v="963"/>
    <x v="1"/>
  </r>
  <r>
    <x v="1163"/>
    <x v="4"/>
    <n v="107735.99"/>
    <x v="44"/>
    <n v="1"/>
    <x v="1007"/>
    <n v="0.70150000000000001"/>
    <n v="1"/>
    <n v="67931.64"/>
    <n v="63169.94"/>
    <n v="155"/>
    <x v="3"/>
    <x v="2"/>
    <x v="0"/>
    <x v="1115"/>
    <x v="1"/>
  </r>
  <r>
    <x v="1164"/>
    <x v="2"/>
    <n v="32989.53"/>
    <x v="46"/>
    <n v="1"/>
    <x v="1008"/>
    <n v="9.4E-2"/>
    <n v="2"/>
    <n v="6467.53"/>
    <n v="0"/>
    <n v="72"/>
    <x v="1"/>
    <x v="1"/>
    <x v="1"/>
    <x v="1116"/>
    <x v="1"/>
  </r>
  <r>
    <x v="1165"/>
    <x v="5"/>
    <n v="64454.95"/>
    <x v="27"/>
    <n v="0"/>
    <x v="1009"/>
    <n v="0.27360000000000001"/>
    <n v="3"/>
    <n v="12372.86"/>
    <n v="328.49"/>
    <n v="64"/>
    <x v="1"/>
    <x v="2"/>
    <x v="2"/>
    <x v="1117"/>
    <x v="1"/>
  </r>
  <r>
    <x v="1166"/>
    <x v="4"/>
    <n v="38600.36"/>
    <x v="47"/>
    <n v="1"/>
    <x v="1010"/>
    <n v="0.38950000000000001"/>
    <n v="1"/>
    <n v="500"/>
    <n v="0"/>
    <n v="65"/>
    <x v="2"/>
    <x v="0"/>
    <x v="0"/>
    <x v="1118"/>
    <x v="1"/>
  </r>
  <r>
    <x v="1167"/>
    <x v="0"/>
    <n v="46186.86"/>
    <x v="49"/>
    <n v="1"/>
    <x v="1011"/>
    <n v="0.3266"/>
    <n v="1"/>
    <n v="12364.58"/>
    <n v="5421.08"/>
    <n v="51"/>
    <x v="0"/>
    <x v="0"/>
    <x v="2"/>
    <x v="1119"/>
    <x v="1"/>
  </r>
  <r>
    <x v="1168"/>
    <x v="2"/>
    <n v="107348.3"/>
    <x v="14"/>
    <n v="1"/>
    <x v="1012"/>
    <n v="5.2200000000000003E-2"/>
    <n v="0"/>
    <n v="27189.759999999998"/>
    <n v="20771.48"/>
    <n v="145"/>
    <x v="0"/>
    <x v="2"/>
    <x v="1"/>
    <x v="1120"/>
    <x v="1"/>
  </r>
  <r>
    <x v="1169"/>
    <x v="4"/>
    <n v="2000"/>
    <x v="39"/>
    <n v="0"/>
    <x v="976"/>
    <n v="0"/>
    <n v="1"/>
    <n v="500"/>
    <n v="8696.48"/>
    <n v="27"/>
    <x v="0"/>
    <x v="2"/>
    <x v="2"/>
    <x v="1121"/>
    <x v="1"/>
  </r>
  <r>
    <x v="1170"/>
    <x v="0"/>
    <n v="115394.92"/>
    <x v="2"/>
    <n v="1"/>
    <x v="1013"/>
    <n v="0"/>
    <n v="2"/>
    <n v="500"/>
    <n v="0"/>
    <n v="167"/>
    <x v="1"/>
    <x v="2"/>
    <x v="1"/>
    <x v="1122"/>
    <x v="1"/>
  </r>
  <r>
    <x v="1171"/>
    <x v="1"/>
    <n v="87162.08"/>
    <x v="9"/>
    <n v="1"/>
    <x v="1014"/>
    <n v="6.8900000000000003E-2"/>
    <n v="1"/>
    <n v="12314.8"/>
    <n v="11533"/>
    <n v="153"/>
    <x v="1"/>
    <x v="0"/>
    <x v="1"/>
    <x v="1123"/>
    <x v="1"/>
  </r>
  <r>
    <x v="1172"/>
    <x v="5"/>
    <n v="139085.97"/>
    <x v="34"/>
    <n v="0"/>
    <x v="24"/>
    <n v="0"/>
    <n v="0"/>
    <n v="500"/>
    <n v="8679.2000000000007"/>
    <n v="135"/>
    <x v="1"/>
    <x v="0"/>
    <x v="1"/>
    <x v="1124"/>
    <x v="1"/>
  </r>
  <r>
    <x v="1173"/>
    <x v="3"/>
    <n v="90615.13"/>
    <x v="21"/>
    <n v="0"/>
    <x v="1015"/>
    <n v="0.31840000000000002"/>
    <n v="2"/>
    <n v="16984.990000000002"/>
    <n v="15748.95"/>
    <n v="37"/>
    <x v="0"/>
    <x v="0"/>
    <x v="0"/>
    <x v="1125"/>
    <x v="1"/>
  </r>
  <r>
    <x v="1174"/>
    <x v="1"/>
    <n v="61189.19"/>
    <x v="3"/>
    <n v="1"/>
    <x v="1016"/>
    <n v="0.34370000000000001"/>
    <n v="3"/>
    <n v="500"/>
    <n v="0"/>
    <n v="147"/>
    <x v="1"/>
    <x v="2"/>
    <x v="0"/>
    <x v="1126"/>
    <x v="1"/>
  </r>
  <r>
    <x v="1175"/>
    <x v="0"/>
    <n v="134633.26999999999"/>
    <x v="40"/>
    <n v="0"/>
    <x v="1017"/>
    <n v="0.4582"/>
    <n v="6"/>
    <n v="61484.56"/>
    <n v="40885.980000000003"/>
    <n v="140"/>
    <x v="0"/>
    <x v="0"/>
    <x v="0"/>
    <x v="1127"/>
    <x v="0"/>
  </r>
  <r>
    <x v="1176"/>
    <x v="0"/>
    <n v="122237.73"/>
    <x v="42"/>
    <n v="1"/>
    <x v="1018"/>
    <n v="0.62619999999999998"/>
    <n v="5"/>
    <n v="75078.05"/>
    <n v="55071.96"/>
    <n v="166"/>
    <x v="1"/>
    <x v="1"/>
    <x v="1"/>
    <x v="1128"/>
    <x v="1"/>
  </r>
  <r>
    <x v="1177"/>
    <x v="5"/>
    <n v="75016.02"/>
    <x v="18"/>
    <n v="0"/>
    <x v="251"/>
    <n v="0.37609999999999999"/>
    <n v="3"/>
    <n v="9891.0400000000009"/>
    <n v="11768.46"/>
    <n v="45"/>
    <x v="1"/>
    <x v="0"/>
    <x v="0"/>
    <x v="97"/>
    <x v="1"/>
  </r>
  <r>
    <x v="161"/>
    <x v="3"/>
    <n v="81785.929999999993"/>
    <x v="6"/>
    <n v="0"/>
    <x v="1019"/>
    <n v="0.20380000000000001"/>
    <n v="0"/>
    <n v="9298.1200000000008"/>
    <n v="8007.22"/>
    <n v="68"/>
    <x v="2"/>
    <x v="2"/>
    <x v="0"/>
    <x v="1129"/>
    <x v="1"/>
  </r>
  <r>
    <x v="1178"/>
    <x v="1"/>
    <n v="4417.84"/>
    <x v="2"/>
    <n v="1"/>
    <x v="363"/>
    <n v="0.80389999999999995"/>
    <n v="8"/>
    <n v="18607.099999999999"/>
    <n v="14613.18"/>
    <n v="167"/>
    <x v="1"/>
    <x v="0"/>
    <x v="1"/>
    <x v="1130"/>
    <x v="1"/>
  </r>
  <r>
    <x v="1179"/>
    <x v="4"/>
    <n v="98830.6"/>
    <x v="37"/>
    <n v="0"/>
    <x v="807"/>
    <n v="0.49609999999999999"/>
    <n v="0"/>
    <n v="36252.879999999997"/>
    <n v="31360.6"/>
    <n v="53"/>
    <x v="0"/>
    <x v="1"/>
    <x v="2"/>
    <x v="1131"/>
    <x v="1"/>
  </r>
  <r>
    <x v="1180"/>
    <x v="5"/>
    <n v="92755.98"/>
    <x v="13"/>
    <n v="0"/>
    <x v="1020"/>
    <n v="0"/>
    <n v="0"/>
    <n v="500"/>
    <n v="0"/>
    <n v="11"/>
    <x v="2"/>
    <x v="2"/>
    <x v="0"/>
    <x v="1132"/>
    <x v="1"/>
  </r>
  <r>
    <x v="1181"/>
    <x v="2"/>
    <n v="61785.26"/>
    <x v="0"/>
    <n v="1"/>
    <x v="1021"/>
    <n v="7.1400000000000005E-2"/>
    <n v="6"/>
    <n v="500"/>
    <n v="3571.47"/>
    <n v="21"/>
    <x v="1"/>
    <x v="0"/>
    <x v="0"/>
    <x v="1133"/>
    <x v="1"/>
  </r>
  <r>
    <x v="1182"/>
    <x v="3"/>
    <n v="2000"/>
    <x v="35"/>
    <n v="1"/>
    <x v="1003"/>
    <n v="0.31419999999999998"/>
    <n v="2"/>
    <n v="500"/>
    <n v="3288.91"/>
    <n v="86"/>
    <x v="2"/>
    <x v="0"/>
    <x v="1"/>
    <x v="1134"/>
    <x v="1"/>
  </r>
  <r>
    <x v="1183"/>
    <x v="2"/>
    <n v="96731.88"/>
    <x v="47"/>
    <n v="0"/>
    <x v="964"/>
    <n v="0.15260000000000001"/>
    <n v="0"/>
    <n v="10021.709999999999"/>
    <n v="0"/>
    <n v="145"/>
    <x v="0"/>
    <x v="1"/>
    <x v="0"/>
    <x v="1135"/>
    <x v="1"/>
  </r>
  <r>
    <x v="1184"/>
    <x v="3"/>
    <n v="126847.88"/>
    <x v="41"/>
    <n v="1"/>
    <x v="695"/>
    <n v="0.52410000000000001"/>
    <n v="4"/>
    <n v="97158.71"/>
    <n v="68238.37"/>
    <n v="27"/>
    <x v="2"/>
    <x v="2"/>
    <x v="1"/>
    <x v="1136"/>
    <x v="1"/>
  </r>
  <r>
    <x v="1185"/>
    <x v="5"/>
    <n v="69101.119999999995"/>
    <x v="15"/>
    <n v="1"/>
    <x v="23"/>
    <n v="0.87929999999999997"/>
    <n v="4"/>
    <n v="65088.53"/>
    <n v="36271.85"/>
    <n v="140"/>
    <x v="2"/>
    <x v="0"/>
    <x v="0"/>
    <x v="1082"/>
    <x v="0"/>
  </r>
  <r>
    <x v="1186"/>
    <x v="5"/>
    <n v="2000"/>
    <x v="2"/>
    <n v="1"/>
    <x v="1022"/>
    <n v="0.62319999999999998"/>
    <n v="0"/>
    <n v="500"/>
    <n v="0"/>
    <n v="102"/>
    <x v="0"/>
    <x v="2"/>
    <x v="1"/>
    <x v="1137"/>
    <x v="1"/>
  </r>
  <r>
    <x v="1187"/>
    <x v="4"/>
    <n v="116841.62"/>
    <x v="32"/>
    <n v="1"/>
    <x v="1023"/>
    <n v="0.86670000000000003"/>
    <n v="2"/>
    <n v="117992.14"/>
    <n v="60698.36"/>
    <n v="106"/>
    <x v="1"/>
    <x v="2"/>
    <x v="0"/>
    <x v="1138"/>
    <x v="0"/>
  </r>
  <r>
    <x v="1188"/>
    <x v="2"/>
    <n v="103837.27"/>
    <x v="38"/>
    <n v="1"/>
    <x v="1024"/>
    <n v="0.14099999999999999"/>
    <n v="0"/>
    <n v="11374.99"/>
    <n v="7107.25"/>
    <n v="141"/>
    <x v="1"/>
    <x v="2"/>
    <x v="1"/>
    <x v="1139"/>
    <x v="1"/>
  </r>
  <r>
    <x v="1189"/>
    <x v="2"/>
    <n v="67016.3"/>
    <x v="32"/>
    <n v="0"/>
    <x v="1025"/>
    <n v="0.4955"/>
    <n v="4"/>
    <n v="26402.41"/>
    <n v="15959.16"/>
    <n v="67"/>
    <x v="1"/>
    <x v="0"/>
    <x v="0"/>
    <x v="1140"/>
    <x v="1"/>
  </r>
  <r>
    <x v="1190"/>
    <x v="1"/>
    <n v="147416.47"/>
    <x v="32"/>
    <n v="0"/>
    <x v="1026"/>
    <n v="0.69130000000000003"/>
    <n v="1"/>
    <n v="115596.79"/>
    <n v="80964.759999999995"/>
    <n v="92"/>
    <x v="0"/>
    <x v="1"/>
    <x v="0"/>
    <x v="1141"/>
    <x v="1"/>
  </r>
  <r>
    <x v="1191"/>
    <x v="5"/>
    <n v="87863.95"/>
    <x v="2"/>
    <n v="0"/>
    <x v="1027"/>
    <n v="0.49759999999999999"/>
    <n v="4"/>
    <n v="44265.49"/>
    <n v="24321.42"/>
    <n v="16"/>
    <x v="2"/>
    <x v="2"/>
    <x v="0"/>
    <x v="1142"/>
    <x v="1"/>
  </r>
  <r>
    <x v="1192"/>
    <x v="1"/>
    <n v="61807.17"/>
    <x v="31"/>
    <n v="1"/>
    <x v="24"/>
    <n v="0.66690000000000005"/>
    <n v="5"/>
    <n v="42695.88"/>
    <n v="27397.11"/>
    <n v="60"/>
    <x v="0"/>
    <x v="0"/>
    <x v="0"/>
    <x v="1143"/>
    <x v="1"/>
  </r>
  <r>
    <x v="1193"/>
    <x v="1"/>
    <n v="38809.79"/>
    <x v="9"/>
    <n v="0"/>
    <x v="1028"/>
    <n v="0.14560000000000001"/>
    <n v="1"/>
    <n v="21971.34"/>
    <n v="24580.52"/>
    <n v="130"/>
    <x v="1"/>
    <x v="2"/>
    <x v="2"/>
    <x v="1144"/>
    <x v="1"/>
  </r>
  <r>
    <x v="1194"/>
    <x v="0"/>
    <n v="2000"/>
    <x v="34"/>
    <n v="1"/>
    <x v="1029"/>
    <n v="0.32829999999999998"/>
    <n v="2"/>
    <n v="32555.81"/>
    <n v="31932.01"/>
    <n v="120"/>
    <x v="2"/>
    <x v="0"/>
    <x v="0"/>
    <x v="1145"/>
    <x v="1"/>
  </r>
  <r>
    <x v="609"/>
    <x v="0"/>
    <n v="152732.82"/>
    <x v="42"/>
    <n v="0"/>
    <x v="1030"/>
    <n v="0.45029999999999998"/>
    <n v="3"/>
    <n v="70250.61"/>
    <n v="50691.23"/>
    <n v="37"/>
    <x v="0"/>
    <x v="2"/>
    <x v="1"/>
    <x v="1146"/>
    <x v="0"/>
  </r>
  <r>
    <x v="1195"/>
    <x v="4"/>
    <n v="32374.05"/>
    <x v="3"/>
    <n v="0"/>
    <x v="1031"/>
    <n v="0.38590000000000002"/>
    <n v="4"/>
    <n v="17405.47"/>
    <n v="0"/>
    <n v="121"/>
    <x v="3"/>
    <x v="2"/>
    <x v="0"/>
    <x v="1147"/>
    <x v="1"/>
  </r>
  <r>
    <x v="1196"/>
    <x v="0"/>
    <n v="72886.850000000006"/>
    <x v="24"/>
    <n v="0"/>
    <x v="1032"/>
    <n v="9.2600000000000002E-2"/>
    <n v="2"/>
    <n v="17552.560000000001"/>
    <n v="0"/>
    <n v="174"/>
    <x v="0"/>
    <x v="2"/>
    <x v="1"/>
    <x v="1148"/>
    <x v="1"/>
  </r>
  <r>
    <x v="1197"/>
    <x v="3"/>
    <n v="47097.04"/>
    <x v="15"/>
    <n v="1"/>
    <x v="1033"/>
    <n v="0.56230000000000002"/>
    <n v="5"/>
    <n v="47233.91"/>
    <n v="26000.11"/>
    <n v="151"/>
    <x v="0"/>
    <x v="0"/>
    <x v="0"/>
    <x v="1149"/>
    <x v="0"/>
  </r>
  <r>
    <x v="1198"/>
    <x v="0"/>
    <n v="51264.87"/>
    <x v="26"/>
    <n v="1"/>
    <x v="1034"/>
    <n v="0.52949999999999997"/>
    <n v="0"/>
    <n v="57345.16"/>
    <n v="34115.64"/>
    <n v="33"/>
    <x v="0"/>
    <x v="2"/>
    <x v="2"/>
    <x v="1150"/>
    <x v="1"/>
  </r>
  <r>
    <x v="1199"/>
    <x v="4"/>
    <n v="113876.3"/>
    <x v="37"/>
    <n v="0"/>
    <x v="1035"/>
    <n v="0.15140000000000001"/>
    <n v="4"/>
    <n v="24307.72"/>
    <n v="22091.919999999998"/>
    <n v="45"/>
    <x v="1"/>
    <x v="0"/>
    <x v="1"/>
    <x v="1151"/>
    <x v="1"/>
  </r>
  <r>
    <x v="1200"/>
    <x v="5"/>
    <n v="137716.38"/>
    <x v="23"/>
    <n v="0"/>
    <x v="1036"/>
    <n v="0.46829999999999999"/>
    <n v="5"/>
    <n v="75274.509999999995"/>
    <n v="52234.45"/>
    <n v="161"/>
    <x v="0"/>
    <x v="2"/>
    <x v="1"/>
    <x v="1152"/>
    <x v="1"/>
  </r>
  <r>
    <x v="1201"/>
    <x v="4"/>
    <n v="115686.86"/>
    <x v="41"/>
    <n v="0"/>
    <x v="345"/>
    <n v="0.1321"/>
    <n v="5"/>
    <n v="18323.23"/>
    <n v="11288.77"/>
    <n v="94"/>
    <x v="3"/>
    <x v="2"/>
    <x v="0"/>
    <x v="1153"/>
    <x v="1"/>
  </r>
  <r>
    <x v="1202"/>
    <x v="5"/>
    <n v="69133.73"/>
    <x v="33"/>
    <n v="0"/>
    <x v="1037"/>
    <n v="0.84379999999999999"/>
    <n v="5"/>
    <n v="61587.91"/>
    <n v="27534.17"/>
    <n v="97"/>
    <x v="1"/>
    <x v="0"/>
    <x v="1"/>
    <x v="427"/>
    <x v="1"/>
  </r>
  <r>
    <x v="1203"/>
    <x v="2"/>
    <n v="121545.95"/>
    <x v="21"/>
    <n v="0"/>
    <x v="33"/>
    <n v="0.45369999999999999"/>
    <n v="3"/>
    <n v="52854.32"/>
    <n v="26195.49"/>
    <n v="178"/>
    <x v="2"/>
    <x v="2"/>
    <x v="1"/>
    <x v="1154"/>
    <x v="1"/>
  </r>
  <r>
    <x v="1204"/>
    <x v="2"/>
    <n v="74109.119999999995"/>
    <x v="11"/>
    <n v="0"/>
    <x v="792"/>
    <n v="0.75049999999999994"/>
    <n v="7"/>
    <n v="58193.11"/>
    <n v="35506.57"/>
    <n v="44"/>
    <x v="0"/>
    <x v="2"/>
    <x v="0"/>
    <x v="1155"/>
    <x v="0"/>
  </r>
  <r>
    <x v="1205"/>
    <x v="4"/>
    <n v="86420.41"/>
    <x v="43"/>
    <n v="1"/>
    <x v="776"/>
    <n v="0.26989999999999997"/>
    <n v="2"/>
    <n v="22663.84"/>
    <n v="11200.24"/>
    <n v="159"/>
    <x v="1"/>
    <x v="2"/>
    <x v="0"/>
    <x v="1156"/>
    <x v="1"/>
  </r>
  <r>
    <x v="1206"/>
    <x v="2"/>
    <n v="128350.51"/>
    <x v="9"/>
    <n v="0"/>
    <x v="1038"/>
    <n v="0.43049999999999999"/>
    <n v="3"/>
    <n v="62452.28"/>
    <n v="45449.18"/>
    <n v="12"/>
    <x v="0"/>
    <x v="0"/>
    <x v="1"/>
    <x v="1157"/>
    <x v="1"/>
  </r>
  <r>
    <x v="1207"/>
    <x v="3"/>
    <n v="66424.27"/>
    <x v="31"/>
    <n v="1"/>
    <x v="1039"/>
    <n v="0.58150000000000002"/>
    <n v="5"/>
    <n v="43763.49"/>
    <n v="39872.239999999998"/>
    <n v="56"/>
    <x v="2"/>
    <x v="1"/>
    <x v="1"/>
    <x v="1158"/>
    <x v="1"/>
  </r>
  <r>
    <x v="1208"/>
    <x v="1"/>
    <n v="130999.72"/>
    <x v="24"/>
    <n v="1"/>
    <x v="1040"/>
    <n v="0.39140000000000003"/>
    <n v="3"/>
    <n v="35064.21"/>
    <n v="24936.52"/>
    <n v="78"/>
    <x v="1"/>
    <x v="0"/>
    <x v="2"/>
    <x v="696"/>
    <x v="1"/>
  </r>
  <r>
    <x v="1209"/>
    <x v="5"/>
    <n v="42261.64"/>
    <x v="13"/>
    <n v="0"/>
    <x v="1041"/>
    <n v="0.10349999999999999"/>
    <n v="0"/>
    <n v="20202.34"/>
    <n v="26299.17"/>
    <n v="166"/>
    <x v="2"/>
    <x v="1"/>
    <x v="2"/>
    <x v="1159"/>
    <x v="1"/>
  </r>
  <r>
    <x v="1210"/>
    <x v="2"/>
    <n v="2000"/>
    <x v="28"/>
    <n v="1"/>
    <x v="130"/>
    <n v="0.4234"/>
    <n v="1"/>
    <n v="500"/>
    <n v="6166.32"/>
    <n v="142"/>
    <x v="0"/>
    <x v="1"/>
    <x v="0"/>
    <x v="1160"/>
    <x v="1"/>
  </r>
  <r>
    <x v="1211"/>
    <x v="2"/>
    <n v="95559.55"/>
    <x v="10"/>
    <n v="1"/>
    <x v="1042"/>
    <n v="0.8498"/>
    <n v="6"/>
    <n v="113113.45"/>
    <n v="56502.84"/>
    <n v="26"/>
    <x v="1"/>
    <x v="0"/>
    <x v="3"/>
    <x v="1161"/>
    <x v="1"/>
  </r>
  <r>
    <x v="1212"/>
    <x v="2"/>
    <n v="82044.58"/>
    <x v="44"/>
    <n v="1"/>
    <x v="1043"/>
    <n v="0.5222"/>
    <n v="3"/>
    <n v="42867.91"/>
    <n v="22004.01"/>
    <n v="137"/>
    <x v="3"/>
    <x v="0"/>
    <x v="1"/>
    <x v="1162"/>
    <x v="1"/>
  </r>
  <r>
    <x v="1213"/>
    <x v="4"/>
    <n v="54801.02"/>
    <x v="1"/>
    <n v="1"/>
    <x v="1044"/>
    <n v="0.49630000000000002"/>
    <n v="2"/>
    <n v="16251.28"/>
    <n v="10919.4"/>
    <n v="49"/>
    <x v="2"/>
    <x v="0"/>
    <x v="0"/>
    <x v="1163"/>
    <x v="1"/>
  </r>
  <r>
    <x v="1214"/>
    <x v="3"/>
    <n v="2000"/>
    <x v="2"/>
    <n v="0"/>
    <x v="1045"/>
    <n v="0.2142"/>
    <n v="2"/>
    <n v="15973.67"/>
    <n v="13502.45"/>
    <n v="180"/>
    <x v="0"/>
    <x v="0"/>
    <x v="1"/>
    <x v="1164"/>
    <x v="1"/>
  </r>
  <r>
    <x v="1215"/>
    <x v="1"/>
    <n v="105653.58"/>
    <x v="7"/>
    <n v="1"/>
    <x v="1046"/>
    <n v="0.26740000000000003"/>
    <n v="2"/>
    <n v="30575.26"/>
    <n v="21907.29"/>
    <n v="131"/>
    <x v="2"/>
    <x v="2"/>
    <x v="2"/>
    <x v="1165"/>
    <x v="1"/>
  </r>
  <r>
    <x v="1216"/>
    <x v="2"/>
    <n v="108972.39"/>
    <x v="13"/>
    <n v="1"/>
    <x v="1047"/>
    <n v="0.54859999999999998"/>
    <n v="5"/>
    <n v="58088.67"/>
    <n v="35516.25"/>
    <n v="161"/>
    <x v="1"/>
    <x v="2"/>
    <x v="2"/>
    <x v="1166"/>
    <x v="1"/>
  </r>
  <r>
    <x v="1217"/>
    <x v="2"/>
    <n v="173124.58"/>
    <x v="38"/>
    <n v="0"/>
    <x v="1048"/>
    <n v="0.27260000000000001"/>
    <n v="1"/>
    <n v="35251.06"/>
    <n v="30660.54"/>
    <n v="121"/>
    <x v="3"/>
    <x v="0"/>
    <x v="1"/>
    <x v="1167"/>
    <x v="1"/>
  </r>
  <r>
    <x v="281"/>
    <x v="3"/>
    <n v="80837.66"/>
    <x v="8"/>
    <n v="0"/>
    <x v="1049"/>
    <n v="0.51290000000000002"/>
    <n v="3"/>
    <n v="36182.85"/>
    <n v="21984.39"/>
    <n v="133"/>
    <x v="0"/>
    <x v="0"/>
    <x v="1"/>
    <x v="1168"/>
    <x v="1"/>
  </r>
  <r>
    <x v="1218"/>
    <x v="1"/>
    <n v="153522.01"/>
    <x v="45"/>
    <n v="1"/>
    <x v="257"/>
    <n v="0.49769999999999998"/>
    <n v="2"/>
    <n v="68694.33"/>
    <n v="45743.45"/>
    <n v="178"/>
    <x v="0"/>
    <x v="1"/>
    <x v="1"/>
    <x v="1169"/>
    <x v="1"/>
  </r>
  <r>
    <x v="1219"/>
    <x v="2"/>
    <n v="130475.56"/>
    <x v="46"/>
    <n v="0"/>
    <x v="1050"/>
    <n v="0.75149999999999995"/>
    <n v="3"/>
    <n v="90973.97"/>
    <n v="65042.48"/>
    <n v="24"/>
    <x v="1"/>
    <x v="2"/>
    <x v="0"/>
    <x v="1170"/>
    <x v="1"/>
  </r>
  <r>
    <x v="1220"/>
    <x v="3"/>
    <n v="87178.53"/>
    <x v="15"/>
    <n v="0"/>
    <x v="1051"/>
    <n v="0"/>
    <n v="0"/>
    <n v="500"/>
    <n v="0"/>
    <n v="165"/>
    <x v="1"/>
    <x v="0"/>
    <x v="1"/>
    <x v="1171"/>
    <x v="1"/>
  </r>
  <r>
    <x v="1221"/>
    <x v="0"/>
    <n v="141725.72"/>
    <x v="39"/>
    <n v="1"/>
    <x v="24"/>
    <n v="0.66500000000000004"/>
    <n v="1"/>
    <n v="116191.29"/>
    <n v="89262.95"/>
    <n v="64"/>
    <x v="1"/>
    <x v="2"/>
    <x v="3"/>
    <x v="1172"/>
    <x v="1"/>
  </r>
  <r>
    <x v="1222"/>
    <x v="4"/>
    <n v="50065.67"/>
    <x v="34"/>
    <n v="1"/>
    <x v="1052"/>
    <n v="0.2311"/>
    <n v="0"/>
    <n v="500"/>
    <n v="0"/>
    <n v="22"/>
    <x v="1"/>
    <x v="0"/>
    <x v="1"/>
    <x v="1173"/>
    <x v="1"/>
  </r>
  <r>
    <x v="1223"/>
    <x v="0"/>
    <n v="10810.03"/>
    <x v="39"/>
    <n v="1"/>
    <x v="1053"/>
    <n v="0.30909999999999999"/>
    <n v="0"/>
    <n v="500"/>
    <n v="4291.9399999999996"/>
    <n v="145"/>
    <x v="1"/>
    <x v="0"/>
    <x v="0"/>
    <x v="1174"/>
    <x v="1"/>
  </r>
  <r>
    <x v="98"/>
    <x v="1"/>
    <n v="24668.080000000002"/>
    <x v="26"/>
    <n v="0"/>
    <x v="1054"/>
    <n v="0.47270000000000001"/>
    <n v="5"/>
    <n v="21401.040000000001"/>
    <n v="10696.85"/>
    <n v="124"/>
    <x v="1"/>
    <x v="2"/>
    <x v="0"/>
    <x v="1175"/>
    <x v="1"/>
  </r>
  <r>
    <x v="1224"/>
    <x v="2"/>
    <n v="18692.28"/>
    <x v="9"/>
    <n v="1"/>
    <x v="1055"/>
    <n v="0"/>
    <n v="1"/>
    <n v="4108.2299999999996"/>
    <n v="0"/>
    <n v="138"/>
    <x v="1"/>
    <x v="0"/>
    <x v="1"/>
    <x v="1176"/>
    <x v="1"/>
  </r>
  <r>
    <x v="1225"/>
    <x v="1"/>
    <n v="36323.910000000003"/>
    <x v="45"/>
    <n v="0"/>
    <x v="1056"/>
    <n v="0.4955"/>
    <n v="2"/>
    <n v="10177.6"/>
    <n v="12504.56"/>
    <n v="13"/>
    <x v="1"/>
    <x v="2"/>
    <x v="1"/>
    <x v="1177"/>
    <x v="1"/>
  </r>
  <r>
    <x v="1226"/>
    <x v="4"/>
    <n v="84353.03"/>
    <x v="15"/>
    <n v="1"/>
    <x v="1057"/>
    <n v="0.34339999999999998"/>
    <n v="2"/>
    <n v="37569.449999999997"/>
    <n v="27450.74"/>
    <n v="144"/>
    <x v="0"/>
    <x v="2"/>
    <x v="2"/>
    <x v="1178"/>
    <x v="1"/>
  </r>
  <r>
    <x v="1227"/>
    <x v="5"/>
    <n v="118383.07"/>
    <x v="15"/>
    <n v="0"/>
    <x v="1058"/>
    <n v="0.30840000000000001"/>
    <n v="0"/>
    <n v="58494.7"/>
    <n v="34078.379999999997"/>
    <n v="168"/>
    <x v="3"/>
    <x v="2"/>
    <x v="1"/>
    <x v="1179"/>
    <x v="1"/>
  </r>
  <r>
    <x v="1228"/>
    <x v="0"/>
    <n v="110838.36"/>
    <x v="5"/>
    <n v="0"/>
    <x v="1059"/>
    <n v="0.50980000000000003"/>
    <n v="2"/>
    <n v="89490.42"/>
    <n v="43321.4"/>
    <n v="32"/>
    <x v="0"/>
    <x v="0"/>
    <x v="0"/>
    <x v="1180"/>
    <x v="1"/>
  </r>
  <r>
    <x v="1229"/>
    <x v="4"/>
    <n v="53647.03"/>
    <x v="33"/>
    <n v="0"/>
    <x v="21"/>
    <n v="0"/>
    <n v="3"/>
    <n v="32485.599999999999"/>
    <n v="4909.34"/>
    <n v="49"/>
    <x v="1"/>
    <x v="2"/>
    <x v="2"/>
    <x v="1181"/>
    <x v="1"/>
  </r>
  <r>
    <x v="1230"/>
    <x v="0"/>
    <n v="12859.97"/>
    <x v="3"/>
    <n v="0"/>
    <x v="33"/>
    <n v="0.79730000000000001"/>
    <n v="7"/>
    <n v="16855.3"/>
    <n v="9619.65"/>
    <n v="106"/>
    <x v="1"/>
    <x v="0"/>
    <x v="1"/>
    <x v="1182"/>
    <x v="1"/>
  </r>
  <r>
    <x v="1231"/>
    <x v="5"/>
    <n v="76637.649999999994"/>
    <x v="40"/>
    <n v="1"/>
    <x v="1060"/>
    <n v="0.70620000000000005"/>
    <n v="4"/>
    <n v="28311.49"/>
    <n v="16404.439999999999"/>
    <n v="7"/>
    <x v="0"/>
    <x v="2"/>
    <x v="0"/>
    <x v="1183"/>
    <x v="1"/>
  </r>
  <r>
    <x v="1232"/>
    <x v="4"/>
    <n v="31149.26"/>
    <x v="38"/>
    <n v="1"/>
    <x v="1061"/>
    <n v="0.68969999999999998"/>
    <n v="3"/>
    <n v="26582.07"/>
    <n v="22446.25"/>
    <n v="91"/>
    <x v="1"/>
    <x v="0"/>
    <x v="0"/>
    <x v="1184"/>
    <x v="1"/>
  </r>
  <r>
    <x v="1233"/>
    <x v="2"/>
    <n v="63750.58"/>
    <x v="10"/>
    <n v="1"/>
    <x v="1062"/>
    <n v="0.51480000000000004"/>
    <n v="4"/>
    <n v="23908.13"/>
    <n v="17039.45"/>
    <n v="164"/>
    <x v="2"/>
    <x v="2"/>
    <x v="1"/>
    <x v="1185"/>
    <x v="1"/>
  </r>
  <r>
    <x v="1234"/>
    <x v="3"/>
    <n v="57202.67"/>
    <x v="29"/>
    <n v="1"/>
    <x v="922"/>
    <n v="0.19339999999999999"/>
    <n v="2"/>
    <n v="31846.01"/>
    <n v="22488.91"/>
    <n v="44"/>
    <x v="1"/>
    <x v="2"/>
    <x v="0"/>
    <x v="1186"/>
    <x v="1"/>
  </r>
  <r>
    <x v="1235"/>
    <x v="1"/>
    <n v="65524.59"/>
    <x v="21"/>
    <n v="1"/>
    <x v="1063"/>
    <n v="0.62050000000000005"/>
    <n v="0"/>
    <n v="31149.99"/>
    <n v="19023.28"/>
    <n v="149"/>
    <x v="0"/>
    <x v="2"/>
    <x v="0"/>
    <x v="1187"/>
    <x v="1"/>
  </r>
  <r>
    <x v="1236"/>
    <x v="3"/>
    <n v="86777.61"/>
    <x v="9"/>
    <n v="0"/>
    <x v="1064"/>
    <n v="0"/>
    <n v="0"/>
    <n v="500"/>
    <n v="4248.51"/>
    <n v="41"/>
    <x v="2"/>
    <x v="2"/>
    <x v="2"/>
    <x v="1188"/>
    <x v="1"/>
  </r>
  <r>
    <x v="1237"/>
    <x v="4"/>
    <n v="43936.24"/>
    <x v="27"/>
    <n v="0"/>
    <x v="1065"/>
    <n v="0.27010000000000001"/>
    <n v="2"/>
    <n v="500"/>
    <n v="0"/>
    <n v="41"/>
    <x v="1"/>
    <x v="0"/>
    <x v="0"/>
    <x v="1189"/>
    <x v="1"/>
  </r>
  <r>
    <x v="1238"/>
    <x v="5"/>
    <n v="62720.57"/>
    <x v="33"/>
    <n v="1"/>
    <x v="1066"/>
    <n v="0.37190000000000001"/>
    <n v="0"/>
    <n v="3592.41"/>
    <n v="14264.12"/>
    <n v="163"/>
    <x v="0"/>
    <x v="2"/>
    <x v="0"/>
    <x v="1190"/>
    <x v="1"/>
  </r>
  <r>
    <x v="1239"/>
    <x v="4"/>
    <n v="75108.69"/>
    <x v="20"/>
    <n v="0"/>
    <x v="1067"/>
    <n v="0.49809999999999999"/>
    <n v="6"/>
    <n v="59502.63"/>
    <n v="38364.11"/>
    <n v="84"/>
    <x v="1"/>
    <x v="0"/>
    <x v="1"/>
    <x v="1191"/>
    <x v="1"/>
  </r>
  <r>
    <x v="1240"/>
    <x v="3"/>
    <n v="113051.26"/>
    <x v="38"/>
    <n v="1"/>
    <x v="1068"/>
    <n v="0.55349999999999999"/>
    <n v="0"/>
    <n v="64015.98"/>
    <n v="43186.559999999998"/>
    <n v="93"/>
    <x v="1"/>
    <x v="2"/>
    <x v="1"/>
    <x v="1192"/>
    <x v="1"/>
  </r>
  <r>
    <x v="1241"/>
    <x v="5"/>
    <n v="123162.77"/>
    <x v="34"/>
    <n v="1"/>
    <x v="1069"/>
    <n v="0.8609"/>
    <n v="3"/>
    <n v="103739.14"/>
    <n v="42884.79"/>
    <n v="131"/>
    <x v="0"/>
    <x v="1"/>
    <x v="1"/>
    <x v="1193"/>
    <x v="1"/>
  </r>
  <r>
    <x v="1242"/>
    <x v="4"/>
    <n v="4703.28"/>
    <x v="46"/>
    <n v="1"/>
    <x v="1070"/>
    <n v="0.36020000000000002"/>
    <n v="1"/>
    <n v="500"/>
    <n v="7253.47"/>
    <n v="39"/>
    <x v="1"/>
    <x v="2"/>
    <x v="1"/>
    <x v="1194"/>
    <x v="1"/>
  </r>
  <r>
    <x v="1243"/>
    <x v="1"/>
    <n v="127527.96"/>
    <x v="28"/>
    <n v="0"/>
    <x v="1071"/>
    <n v="0.32690000000000002"/>
    <n v="3"/>
    <n v="58310.36"/>
    <n v="36617.120000000003"/>
    <n v="54"/>
    <x v="2"/>
    <x v="0"/>
    <x v="1"/>
    <x v="1195"/>
    <x v="1"/>
  </r>
  <r>
    <x v="1244"/>
    <x v="2"/>
    <n v="51316.41"/>
    <x v="26"/>
    <n v="1"/>
    <x v="1072"/>
    <n v="0.60319999999999996"/>
    <n v="5"/>
    <n v="37456.74"/>
    <n v="22320.26"/>
    <n v="68"/>
    <x v="1"/>
    <x v="0"/>
    <x v="0"/>
    <x v="1196"/>
    <x v="1"/>
  </r>
  <r>
    <x v="1245"/>
    <x v="5"/>
    <n v="76530.399999999994"/>
    <x v="27"/>
    <n v="1"/>
    <x v="1073"/>
    <n v="0.45350000000000001"/>
    <n v="5"/>
    <n v="43322.73"/>
    <n v="29280.35"/>
    <n v="128"/>
    <x v="1"/>
    <x v="0"/>
    <x v="3"/>
    <x v="1197"/>
    <x v="1"/>
  </r>
  <r>
    <x v="1246"/>
    <x v="3"/>
    <n v="87617.4"/>
    <x v="36"/>
    <n v="0"/>
    <x v="1074"/>
    <n v="0.7883"/>
    <n v="1"/>
    <n v="59562.01"/>
    <n v="52946.18"/>
    <n v="136"/>
    <x v="2"/>
    <x v="2"/>
    <x v="1"/>
    <x v="1198"/>
    <x v="1"/>
  </r>
  <r>
    <x v="1247"/>
    <x v="1"/>
    <n v="134372.10999999999"/>
    <x v="2"/>
    <n v="1"/>
    <x v="1075"/>
    <n v="0.59740000000000004"/>
    <n v="4"/>
    <n v="94945.57"/>
    <n v="63601.78"/>
    <n v="22"/>
    <x v="1"/>
    <x v="0"/>
    <x v="0"/>
    <x v="1199"/>
    <x v="1"/>
  </r>
  <r>
    <x v="1248"/>
    <x v="5"/>
    <n v="101848.09"/>
    <x v="16"/>
    <n v="1"/>
    <x v="1076"/>
    <n v="1"/>
    <n v="4"/>
    <n v="113757.17"/>
    <n v="85659.76"/>
    <n v="50"/>
    <x v="0"/>
    <x v="1"/>
    <x v="2"/>
    <x v="1200"/>
    <x v="1"/>
  </r>
  <r>
    <x v="1249"/>
    <x v="0"/>
    <n v="135196.04"/>
    <x v="2"/>
    <n v="1"/>
    <x v="1077"/>
    <n v="0"/>
    <n v="0"/>
    <n v="500"/>
    <n v="0"/>
    <n v="146"/>
    <x v="0"/>
    <x v="2"/>
    <x v="0"/>
    <x v="1201"/>
    <x v="1"/>
  </r>
  <r>
    <x v="1250"/>
    <x v="4"/>
    <n v="167417.54999999999"/>
    <x v="49"/>
    <n v="1"/>
    <x v="234"/>
    <n v="0.4924"/>
    <n v="5"/>
    <n v="76861.5"/>
    <n v="57616.37"/>
    <n v="131"/>
    <x v="1"/>
    <x v="0"/>
    <x v="1"/>
    <x v="1202"/>
    <x v="1"/>
  </r>
  <r>
    <x v="1251"/>
    <x v="4"/>
    <n v="91157.52"/>
    <x v="18"/>
    <n v="1"/>
    <x v="1078"/>
    <n v="0.28389999999999999"/>
    <n v="2"/>
    <n v="37330.300000000003"/>
    <n v="34161.83"/>
    <n v="162"/>
    <x v="1"/>
    <x v="0"/>
    <x v="2"/>
    <x v="1203"/>
    <x v="1"/>
  </r>
  <r>
    <x v="1252"/>
    <x v="3"/>
    <n v="124324.35"/>
    <x v="45"/>
    <n v="1"/>
    <x v="1079"/>
    <n v="0.45989999999999998"/>
    <n v="4"/>
    <n v="61756.08"/>
    <n v="37812.480000000003"/>
    <n v="69"/>
    <x v="1"/>
    <x v="2"/>
    <x v="1"/>
    <x v="1204"/>
    <x v="1"/>
  </r>
  <r>
    <x v="1253"/>
    <x v="1"/>
    <n v="51845.84"/>
    <x v="47"/>
    <n v="0"/>
    <x v="1080"/>
    <n v="0.2641"/>
    <n v="0"/>
    <n v="4498.38"/>
    <n v="8450.48"/>
    <n v="44"/>
    <x v="0"/>
    <x v="2"/>
    <x v="3"/>
    <x v="1205"/>
    <x v="1"/>
  </r>
  <r>
    <x v="1254"/>
    <x v="1"/>
    <n v="42135.22"/>
    <x v="32"/>
    <n v="0"/>
    <x v="532"/>
    <n v="0.60529999999999995"/>
    <n v="2"/>
    <n v="39923.589999999997"/>
    <n v="45729.3"/>
    <n v="73"/>
    <x v="2"/>
    <x v="0"/>
    <x v="2"/>
    <x v="1206"/>
    <x v="1"/>
  </r>
  <r>
    <x v="1255"/>
    <x v="3"/>
    <n v="43640.17"/>
    <x v="17"/>
    <n v="1"/>
    <x v="1081"/>
    <n v="0.54320000000000002"/>
    <n v="2"/>
    <n v="1209.6400000000001"/>
    <n v="9262.91"/>
    <n v="97"/>
    <x v="0"/>
    <x v="2"/>
    <x v="0"/>
    <x v="1207"/>
    <x v="1"/>
  </r>
  <r>
    <x v="1256"/>
    <x v="3"/>
    <n v="129327.39"/>
    <x v="27"/>
    <n v="0"/>
    <x v="1082"/>
    <n v="0.44529999999999997"/>
    <n v="3"/>
    <n v="68492.31"/>
    <n v="37989.550000000003"/>
    <n v="105"/>
    <x v="1"/>
    <x v="2"/>
    <x v="2"/>
    <x v="1208"/>
    <x v="0"/>
  </r>
  <r>
    <x v="1257"/>
    <x v="5"/>
    <n v="80301.399999999994"/>
    <x v="44"/>
    <n v="1"/>
    <x v="24"/>
    <n v="0.25580000000000003"/>
    <n v="0"/>
    <n v="5768.88"/>
    <n v="16180.87"/>
    <n v="170"/>
    <x v="1"/>
    <x v="2"/>
    <x v="1"/>
    <x v="1209"/>
    <x v="1"/>
  </r>
  <r>
    <x v="1258"/>
    <x v="1"/>
    <n v="84254.88"/>
    <x v="30"/>
    <n v="0"/>
    <x v="1083"/>
    <n v="0.46360000000000001"/>
    <n v="4"/>
    <n v="51175.77"/>
    <n v="28468.77"/>
    <n v="20"/>
    <x v="1"/>
    <x v="0"/>
    <x v="0"/>
    <x v="31"/>
    <x v="1"/>
  </r>
  <r>
    <x v="1259"/>
    <x v="5"/>
    <n v="115655.49"/>
    <x v="16"/>
    <n v="0"/>
    <x v="1084"/>
    <n v="0.40029999999999999"/>
    <n v="4"/>
    <n v="56298.67"/>
    <n v="23426.75"/>
    <n v="35"/>
    <x v="0"/>
    <x v="0"/>
    <x v="1"/>
    <x v="1210"/>
    <x v="1"/>
  </r>
  <r>
    <x v="1260"/>
    <x v="1"/>
    <n v="41109.86"/>
    <x v="4"/>
    <n v="1"/>
    <x v="1085"/>
    <n v="0.47899999999999998"/>
    <n v="4"/>
    <n v="22698.77"/>
    <n v="4076.29"/>
    <n v="35"/>
    <x v="0"/>
    <x v="0"/>
    <x v="0"/>
    <x v="1211"/>
    <x v="1"/>
  </r>
  <r>
    <x v="1261"/>
    <x v="5"/>
    <n v="110718.48"/>
    <x v="46"/>
    <n v="0"/>
    <x v="1086"/>
    <n v="0.57279999999999998"/>
    <n v="3"/>
    <n v="45029.31"/>
    <n v="27196.82"/>
    <n v="165"/>
    <x v="1"/>
    <x v="0"/>
    <x v="0"/>
    <x v="1212"/>
    <x v="1"/>
  </r>
  <r>
    <x v="1262"/>
    <x v="2"/>
    <n v="67535.72"/>
    <x v="45"/>
    <n v="0"/>
    <x v="1087"/>
    <n v="0.25280000000000002"/>
    <n v="0"/>
    <n v="36670.300000000003"/>
    <n v="16098.23"/>
    <n v="139"/>
    <x v="0"/>
    <x v="2"/>
    <x v="0"/>
    <x v="1213"/>
    <x v="1"/>
  </r>
  <r>
    <x v="1263"/>
    <x v="2"/>
    <n v="111726.73"/>
    <x v="8"/>
    <n v="1"/>
    <x v="1088"/>
    <n v="0.58720000000000006"/>
    <n v="7"/>
    <n v="51602.32"/>
    <n v="24804.560000000001"/>
    <n v="40"/>
    <x v="0"/>
    <x v="0"/>
    <x v="0"/>
    <x v="1214"/>
    <x v="1"/>
  </r>
  <r>
    <x v="1264"/>
    <x v="2"/>
    <n v="31322.31"/>
    <x v="3"/>
    <n v="1"/>
    <x v="1089"/>
    <n v="0.63190000000000002"/>
    <n v="4"/>
    <n v="500"/>
    <n v="9963.7099999999991"/>
    <n v="173"/>
    <x v="0"/>
    <x v="1"/>
    <x v="1"/>
    <x v="1215"/>
    <x v="1"/>
  </r>
  <r>
    <x v="1265"/>
    <x v="0"/>
    <n v="72633.289999999994"/>
    <x v="16"/>
    <n v="0"/>
    <x v="1090"/>
    <n v="0.40100000000000002"/>
    <n v="7"/>
    <n v="51780.81"/>
    <n v="39160.68"/>
    <n v="114"/>
    <x v="2"/>
    <x v="2"/>
    <x v="1"/>
    <x v="1216"/>
    <x v="1"/>
  </r>
  <r>
    <x v="1266"/>
    <x v="0"/>
    <n v="91876.63"/>
    <x v="43"/>
    <n v="0"/>
    <x v="1091"/>
    <n v="0.39419999999999999"/>
    <n v="3"/>
    <n v="35814.1"/>
    <n v="18187.04"/>
    <n v="42"/>
    <x v="3"/>
    <x v="1"/>
    <x v="0"/>
    <x v="1217"/>
    <x v="1"/>
  </r>
  <r>
    <x v="1267"/>
    <x v="0"/>
    <n v="110414.62"/>
    <x v="7"/>
    <n v="1"/>
    <x v="1092"/>
    <n v="0.54849999999999999"/>
    <n v="2"/>
    <n v="49493.78"/>
    <n v="32637.759999999998"/>
    <n v="115"/>
    <x v="2"/>
    <x v="0"/>
    <x v="0"/>
    <x v="1218"/>
    <x v="1"/>
  </r>
  <r>
    <x v="1268"/>
    <x v="4"/>
    <n v="77217.58"/>
    <x v="2"/>
    <n v="0"/>
    <x v="1093"/>
    <n v="0.29330000000000001"/>
    <n v="3"/>
    <n v="41130.980000000003"/>
    <n v="21331.25"/>
    <n v="167"/>
    <x v="1"/>
    <x v="0"/>
    <x v="1"/>
    <x v="1219"/>
    <x v="1"/>
  </r>
  <r>
    <x v="1269"/>
    <x v="5"/>
    <n v="123266.89"/>
    <x v="26"/>
    <n v="0"/>
    <x v="1094"/>
    <n v="0.81100000000000005"/>
    <n v="7"/>
    <n v="94764.02"/>
    <n v="54712.58"/>
    <n v="114"/>
    <x v="2"/>
    <x v="0"/>
    <x v="0"/>
    <x v="1220"/>
    <x v="1"/>
  </r>
  <r>
    <x v="1270"/>
    <x v="4"/>
    <n v="19705.88"/>
    <x v="3"/>
    <n v="0"/>
    <x v="1095"/>
    <n v="0.29480000000000001"/>
    <n v="6"/>
    <n v="16565.599999999999"/>
    <n v="5033.83"/>
    <n v="33"/>
    <x v="0"/>
    <x v="2"/>
    <x v="1"/>
    <x v="1221"/>
    <x v="0"/>
  </r>
  <r>
    <x v="1271"/>
    <x v="5"/>
    <n v="90232.05"/>
    <x v="38"/>
    <n v="1"/>
    <x v="1096"/>
    <n v="0.11269999999999999"/>
    <n v="2"/>
    <n v="11013.3"/>
    <n v="19848.189999999999"/>
    <n v="147"/>
    <x v="0"/>
    <x v="0"/>
    <x v="0"/>
    <x v="1222"/>
    <x v="1"/>
  </r>
  <r>
    <x v="1272"/>
    <x v="3"/>
    <n v="42860.58"/>
    <x v="39"/>
    <n v="0"/>
    <x v="1097"/>
    <n v="0.1101"/>
    <n v="0"/>
    <n v="13247.58"/>
    <n v="0"/>
    <n v="120"/>
    <x v="0"/>
    <x v="2"/>
    <x v="2"/>
    <x v="1223"/>
    <x v="1"/>
  </r>
  <r>
    <x v="1273"/>
    <x v="2"/>
    <n v="115913.61"/>
    <x v="14"/>
    <n v="1"/>
    <x v="1098"/>
    <n v="0.46939999999999998"/>
    <n v="1"/>
    <n v="57692.03"/>
    <n v="34079.040000000001"/>
    <n v="26"/>
    <x v="3"/>
    <x v="2"/>
    <x v="0"/>
    <x v="1224"/>
    <x v="1"/>
  </r>
  <r>
    <x v="1274"/>
    <x v="2"/>
    <n v="140192.76999999999"/>
    <x v="1"/>
    <n v="1"/>
    <x v="1099"/>
    <n v="0.44890000000000002"/>
    <n v="2"/>
    <n v="61971.19"/>
    <n v="38773.480000000003"/>
    <n v="150"/>
    <x v="1"/>
    <x v="0"/>
    <x v="2"/>
    <x v="1225"/>
    <x v="1"/>
  </r>
  <r>
    <x v="1275"/>
    <x v="1"/>
    <n v="46179.75"/>
    <x v="31"/>
    <n v="1"/>
    <x v="117"/>
    <n v="0.46139999999999998"/>
    <n v="3"/>
    <n v="22384.03"/>
    <n v="18970.939999999999"/>
    <n v="57"/>
    <x v="1"/>
    <x v="0"/>
    <x v="2"/>
    <x v="1226"/>
    <x v="1"/>
  </r>
  <r>
    <x v="1276"/>
    <x v="5"/>
    <n v="165786.70000000001"/>
    <x v="37"/>
    <n v="1"/>
    <x v="1100"/>
    <n v="0.26910000000000001"/>
    <n v="2"/>
    <n v="41311.360000000001"/>
    <n v="27440.99"/>
    <n v="67"/>
    <x v="2"/>
    <x v="2"/>
    <x v="1"/>
    <x v="24"/>
    <x v="1"/>
  </r>
  <r>
    <x v="1277"/>
    <x v="2"/>
    <n v="115174.99"/>
    <x v="29"/>
    <n v="1"/>
    <x v="24"/>
    <n v="0.78120000000000001"/>
    <n v="4"/>
    <n v="87561.43"/>
    <n v="73674.61"/>
    <n v="120"/>
    <x v="1"/>
    <x v="2"/>
    <x v="0"/>
    <x v="1227"/>
    <x v="1"/>
  </r>
  <r>
    <x v="1278"/>
    <x v="3"/>
    <n v="155160.53"/>
    <x v="16"/>
    <n v="1"/>
    <x v="1101"/>
    <n v="0.43769999999999998"/>
    <n v="6"/>
    <n v="41581.08"/>
    <n v="24110.65"/>
    <n v="150"/>
    <x v="2"/>
    <x v="2"/>
    <x v="1"/>
    <x v="1228"/>
    <x v="1"/>
  </r>
  <r>
    <x v="1279"/>
    <x v="2"/>
    <n v="93477.51"/>
    <x v="47"/>
    <n v="0"/>
    <x v="24"/>
    <n v="0.57589999999999997"/>
    <n v="6"/>
    <n v="59244.83"/>
    <n v="32866.82"/>
    <n v="82"/>
    <x v="1"/>
    <x v="2"/>
    <x v="1"/>
    <x v="1229"/>
    <x v="1"/>
  </r>
  <r>
    <x v="1280"/>
    <x v="5"/>
    <n v="101481.36"/>
    <x v="7"/>
    <n v="0"/>
    <x v="1102"/>
    <n v="0.1678"/>
    <n v="0"/>
    <n v="23376.68"/>
    <n v="23787.19"/>
    <n v="36"/>
    <x v="2"/>
    <x v="0"/>
    <x v="1"/>
    <x v="1230"/>
    <x v="1"/>
  </r>
  <r>
    <x v="1281"/>
    <x v="1"/>
    <n v="134642.98000000001"/>
    <x v="2"/>
    <n v="0"/>
    <x v="1103"/>
    <n v="0.63129999999999997"/>
    <n v="6"/>
    <n v="79925.98"/>
    <n v="53285.59"/>
    <n v="50"/>
    <x v="2"/>
    <x v="0"/>
    <x v="0"/>
    <x v="1231"/>
    <x v="1"/>
  </r>
  <r>
    <x v="1282"/>
    <x v="4"/>
    <n v="30109.48"/>
    <x v="34"/>
    <n v="1"/>
    <x v="1062"/>
    <n v="0"/>
    <n v="0"/>
    <n v="16297.99"/>
    <n v="10677.82"/>
    <n v="9"/>
    <x v="0"/>
    <x v="2"/>
    <x v="0"/>
    <x v="1232"/>
    <x v="1"/>
  </r>
  <r>
    <x v="1283"/>
    <x v="4"/>
    <n v="31577.7"/>
    <x v="41"/>
    <n v="0"/>
    <x v="1104"/>
    <n v="0.44619999999999999"/>
    <n v="0"/>
    <n v="11376.2"/>
    <n v="3993.94"/>
    <n v="28"/>
    <x v="1"/>
    <x v="2"/>
    <x v="1"/>
    <x v="1233"/>
    <x v="1"/>
  </r>
  <r>
    <x v="1284"/>
    <x v="5"/>
    <n v="44974.86"/>
    <x v="19"/>
    <n v="1"/>
    <x v="1105"/>
    <n v="0.87780000000000002"/>
    <n v="7"/>
    <n v="72638.66"/>
    <n v="35684.06"/>
    <n v="27"/>
    <x v="0"/>
    <x v="2"/>
    <x v="1"/>
    <x v="1234"/>
    <x v="1"/>
  </r>
  <r>
    <x v="1285"/>
    <x v="0"/>
    <n v="63685.66"/>
    <x v="27"/>
    <n v="0"/>
    <x v="1106"/>
    <n v="0.12720000000000001"/>
    <n v="2"/>
    <n v="4340.88"/>
    <n v="707.79"/>
    <n v="143"/>
    <x v="1"/>
    <x v="2"/>
    <x v="0"/>
    <x v="1235"/>
    <x v="1"/>
  </r>
  <r>
    <x v="1286"/>
    <x v="0"/>
    <n v="171853.34"/>
    <x v="28"/>
    <n v="1"/>
    <x v="1107"/>
    <n v="0.96379999999999999"/>
    <n v="4"/>
    <n v="175680.55"/>
    <n v="120225.12"/>
    <n v="41"/>
    <x v="0"/>
    <x v="0"/>
    <x v="2"/>
    <x v="1236"/>
    <x v="1"/>
  </r>
  <r>
    <x v="1287"/>
    <x v="3"/>
    <n v="53444.86"/>
    <x v="5"/>
    <n v="0"/>
    <x v="1108"/>
    <n v="0.28360000000000002"/>
    <n v="0"/>
    <n v="14467.22"/>
    <n v="13624.32"/>
    <n v="12"/>
    <x v="0"/>
    <x v="0"/>
    <x v="1"/>
    <x v="1237"/>
    <x v="1"/>
  </r>
  <r>
    <x v="1288"/>
    <x v="2"/>
    <n v="161966.29999999999"/>
    <x v="1"/>
    <n v="1"/>
    <x v="1109"/>
    <n v="0.32300000000000001"/>
    <n v="3"/>
    <n v="46897.64"/>
    <n v="33914.29"/>
    <n v="171"/>
    <x v="1"/>
    <x v="1"/>
    <x v="1"/>
    <x v="1238"/>
    <x v="1"/>
  </r>
  <r>
    <x v="1289"/>
    <x v="3"/>
    <n v="90164.52"/>
    <x v="44"/>
    <n v="0"/>
    <x v="1110"/>
    <n v="0.24590000000000001"/>
    <n v="3"/>
    <n v="17305.12"/>
    <n v="9402.58"/>
    <n v="177"/>
    <x v="2"/>
    <x v="0"/>
    <x v="1"/>
    <x v="1239"/>
    <x v="1"/>
  </r>
  <r>
    <x v="1290"/>
    <x v="1"/>
    <n v="62449.08"/>
    <x v="38"/>
    <n v="0"/>
    <x v="1111"/>
    <n v="0.376"/>
    <n v="6"/>
    <n v="27406.46"/>
    <n v="9666.76"/>
    <n v="96"/>
    <x v="1"/>
    <x v="0"/>
    <x v="1"/>
    <x v="1240"/>
    <x v="1"/>
  </r>
  <r>
    <x v="1291"/>
    <x v="0"/>
    <n v="142028.01"/>
    <x v="20"/>
    <n v="0"/>
    <x v="1112"/>
    <n v="0.34160000000000001"/>
    <n v="2"/>
    <n v="34690.31"/>
    <n v="23333.31"/>
    <n v="174"/>
    <x v="1"/>
    <x v="0"/>
    <x v="0"/>
    <x v="1241"/>
    <x v="1"/>
  </r>
  <r>
    <x v="1292"/>
    <x v="2"/>
    <n v="52744.959999999999"/>
    <x v="24"/>
    <n v="1"/>
    <x v="1113"/>
    <n v="0.32929999999999998"/>
    <n v="5"/>
    <n v="8921.25"/>
    <n v="9646.16"/>
    <n v="73"/>
    <x v="2"/>
    <x v="0"/>
    <x v="0"/>
    <x v="1242"/>
    <x v="1"/>
  </r>
  <r>
    <x v="1293"/>
    <x v="1"/>
    <n v="88104.08"/>
    <x v="36"/>
    <n v="1"/>
    <x v="1114"/>
    <n v="0.35670000000000002"/>
    <n v="6"/>
    <n v="64408.47"/>
    <n v="33255.01"/>
    <n v="167"/>
    <x v="1"/>
    <x v="2"/>
    <x v="0"/>
    <x v="1243"/>
    <x v="1"/>
  </r>
  <r>
    <x v="1294"/>
    <x v="3"/>
    <n v="18979.55"/>
    <x v="5"/>
    <n v="1"/>
    <x v="102"/>
    <n v="0.37480000000000002"/>
    <n v="4"/>
    <n v="3565.8"/>
    <n v="0"/>
    <n v="16"/>
    <x v="2"/>
    <x v="0"/>
    <x v="0"/>
    <x v="1244"/>
    <x v="1"/>
  </r>
  <r>
    <x v="1295"/>
    <x v="2"/>
    <n v="107638.41"/>
    <x v="46"/>
    <n v="0"/>
    <x v="1115"/>
    <n v="0.34389999999999998"/>
    <n v="6"/>
    <n v="40933.4"/>
    <n v="29502.75"/>
    <n v="34"/>
    <x v="1"/>
    <x v="2"/>
    <x v="1"/>
    <x v="1245"/>
    <x v="1"/>
  </r>
  <r>
    <x v="1296"/>
    <x v="0"/>
    <n v="92100.44"/>
    <x v="44"/>
    <n v="0"/>
    <x v="1116"/>
    <n v="0.90800000000000003"/>
    <n v="5"/>
    <n v="82050.73"/>
    <n v="43187.03"/>
    <n v="60"/>
    <x v="1"/>
    <x v="0"/>
    <x v="0"/>
    <x v="1246"/>
    <x v="1"/>
  </r>
  <r>
    <x v="681"/>
    <x v="4"/>
    <n v="121359.18"/>
    <x v="10"/>
    <n v="0"/>
    <x v="1117"/>
    <n v="0.3614"/>
    <n v="0"/>
    <n v="68398.960000000006"/>
    <n v="48993.24"/>
    <n v="77"/>
    <x v="2"/>
    <x v="0"/>
    <x v="0"/>
    <x v="1247"/>
    <x v="1"/>
  </r>
  <r>
    <x v="1297"/>
    <x v="3"/>
    <n v="31167.43"/>
    <x v="1"/>
    <n v="0"/>
    <x v="1118"/>
    <n v="0.3347"/>
    <n v="1"/>
    <n v="14083.86"/>
    <n v="2211.81"/>
    <n v="22"/>
    <x v="1"/>
    <x v="2"/>
    <x v="2"/>
    <x v="1248"/>
    <x v="1"/>
  </r>
  <r>
    <x v="1298"/>
    <x v="3"/>
    <n v="83084.69"/>
    <x v="20"/>
    <n v="1"/>
    <x v="1119"/>
    <n v="0.71030000000000004"/>
    <n v="4"/>
    <n v="37854.68"/>
    <n v="6365.26"/>
    <n v="6"/>
    <x v="2"/>
    <x v="0"/>
    <x v="1"/>
    <x v="1249"/>
    <x v="1"/>
  </r>
  <r>
    <x v="165"/>
    <x v="3"/>
    <n v="121385.57"/>
    <x v="42"/>
    <n v="0"/>
    <x v="682"/>
    <n v="0.4677"/>
    <n v="2"/>
    <n v="58741.5"/>
    <n v="48770.59"/>
    <n v="53"/>
    <x v="2"/>
    <x v="2"/>
    <x v="2"/>
    <x v="1250"/>
    <x v="1"/>
  </r>
  <r>
    <x v="1299"/>
    <x v="3"/>
    <n v="72275.289999999994"/>
    <x v="18"/>
    <n v="1"/>
    <x v="1120"/>
    <n v="8.6800000000000002E-2"/>
    <n v="0"/>
    <n v="500"/>
    <n v="0"/>
    <n v="151"/>
    <x v="0"/>
    <x v="2"/>
    <x v="0"/>
    <x v="1251"/>
    <x v="1"/>
  </r>
  <r>
    <x v="1300"/>
    <x v="5"/>
    <n v="87250.69"/>
    <x v="4"/>
    <n v="1"/>
    <x v="1121"/>
    <n v="0.52259999999999995"/>
    <n v="3"/>
    <n v="59029.93"/>
    <n v="52329.84"/>
    <n v="52"/>
    <x v="0"/>
    <x v="2"/>
    <x v="1"/>
    <x v="1252"/>
    <x v="1"/>
  </r>
  <r>
    <x v="1301"/>
    <x v="2"/>
    <n v="143212.34"/>
    <x v="20"/>
    <n v="1"/>
    <x v="1122"/>
    <n v="0.43380000000000002"/>
    <n v="1"/>
    <n v="64640.73"/>
    <n v="45610.18"/>
    <n v="158"/>
    <x v="1"/>
    <x v="2"/>
    <x v="2"/>
    <x v="1253"/>
    <x v="1"/>
  </r>
  <r>
    <x v="1302"/>
    <x v="0"/>
    <n v="71781.34"/>
    <x v="47"/>
    <n v="0"/>
    <x v="1123"/>
    <n v="0.33119999999999999"/>
    <n v="1"/>
    <n v="12029.24"/>
    <n v="5684.42"/>
    <n v="159"/>
    <x v="0"/>
    <x v="0"/>
    <x v="0"/>
    <x v="1254"/>
    <x v="1"/>
  </r>
  <r>
    <x v="1303"/>
    <x v="1"/>
    <n v="53582.89"/>
    <x v="41"/>
    <n v="0"/>
    <x v="1124"/>
    <n v="1"/>
    <n v="5"/>
    <n v="58235.14"/>
    <n v="61374.79"/>
    <n v="180"/>
    <x v="2"/>
    <x v="2"/>
    <x v="1"/>
    <x v="1255"/>
    <x v="1"/>
  </r>
  <r>
    <x v="1304"/>
    <x v="4"/>
    <n v="41561.339999999997"/>
    <x v="12"/>
    <n v="1"/>
    <x v="1125"/>
    <n v="0.27579999999999999"/>
    <n v="4"/>
    <n v="26079.919999999998"/>
    <n v="31311.07"/>
    <n v="85"/>
    <x v="0"/>
    <x v="2"/>
    <x v="1"/>
    <x v="1256"/>
    <x v="1"/>
  </r>
  <r>
    <x v="1305"/>
    <x v="5"/>
    <n v="109558.06"/>
    <x v="46"/>
    <n v="0"/>
    <x v="857"/>
    <n v="0.18970000000000001"/>
    <n v="1"/>
    <n v="30401.200000000001"/>
    <n v="23920.76"/>
    <n v="13"/>
    <x v="1"/>
    <x v="0"/>
    <x v="1"/>
    <x v="1257"/>
    <x v="1"/>
  </r>
  <r>
    <x v="1306"/>
    <x v="1"/>
    <n v="53618.62"/>
    <x v="41"/>
    <n v="0"/>
    <x v="1126"/>
    <n v="0.49719999999999998"/>
    <n v="2"/>
    <n v="6337.45"/>
    <n v="10662.04"/>
    <n v="19"/>
    <x v="0"/>
    <x v="2"/>
    <x v="1"/>
    <x v="1258"/>
    <x v="0"/>
  </r>
  <r>
    <x v="1307"/>
    <x v="2"/>
    <n v="174050.03"/>
    <x v="8"/>
    <n v="1"/>
    <x v="1127"/>
    <n v="0.62190000000000001"/>
    <n v="4"/>
    <n v="114080.3"/>
    <n v="67243.59"/>
    <n v="121"/>
    <x v="1"/>
    <x v="2"/>
    <x v="1"/>
    <x v="265"/>
    <x v="1"/>
  </r>
  <r>
    <x v="1308"/>
    <x v="2"/>
    <n v="27803.47"/>
    <x v="26"/>
    <n v="1"/>
    <x v="1128"/>
    <n v="0.4541"/>
    <n v="3"/>
    <n v="23334.76"/>
    <n v="20808.349999999999"/>
    <n v="31"/>
    <x v="0"/>
    <x v="1"/>
    <x v="2"/>
    <x v="1259"/>
    <x v="1"/>
  </r>
  <r>
    <x v="1309"/>
    <x v="0"/>
    <n v="58610.9"/>
    <x v="24"/>
    <n v="0"/>
    <x v="1129"/>
    <n v="0.45679999999999998"/>
    <n v="3"/>
    <n v="500"/>
    <n v="9365.06"/>
    <n v="138"/>
    <x v="3"/>
    <x v="0"/>
    <x v="1"/>
    <x v="1260"/>
    <x v="1"/>
  </r>
  <r>
    <x v="1310"/>
    <x v="1"/>
    <n v="96093.96"/>
    <x v="17"/>
    <n v="0"/>
    <x v="1130"/>
    <n v="0"/>
    <n v="0"/>
    <n v="500"/>
    <n v="5186.58"/>
    <n v="9"/>
    <x v="2"/>
    <x v="0"/>
    <x v="0"/>
    <x v="1261"/>
    <x v="1"/>
  </r>
  <r>
    <x v="1311"/>
    <x v="0"/>
    <n v="11769.75"/>
    <x v="24"/>
    <n v="1"/>
    <x v="1131"/>
    <n v="0.308"/>
    <n v="1"/>
    <n v="500"/>
    <n v="9610.9500000000007"/>
    <n v="64"/>
    <x v="1"/>
    <x v="2"/>
    <x v="0"/>
    <x v="1262"/>
    <x v="1"/>
  </r>
  <r>
    <x v="1312"/>
    <x v="3"/>
    <n v="65968.570000000007"/>
    <x v="11"/>
    <n v="0"/>
    <x v="1132"/>
    <n v="0.12770000000000001"/>
    <n v="1"/>
    <n v="500"/>
    <n v="12226.06"/>
    <n v="49"/>
    <x v="1"/>
    <x v="0"/>
    <x v="1"/>
    <x v="1263"/>
    <x v="1"/>
  </r>
  <r>
    <x v="1313"/>
    <x v="1"/>
    <n v="111486.86"/>
    <x v="11"/>
    <n v="1"/>
    <x v="1133"/>
    <n v="0.62"/>
    <n v="4"/>
    <n v="95903.67"/>
    <n v="72231.399999999994"/>
    <n v="14"/>
    <x v="1"/>
    <x v="0"/>
    <x v="0"/>
    <x v="1264"/>
    <x v="1"/>
  </r>
  <r>
    <x v="1314"/>
    <x v="4"/>
    <n v="66413.16"/>
    <x v="36"/>
    <n v="1"/>
    <x v="1134"/>
    <n v="0.73050000000000004"/>
    <n v="1"/>
    <n v="55810.9"/>
    <n v="36670.629999999997"/>
    <n v="55"/>
    <x v="0"/>
    <x v="2"/>
    <x v="0"/>
    <x v="1265"/>
    <x v="1"/>
  </r>
  <r>
    <x v="1315"/>
    <x v="3"/>
    <n v="28321.56"/>
    <x v="7"/>
    <n v="0"/>
    <x v="1135"/>
    <n v="8.3000000000000004E-2"/>
    <n v="1"/>
    <n v="500"/>
    <n v="0"/>
    <n v="58"/>
    <x v="0"/>
    <x v="0"/>
    <x v="1"/>
    <x v="1266"/>
    <x v="1"/>
  </r>
  <r>
    <x v="1316"/>
    <x v="1"/>
    <n v="78786.92"/>
    <x v="40"/>
    <n v="0"/>
    <x v="1136"/>
    <n v="3.1300000000000001E-2"/>
    <n v="0"/>
    <n v="16037.02"/>
    <n v="0"/>
    <n v="96"/>
    <x v="1"/>
    <x v="2"/>
    <x v="0"/>
    <x v="1267"/>
    <x v="1"/>
  </r>
  <r>
    <x v="1317"/>
    <x v="2"/>
    <n v="39543.919999999998"/>
    <x v="18"/>
    <n v="1"/>
    <x v="507"/>
    <n v="0.2301"/>
    <n v="1"/>
    <n v="500"/>
    <n v="0"/>
    <n v="64"/>
    <x v="0"/>
    <x v="2"/>
    <x v="2"/>
    <x v="24"/>
    <x v="1"/>
  </r>
  <r>
    <x v="1318"/>
    <x v="1"/>
    <n v="121694.54"/>
    <x v="5"/>
    <n v="1"/>
    <x v="1137"/>
    <n v="0.42830000000000001"/>
    <n v="2"/>
    <n v="70876.37"/>
    <n v="32616.93"/>
    <n v="168"/>
    <x v="1"/>
    <x v="2"/>
    <x v="1"/>
    <x v="1268"/>
    <x v="1"/>
  </r>
  <r>
    <x v="1319"/>
    <x v="5"/>
    <n v="120931.51"/>
    <x v="28"/>
    <n v="0"/>
    <x v="1138"/>
    <n v="0.2077"/>
    <n v="2"/>
    <n v="35261.31"/>
    <n v="42697.71"/>
    <n v="72"/>
    <x v="0"/>
    <x v="0"/>
    <x v="1"/>
    <x v="1269"/>
    <x v="1"/>
  </r>
  <r>
    <x v="1320"/>
    <x v="1"/>
    <n v="139802.95000000001"/>
    <x v="22"/>
    <n v="0"/>
    <x v="1139"/>
    <n v="0.26019999999999999"/>
    <n v="1"/>
    <n v="31018.39"/>
    <n v="8746.86"/>
    <n v="9"/>
    <x v="1"/>
    <x v="2"/>
    <x v="2"/>
    <x v="1270"/>
    <x v="1"/>
  </r>
  <r>
    <x v="1321"/>
    <x v="3"/>
    <n v="50889.06"/>
    <x v="38"/>
    <n v="1"/>
    <x v="1140"/>
    <n v="0.62029999999999996"/>
    <n v="1"/>
    <n v="31243.9"/>
    <n v="32082.19"/>
    <n v="165"/>
    <x v="1"/>
    <x v="0"/>
    <x v="1"/>
    <x v="1271"/>
    <x v="1"/>
  </r>
  <r>
    <x v="1322"/>
    <x v="3"/>
    <n v="142788.15"/>
    <x v="20"/>
    <n v="0"/>
    <x v="24"/>
    <n v="0.22620000000000001"/>
    <n v="1"/>
    <n v="49410.559999999998"/>
    <n v="38682.160000000003"/>
    <n v="40"/>
    <x v="2"/>
    <x v="0"/>
    <x v="2"/>
    <x v="1272"/>
    <x v="1"/>
  </r>
  <r>
    <x v="1323"/>
    <x v="5"/>
    <n v="58750.22"/>
    <x v="14"/>
    <n v="1"/>
    <x v="24"/>
    <n v="0"/>
    <n v="0"/>
    <n v="500"/>
    <n v="0"/>
    <n v="39"/>
    <x v="2"/>
    <x v="2"/>
    <x v="1"/>
    <x v="1273"/>
    <x v="1"/>
  </r>
  <r>
    <x v="1324"/>
    <x v="5"/>
    <n v="107188.25"/>
    <x v="17"/>
    <n v="1"/>
    <x v="105"/>
    <n v="0.43759999999999999"/>
    <n v="2"/>
    <n v="63325.62"/>
    <n v="53730.55"/>
    <n v="146"/>
    <x v="1"/>
    <x v="0"/>
    <x v="2"/>
    <x v="1274"/>
    <x v="1"/>
  </r>
  <r>
    <x v="1325"/>
    <x v="2"/>
    <n v="69843.009999999995"/>
    <x v="42"/>
    <n v="1"/>
    <x v="24"/>
    <n v="0"/>
    <n v="0"/>
    <n v="500"/>
    <n v="1459.31"/>
    <n v="17"/>
    <x v="2"/>
    <x v="0"/>
    <x v="0"/>
    <x v="1275"/>
    <x v="1"/>
  </r>
  <r>
    <x v="1326"/>
    <x v="2"/>
    <n v="158669"/>
    <x v="48"/>
    <n v="0"/>
    <x v="1141"/>
    <n v="0.16300000000000001"/>
    <n v="2"/>
    <n v="29401.03"/>
    <n v="20913.759999999998"/>
    <n v="167"/>
    <x v="1"/>
    <x v="2"/>
    <x v="2"/>
    <x v="1276"/>
    <x v="1"/>
  </r>
  <r>
    <x v="1327"/>
    <x v="1"/>
    <n v="26133.18"/>
    <x v="40"/>
    <n v="0"/>
    <x v="1142"/>
    <n v="0.50490000000000002"/>
    <n v="1"/>
    <n v="32407.75"/>
    <n v="19607.28"/>
    <n v="66"/>
    <x v="2"/>
    <x v="0"/>
    <x v="0"/>
    <x v="1277"/>
    <x v="1"/>
  </r>
  <r>
    <x v="1328"/>
    <x v="3"/>
    <n v="146303.73000000001"/>
    <x v="11"/>
    <n v="0"/>
    <x v="334"/>
    <n v="0.6744"/>
    <n v="5"/>
    <n v="76656.86"/>
    <n v="55620.480000000003"/>
    <n v="146"/>
    <x v="1"/>
    <x v="0"/>
    <x v="0"/>
    <x v="342"/>
    <x v="1"/>
  </r>
  <r>
    <x v="1329"/>
    <x v="4"/>
    <n v="45344.04"/>
    <x v="2"/>
    <n v="0"/>
    <x v="1143"/>
    <n v="0.43619999999999998"/>
    <n v="3"/>
    <n v="17036.37"/>
    <n v="16628.009999999998"/>
    <n v="52"/>
    <x v="0"/>
    <x v="2"/>
    <x v="0"/>
    <x v="1278"/>
    <x v="1"/>
  </r>
  <r>
    <x v="1330"/>
    <x v="3"/>
    <n v="87845.88"/>
    <x v="28"/>
    <n v="0"/>
    <x v="1144"/>
    <n v="0.13569999999999999"/>
    <n v="5"/>
    <n v="27231.15"/>
    <n v="18824.91"/>
    <n v="177"/>
    <x v="1"/>
    <x v="0"/>
    <x v="0"/>
    <x v="1279"/>
    <x v="1"/>
  </r>
  <r>
    <x v="1331"/>
    <x v="0"/>
    <n v="64723.33"/>
    <x v="14"/>
    <n v="0"/>
    <x v="1145"/>
    <n v="2.2800000000000001E-2"/>
    <n v="4"/>
    <n v="500"/>
    <n v="773.22"/>
    <n v="120"/>
    <x v="1"/>
    <x v="0"/>
    <x v="1"/>
    <x v="1280"/>
    <x v="1"/>
  </r>
  <r>
    <x v="1332"/>
    <x v="5"/>
    <n v="25014.14"/>
    <x v="22"/>
    <n v="1"/>
    <x v="1146"/>
    <n v="0.73360000000000003"/>
    <n v="5"/>
    <n v="5402.51"/>
    <n v="10878.66"/>
    <n v="55"/>
    <x v="1"/>
    <x v="2"/>
    <x v="0"/>
    <x v="1281"/>
    <x v="1"/>
  </r>
  <r>
    <x v="1333"/>
    <x v="4"/>
    <n v="133049.57"/>
    <x v="26"/>
    <n v="0"/>
    <x v="1147"/>
    <n v="0.53900000000000003"/>
    <n v="3"/>
    <n v="72388.320000000007"/>
    <n v="45320.74"/>
    <n v="148"/>
    <x v="1"/>
    <x v="2"/>
    <x v="0"/>
    <x v="1282"/>
    <x v="1"/>
  </r>
  <r>
    <x v="1334"/>
    <x v="3"/>
    <n v="63362.16"/>
    <x v="26"/>
    <n v="0"/>
    <x v="1148"/>
    <n v="0.45600000000000002"/>
    <n v="3"/>
    <n v="34066.620000000003"/>
    <n v="11611.04"/>
    <n v="98"/>
    <x v="1"/>
    <x v="0"/>
    <x v="1"/>
    <x v="1283"/>
    <x v="1"/>
  </r>
  <r>
    <x v="1335"/>
    <x v="3"/>
    <n v="138280.18"/>
    <x v="43"/>
    <n v="0"/>
    <x v="1149"/>
    <n v="0.35339999999999999"/>
    <n v="5"/>
    <n v="31563.59"/>
    <n v="12918.62"/>
    <n v="167"/>
    <x v="1"/>
    <x v="2"/>
    <x v="2"/>
    <x v="1189"/>
    <x v="1"/>
  </r>
  <r>
    <x v="1336"/>
    <x v="2"/>
    <n v="84075.31"/>
    <x v="45"/>
    <n v="1"/>
    <x v="1130"/>
    <n v="0.4486"/>
    <n v="0"/>
    <n v="6184.13"/>
    <n v="0"/>
    <n v="24"/>
    <x v="2"/>
    <x v="0"/>
    <x v="1"/>
    <x v="1284"/>
    <x v="1"/>
  </r>
  <r>
    <x v="1337"/>
    <x v="0"/>
    <n v="85989.55"/>
    <x v="34"/>
    <n v="1"/>
    <x v="1150"/>
    <n v="4.1399999999999999E-2"/>
    <n v="2"/>
    <n v="13151.85"/>
    <n v="0"/>
    <n v="30"/>
    <x v="1"/>
    <x v="2"/>
    <x v="1"/>
    <x v="1285"/>
    <x v="1"/>
  </r>
  <r>
    <x v="1338"/>
    <x v="3"/>
    <n v="149554.76999999999"/>
    <x v="37"/>
    <n v="1"/>
    <x v="1151"/>
    <n v="0.64859999999999995"/>
    <n v="3"/>
    <n v="100667.78"/>
    <n v="79351.87"/>
    <n v="128"/>
    <x v="0"/>
    <x v="2"/>
    <x v="0"/>
    <x v="1286"/>
    <x v="1"/>
  </r>
  <r>
    <x v="1339"/>
    <x v="3"/>
    <n v="3813.88"/>
    <x v="19"/>
    <n v="1"/>
    <x v="0"/>
    <n v="0.1651"/>
    <n v="2"/>
    <n v="500"/>
    <n v="0"/>
    <n v="101"/>
    <x v="1"/>
    <x v="2"/>
    <x v="0"/>
    <x v="1287"/>
    <x v="1"/>
  </r>
  <r>
    <x v="1340"/>
    <x v="4"/>
    <n v="150884.71"/>
    <x v="36"/>
    <n v="0"/>
    <x v="1152"/>
    <n v="0.75390000000000001"/>
    <n v="7"/>
    <n v="113580.45"/>
    <n v="89751.49"/>
    <n v="153"/>
    <x v="0"/>
    <x v="2"/>
    <x v="0"/>
    <x v="1288"/>
    <x v="1"/>
  </r>
  <r>
    <x v="1341"/>
    <x v="3"/>
    <n v="150620.94"/>
    <x v="13"/>
    <n v="1"/>
    <x v="1153"/>
    <n v="0.48139999999999999"/>
    <n v="5"/>
    <n v="97277.43"/>
    <n v="62902.03"/>
    <n v="51"/>
    <x v="1"/>
    <x v="1"/>
    <x v="1"/>
    <x v="1289"/>
    <x v="1"/>
  </r>
  <r>
    <x v="1342"/>
    <x v="2"/>
    <n v="117432.83"/>
    <x v="12"/>
    <n v="1"/>
    <x v="1154"/>
    <n v="0.65690000000000004"/>
    <n v="5"/>
    <n v="103158.87"/>
    <n v="60774.44"/>
    <n v="52"/>
    <x v="0"/>
    <x v="0"/>
    <x v="1"/>
    <x v="1290"/>
    <x v="1"/>
  </r>
  <r>
    <x v="1343"/>
    <x v="3"/>
    <n v="166811.13"/>
    <x v="49"/>
    <n v="0"/>
    <x v="24"/>
    <n v="0.19600000000000001"/>
    <n v="0"/>
    <n v="44990.26"/>
    <n v="42932.54"/>
    <n v="149"/>
    <x v="1"/>
    <x v="2"/>
    <x v="0"/>
    <x v="1291"/>
    <x v="1"/>
  </r>
  <r>
    <x v="1344"/>
    <x v="2"/>
    <n v="88587.7"/>
    <x v="25"/>
    <n v="0"/>
    <x v="332"/>
    <n v="0.68959999999999999"/>
    <n v="0"/>
    <n v="82457.53"/>
    <n v="65617.19"/>
    <n v="28"/>
    <x v="0"/>
    <x v="0"/>
    <x v="1"/>
    <x v="1292"/>
    <x v="1"/>
  </r>
  <r>
    <x v="1345"/>
    <x v="3"/>
    <n v="101561.48"/>
    <x v="46"/>
    <n v="1"/>
    <x v="1155"/>
    <n v="0.50660000000000005"/>
    <n v="3"/>
    <n v="55130.5"/>
    <n v="50554.82"/>
    <n v="86"/>
    <x v="1"/>
    <x v="0"/>
    <x v="1"/>
    <x v="1293"/>
    <x v="1"/>
  </r>
  <r>
    <x v="1346"/>
    <x v="2"/>
    <n v="121561.08"/>
    <x v="9"/>
    <n v="1"/>
    <x v="1156"/>
    <n v="0.20660000000000001"/>
    <n v="1"/>
    <n v="19533.849999999999"/>
    <n v="0"/>
    <n v="64"/>
    <x v="2"/>
    <x v="0"/>
    <x v="1"/>
    <x v="1294"/>
    <x v="1"/>
  </r>
  <r>
    <x v="1347"/>
    <x v="4"/>
    <n v="101930.93"/>
    <x v="13"/>
    <n v="1"/>
    <x v="960"/>
    <n v="0.67849999999999999"/>
    <n v="3"/>
    <n v="85840.36"/>
    <n v="64580.22"/>
    <n v="28"/>
    <x v="3"/>
    <x v="2"/>
    <x v="1"/>
    <x v="1295"/>
    <x v="1"/>
  </r>
  <r>
    <x v="1348"/>
    <x v="2"/>
    <n v="9732.61"/>
    <x v="49"/>
    <n v="0"/>
    <x v="1157"/>
    <n v="0.86750000000000005"/>
    <n v="7"/>
    <n v="7556.91"/>
    <n v="2288.09"/>
    <n v="72"/>
    <x v="0"/>
    <x v="0"/>
    <x v="1"/>
    <x v="1296"/>
    <x v="1"/>
  </r>
  <r>
    <x v="1349"/>
    <x v="2"/>
    <n v="50788.76"/>
    <x v="28"/>
    <n v="0"/>
    <x v="899"/>
    <n v="0.4415"/>
    <n v="6"/>
    <n v="17640.13"/>
    <n v="9671.31"/>
    <n v="140"/>
    <x v="2"/>
    <x v="2"/>
    <x v="0"/>
    <x v="1297"/>
    <x v="1"/>
  </r>
  <r>
    <x v="1350"/>
    <x v="2"/>
    <n v="76038.84"/>
    <x v="0"/>
    <n v="0"/>
    <x v="976"/>
    <n v="0.66500000000000004"/>
    <n v="4"/>
    <n v="50086.31"/>
    <n v="26020.44"/>
    <n v="156"/>
    <x v="1"/>
    <x v="1"/>
    <x v="3"/>
    <x v="1298"/>
    <x v="1"/>
  </r>
  <r>
    <x v="1351"/>
    <x v="2"/>
    <n v="24182.33"/>
    <x v="40"/>
    <n v="1"/>
    <x v="1158"/>
    <n v="0.54720000000000002"/>
    <n v="4"/>
    <n v="500"/>
    <n v="17678.59"/>
    <n v="82"/>
    <x v="1"/>
    <x v="0"/>
    <x v="0"/>
    <x v="1299"/>
    <x v="1"/>
  </r>
  <r>
    <x v="1352"/>
    <x v="1"/>
    <n v="44048.19"/>
    <x v="0"/>
    <n v="1"/>
    <x v="1159"/>
    <n v="0.32979999999999998"/>
    <n v="0"/>
    <n v="1653.63"/>
    <n v="3451.79"/>
    <n v="26"/>
    <x v="1"/>
    <x v="0"/>
    <x v="0"/>
    <x v="1300"/>
    <x v="1"/>
  </r>
  <r>
    <x v="1353"/>
    <x v="2"/>
    <n v="166589.63"/>
    <x v="49"/>
    <n v="0"/>
    <x v="24"/>
    <n v="0.1918"/>
    <n v="1"/>
    <n v="35901.769999999997"/>
    <n v="23975.35"/>
    <n v="13"/>
    <x v="1"/>
    <x v="2"/>
    <x v="2"/>
    <x v="1301"/>
    <x v="1"/>
  </r>
  <r>
    <x v="1354"/>
    <x v="1"/>
    <n v="107900.41"/>
    <x v="27"/>
    <n v="0"/>
    <x v="1160"/>
    <n v="0.15260000000000001"/>
    <n v="1"/>
    <n v="500"/>
    <n v="0"/>
    <n v="42"/>
    <x v="0"/>
    <x v="0"/>
    <x v="2"/>
    <x v="1302"/>
    <x v="1"/>
  </r>
  <r>
    <x v="1355"/>
    <x v="4"/>
    <n v="76356.72"/>
    <x v="44"/>
    <n v="0"/>
    <x v="1161"/>
    <n v="0.20979999999999999"/>
    <n v="0"/>
    <n v="500"/>
    <n v="0"/>
    <n v="74"/>
    <x v="1"/>
    <x v="0"/>
    <x v="0"/>
    <x v="1303"/>
    <x v="0"/>
  </r>
  <r>
    <x v="1356"/>
    <x v="2"/>
    <n v="111056.6"/>
    <x v="46"/>
    <n v="0"/>
    <x v="1162"/>
    <n v="0.75639999999999996"/>
    <n v="2"/>
    <n v="95418.35"/>
    <n v="62509.45"/>
    <n v="21"/>
    <x v="0"/>
    <x v="2"/>
    <x v="1"/>
    <x v="1304"/>
    <x v="1"/>
  </r>
  <r>
    <x v="1357"/>
    <x v="1"/>
    <n v="76194.149999999994"/>
    <x v="33"/>
    <n v="0"/>
    <x v="1096"/>
    <n v="0.78879999999999995"/>
    <n v="6"/>
    <n v="88217.82"/>
    <n v="73880.84"/>
    <n v="156"/>
    <x v="0"/>
    <x v="2"/>
    <x v="1"/>
    <x v="1305"/>
    <x v="0"/>
  </r>
  <r>
    <x v="1358"/>
    <x v="3"/>
    <n v="67189.61"/>
    <x v="7"/>
    <n v="0"/>
    <x v="24"/>
    <n v="0.61890000000000001"/>
    <n v="5"/>
    <n v="44428.76"/>
    <n v="39466.69"/>
    <n v="158"/>
    <x v="1"/>
    <x v="1"/>
    <x v="1"/>
    <x v="1306"/>
    <x v="1"/>
  </r>
  <r>
    <x v="1359"/>
    <x v="5"/>
    <n v="67000.02"/>
    <x v="5"/>
    <n v="0"/>
    <x v="1163"/>
    <n v="0"/>
    <n v="6"/>
    <n v="12716.99"/>
    <n v="4853.5"/>
    <n v="61"/>
    <x v="3"/>
    <x v="2"/>
    <x v="0"/>
    <x v="1307"/>
    <x v="1"/>
  </r>
  <r>
    <x v="1360"/>
    <x v="3"/>
    <n v="86930.3"/>
    <x v="21"/>
    <n v="0"/>
    <x v="1164"/>
    <n v="0.44440000000000002"/>
    <n v="3"/>
    <n v="39643.57"/>
    <n v="29224.37"/>
    <n v="162"/>
    <x v="1"/>
    <x v="2"/>
    <x v="0"/>
    <x v="1308"/>
    <x v="1"/>
  </r>
  <r>
    <x v="1286"/>
    <x v="1"/>
    <n v="73226.89"/>
    <x v="5"/>
    <n v="1"/>
    <x v="1165"/>
    <n v="0.38650000000000001"/>
    <n v="0"/>
    <n v="7319.38"/>
    <n v="12815.13"/>
    <n v="68"/>
    <x v="2"/>
    <x v="2"/>
    <x v="0"/>
    <x v="434"/>
    <x v="1"/>
  </r>
  <r>
    <x v="1361"/>
    <x v="2"/>
    <n v="81080.05"/>
    <x v="13"/>
    <n v="0"/>
    <x v="1166"/>
    <n v="0.71619999999999995"/>
    <n v="3"/>
    <n v="39016.550000000003"/>
    <n v="21668.77"/>
    <n v="107"/>
    <x v="1"/>
    <x v="1"/>
    <x v="2"/>
    <x v="1309"/>
    <x v="1"/>
  </r>
  <r>
    <x v="1362"/>
    <x v="2"/>
    <n v="84823.07"/>
    <x v="46"/>
    <n v="1"/>
    <x v="1167"/>
    <n v="0.41060000000000002"/>
    <n v="2"/>
    <n v="24318.91"/>
    <n v="9707.18"/>
    <n v="180"/>
    <x v="0"/>
    <x v="2"/>
    <x v="0"/>
    <x v="1310"/>
    <x v="1"/>
  </r>
  <r>
    <x v="1363"/>
    <x v="2"/>
    <n v="112303.2"/>
    <x v="20"/>
    <n v="0"/>
    <x v="794"/>
    <n v="0.63590000000000002"/>
    <n v="3"/>
    <n v="71590.14"/>
    <n v="45273.62"/>
    <n v="131"/>
    <x v="1"/>
    <x v="2"/>
    <x v="2"/>
    <x v="1311"/>
    <x v="1"/>
  </r>
  <r>
    <x v="1364"/>
    <x v="1"/>
    <n v="94939.68"/>
    <x v="21"/>
    <n v="1"/>
    <x v="1168"/>
    <n v="0.31430000000000002"/>
    <n v="3"/>
    <n v="44090.85"/>
    <n v="30081.96"/>
    <n v="53"/>
    <x v="0"/>
    <x v="0"/>
    <x v="0"/>
    <x v="1312"/>
    <x v="1"/>
  </r>
  <r>
    <x v="1365"/>
    <x v="5"/>
    <n v="43977.38"/>
    <x v="17"/>
    <n v="1"/>
    <x v="1169"/>
    <n v="0.35809999999999997"/>
    <n v="1"/>
    <n v="18892.48"/>
    <n v="4593.9399999999996"/>
    <n v="30"/>
    <x v="0"/>
    <x v="2"/>
    <x v="0"/>
    <x v="1313"/>
    <x v="1"/>
  </r>
  <r>
    <x v="1366"/>
    <x v="1"/>
    <n v="113664.68"/>
    <x v="8"/>
    <n v="1"/>
    <x v="1170"/>
    <n v="0.45379999999999998"/>
    <n v="0"/>
    <n v="22786.28"/>
    <n v="9033.41"/>
    <n v="70"/>
    <x v="0"/>
    <x v="0"/>
    <x v="2"/>
    <x v="1314"/>
    <x v="1"/>
  </r>
  <r>
    <x v="1367"/>
    <x v="4"/>
    <n v="65236.74"/>
    <x v="41"/>
    <n v="1"/>
    <x v="1171"/>
    <n v="0.37869999999999998"/>
    <n v="2"/>
    <n v="35476.18"/>
    <n v="20998.42"/>
    <n v="122"/>
    <x v="0"/>
    <x v="2"/>
    <x v="1"/>
    <x v="1315"/>
    <x v="1"/>
  </r>
  <r>
    <x v="1368"/>
    <x v="2"/>
    <n v="35447.379999999997"/>
    <x v="17"/>
    <n v="1"/>
    <x v="1172"/>
    <n v="0.31780000000000003"/>
    <n v="0"/>
    <n v="500"/>
    <n v="0"/>
    <n v="17"/>
    <x v="0"/>
    <x v="2"/>
    <x v="0"/>
    <x v="1316"/>
    <x v="1"/>
  </r>
  <r>
    <x v="1369"/>
    <x v="2"/>
    <n v="92526.57"/>
    <x v="20"/>
    <n v="1"/>
    <x v="1173"/>
    <n v="0.55149999999999999"/>
    <n v="5"/>
    <n v="45043.35"/>
    <n v="30637.119999999999"/>
    <n v="124"/>
    <x v="3"/>
    <x v="2"/>
    <x v="1"/>
    <x v="1317"/>
    <x v="1"/>
  </r>
  <r>
    <x v="1370"/>
    <x v="4"/>
    <n v="159874.32999999999"/>
    <x v="21"/>
    <n v="0"/>
    <x v="1174"/>
    <n v="0.25019999999999998"/>
    <n v="2"/>
    <n v="38333.519999999997"/>
    <n v="31905.25"/>
    <n v="49"/>
    <x v="0"/>
    <x v="2"/>
    <x v="1"/>
    <x v="1318"/>
    <x v="1"/>
  </r>
  <r>
    <x v="1371"/>
    <x v="4"/>
    <n v="30618.19"/>
    <x v="38"/>
    <n v="0"/>
    <x v="24"/>
    <n v="0"/>
    <n v="0"/>
    <n v="500"/>
    <n v="0"/>
    <n v="150"/>
    <x v="0"/>
    <x v="0"/>
    <x v="0"/>
    <x v="1319"/>
    <x v="1"/>
  </r>
  <r>
    <x v="1372"/>
    <x v="2"/>
    <n v="111640.02"/>
    <x v="40"/>
    <n v="1"/>
    <x v="1175"/>
    <n v="0.56330000000000002"/>
    <n v="2"/>
    <n v="85928.35"/>
    <n v="63109.35"/>
    <n v="30"/>
    <x v="1"/>
    <x v="2"/>
    <x v="1"/>
    <x v="1320"/>
    <x v="1"/>
  </r>
  <r>
    <x v="1373"/>
    <x v="5"/>
    <n v="104543.58"/>
    <x v="22"/>
    <n v="0"/>
    <x v="1176"/>
    <n v="0"/>
    <n v="0"/>
    <n v="500"/>
    <n v="0"/>
    <n v="146"/>
    <x v="3"/>
    <x v="2"/>
    <x v="0"/>
    <x v="1321"/>
    <x v="1"/>
  </r>
  <r>
    <x v="1374"/>
    <x v="3"/>
    <n v="62064.61"/>
    <x v="9"/>
    <n v="0"/>
    <x v="1120"/>
    <n v="1"/>
    <n v="5"/>
    <n v="66674.5"/>
    <n v="51029.97"/>
    <n v="49"/>
    <x v="1"/>
    <x v="0"/>
    <x v="0"/>
    <x v="1322"/>
    <x v="1"/>
  </r>
  <r>
    <x v="1375"/>
    <x v="4"/>
    <n v="98487.81"/>
    <x v="41"/>
    <n v="0"/>
    <x v="366"/>
    <n v="6.2899999999999998E-2"/>
    <n v="0"/>
    <n v="9153.64"/>
    <n v="18505.32"/>
    <n v="45"/>
    <x v="0"/>
    <x v="0"/>
    <x v="0"/>
    <x v="1323"/>
    <x v="1"/>
  </r>
  <r>
    <x v="1376"/>
    <x v="4"/>
    <n v="84810.36"/>
    <x v="23"/>
    <n v="1"/>
    <x v="1177"/>
    <n v="8.0699999999999994E-2"/>
    <n v="6"/>
    <n v="23176.400000000001"/>
    <n v="27834.9"/>
    <n v="56"/>
    <x v="1"/>
    <x v="2"/>
    <x v="1"/>
    <x v="1324"/>
    <x v="1"/>
  </r>
  <r>
    <x v="1377"/>
    <x v="0"/>
    <n v="134380.31"/>
    <x v="12"/>
    <n v="0"/>
    <x v="1178"/>
    <n v="0.3332"/>
    <n v="5"/>
    <n v="62128.44"/>
    <n v="59928.19"/>
    <n v="39"/>
    <x v="1"/>
    <x v="0"/>
    <x v="2"/>
    <x v="1325"/>
    <x v="1"/>
  </r>
  <r>
    <x v="1378"/>
    <x v="1"/>
    <n v="155881.60999999999"/>
    <x v="47"/>
    <n v="0"/>
    <x v="1179"/>
    <n v="0.90200000000000002"/>
    <n v="5"/>
    <n v="122883.23"/>
    <n v="76298.490000000005"/>
    <n v="110"/>
    <x v="0"/>
    <x v="0"/>
    <x v="1"/>
    <x v="1326"/>
    <x v="1"/>
  </r>
  <r>
    <x v="1379"/>
    <x v="4"/>
    <n v="45339.35"/>
    <x v="5"/>
    <n v="1"/>
    <x v="1180"/>
    <n v="0.64700000000000002"/>
    <n v="3"/>
    <n v="14709.48"/>
    <n v="13757.81"/>
    <n v="155"/>
    <x v="0"/>
    <x v="2"/>
    <x v="0"/>
    <x v="1327"/>
    <x v="1"/>
  </r>
  <r>
    <x v="1380"/>
    <x v="1"/>
    <n v="94182.9"/>
    <x v="31"/>
    <n v="1"/>
    <x v="1181"/>
    <n v="0.60229999999999995"/>
    <n v="6"/>
    <n v="18416.2"/>
    <n v="20431.53"/>
    <n v="161"/>
    <x v="0"/>
    <x v="1"/>
    <x v="1"/>
    <x v="1328"/>
    <x v="1"/>
  </r>
  <r>
    <x v="1381"/>
    <x v="0"/>
    <n v="111472.22"/>
    <x v="43"/>
    <n v="0"/>
    <x v="24"/>
    <n v="0.35880000000000001"/>
    <n v="6"/>
    <n v="38574.58"/>
    <n v="16035.34"/>
    <n v="23"/>
    <x v="1"/>
    <x v="0"/>
    <x v="0"/>
    <x v="1329"/>
    <x v="1"/>
  </r>
  <r>
    <x v="1382"/>
    <x v="4"/>
    <n v="134257.19"/>
    <x v="13"/>
    <n v="1"/>
    <x v="1182"/>
    <n v="0.42430000000000001"/>
    <n v="1"/>
    <n v="71180.02"/>
    <n v="31304.28"/>
    <n v="106"/>
    <x v="1"/>
    <x v="2"/>
    <x v="2"/>
    <x v="1330"/>
    <x v="1"/>
  </r>
  <r>
    <x v="1383"/>
    <x v="0"/>
    <n v="58206.89"/>
    <x v="14"/>
    <n v="0"/>
    <x v="1183"/>
    <n v="0"/>
    <n v="0"/>
    <n v="500"/>
    <n v="2405.54"/>
    <n v="154"/>
    <x v="0"/>
    <x v="2"/>
    <x v="0"/>
    <x v="1331"/>
    <x v="1"/>
  </r>
  <r>
    <x v="1384"/>
    <x v="1"/>
    <n v="49685.18"/>
    <x v="1"/>
    <n v="0"/>
    <x v="1184"/>
    <n v="8.7499999999999994E-2"/>
    <n v="1"/>
    <n v="14264.42"/>
    <n v="8173.37"/>
    <n v="171"/>
    <x v="1"/>
    <x v="0"/>
    <x v="0"/>
    <x v="1332"/>
    <x v="1"/>
  </r>
  <r>
    <x v="1385"/>
    <x v="3"/>
    <n v="53927.21"/>
    <x v="38"/>
    <n v="0"/>
    <x v="1185"/>
    <n v="0.95889999999999997"/>
    <n v="8"/>
    <n v="50762.38"/>
    <n v="51411.41"/>
    <n v="176"/>
    <x v="0"/>
    <x v="2"/>
    <x v="0"/>
    <x v="1333"/>
    <x v="1"/>
  </r>
  <r>
    <x v="1386"/>
    <x v="1"/>
    <n v="32721.32"/>
    <x v="36"/>
    <n v="0"/>
    <x v="1186"/>
    <n v="0.57879999999999998"/>
    <n v="0"/>
    <n v="16342.04"/>
    <n v="25017.93"/>
    <n v="158"/>
    <x v="3"/>
    <x v="2"/>
    <x v="1"/>
    <x v="1334"/>
    <x v="1"/>
  </r>
  <r>
    <x v="1387"/>
    <x v="2"/>
    <n v="110018.96"/>
    <x v="30"/>
    <n v="1"/>
    <x v="1003"/>
    <n v="0.72929999999999995"/>
    <n v="2"/>
    <n v="69571.69"/>
    <n v="41891.06"/>
    <n v="103"/>
    <x v="0"/>
    <x v="0"/>
    <x v="0"/>
    <x v="1335"/>
    <x v="1"/>
  </r>
  <r>
    <x v="1388"/>
    <x v="4"/>
    <n v="114083.23"/>
    <x v="34"/>
    <n v="1"/>
    <x v="24"/>
    <n v="0.18"/>
    <n v="2"/>
    <n v="33730.5"/>
    <n v="36199.339999999997"/>
    <n v="63"/>
    <x v="0"/>
    <x v="1"/>
    <x v="2"/>
    <x v="1336"/>
    <x v="1"/>
  </r>
  <r>
    <x v="1389"/>
    <x v="5"/>
    <n v="83293.78"/>
    <x v="47"/>
    <n v="0"/>
    <x v="1187"/>
    <n v="0.64570000000000005"/>
    <n v="0"/>
    <n v="38737.089999999997"/>
    <n v="23705.98"/>
    <n v="101"/>
    <x v="3"/>
    <x v="0"/>
    <x v="2"/>
    <x v="1337"/>
    <x v="1"/>
  </r>
  <r>
    <x v="1390"/>
    <x v="5"/>
    <n v="45936.44"/>
    <x v="8"/>
    <n v="1"/>
    <x v="264"/>
    <n v="0.62260000000000004"/>
    <n v="1"/>
    <n v="34338.86"/>
    <n v="34356.18"/>
    <n v="74"/>
    <x v="1"/>
    <x v="1"/>
    <x v="2"/>
    <x v="1338"/>
    <x v="1"/>
  </r>
  <r>
    <x v="1391"/>
    <x v="0"/>
    <n v="126773.99"/>
    <x v="29"/>
    <n v="1"/>
    <x v="24"/>
    <n v="0.2056"/>
    <n v="3"/>
    <n v="35418.050000000003"/>
    <n v="22087.59"/>
    <n v="158"/>
    <x v="2"/>
    <x v="0"/>
    <x v="2"/>
    <x v="1339"/>
    <x v="1"/>
  </r>
  <r>
    <x v="1392"/>
    <x v="3"/>
    <n v="131154.69"/>
    <x v="25"/>
    <n v="0"/>
    <x v="1188"/>
    <n v="0.60019999999999996"/>
    <n v="0"/>
    <n v="71470.62"/>
    <n v="29206.12"/>
    <n v="164"/>
    <x v="2"/>
    <x v="0"/>
    <x v="0"/>
    <x v="1340"/>
    <x v="1"/>
  </r>
  <r>
    <x v="1393"/>
    <x v="0"/>
    <n v="93962.66"/>
    <x v="10"/>
    <n v="1"/>
    <x v="1189"/>
    <n v="0.45479999999999998"/>
    <n v="1"/>
    <n v="33389"/>
    <n v="23720.74"/>
    <n v="120"/>
    <x v="0"/>
    <x v="2"/>
    <x v="0"/>
    <x v="1341"/>
    <x v="1"/>
  </r>
  <r>
    <x v="1394"/>
    <x v="3"/>
    <n v="126680.51"/>
    <x v="3"/>
    <n v="1"/>
    <x v="1190"/>
    <n v="7.1599999999999997E-2"/>
    <n v="2"/>
    <n v="15512.19"/>
    <n v="21355.1"/>
    <n v="19"/>
    <x v="3"/>
    <x v="1"/>
    <x v="1"/>
    <x v="1342"/>
    <x v="1"/>
  </r>
  <r>
    <x v="1395"/>
    <x v="1"/>
    <n v="91319.5"/>
    <x v="13"/>
    <n v="1"/>
    <x v="24"/>
    <n v="0.4859"/>
    <n v="1"/>
    <n v="39126.29"/>
    <n v="37582.79"/>
    <n v="20"/>
    <x v="1"/>
    <x v="0"/>
    <x v="1"/>
    <x v="1343"/>
    <x v="1"/>
  </r>
  <r>
    <x v="1396"/>
    <x v="2"/>
    <n v="95520.99"/>
    <x v="43"/>
    <n v="1"/>
    <x v="1191"/>
    <n v="0.46739999999999998"/>
    <n v="3"/>
    <n v="27226.51"/>
    <n v="14227.61"/>
    <n v="48"/>
    <x v="0"/>
    <x v="0"/>
    <x v="0"/>
    <x v="1344"/>
    <x v="1"/>
  </r>
  <r>
    <x v="1397"/>
    <x v="0"/>
    <n v="177381.64"/>
    <x v="0"/>
    <n v="0"/>
    <x v="1192"/>
    <n v="0.32869999999999999"/>
    <n v="3"/>
    <n v="67114.97"/>
    <n v="41739.919999999998"/>
    <n v="51"/>
    <x v="1"/>
    <x v="1"/>
    <x v="1"/>
    <x v="1345"/>
    <x v="1"/>
  </r>
  <r>
    <x v="1398"/>
    <x v="3"/>
    <n v="176601.87"/>
    <x v="8"/>
    <n v="0"/>
    <x v="1193"/>
    <n v="0.40150000000000002"/>
    <n v="4"/>
    <n v="107345.08"/>
    <n v="81534.59"/>
    <n v="179"/>
    <x v="0"/>
    <x v="2"/>
    <x v="1"/>
    <x v="1346"/>
    <x v="1"/>
  </r>
  <r>
    <x v="1399"/>
    <x v="1"/>
    <n v="103660.23"/>
    <x v="46"/>
    <n v="1"/>
    <x v="1194"/>
    <n v="0.27060000000000001"/>
    <n v="2"/>
    <n v="7503.97"/>
    <n v="9875.35"/>
    <n v="110"/>
    <x v="0"/>
    <x v="0"/>
    <x v="0"/>
    <x v="1347"/>
    <x v="1"/>
  </r>
  <r>
    <x v="1400"/>
    <x v="3"/>
    <n v="55618.400000000001"/>
    <x v="11"/>
    <n v="0"/>
    <x v="1195"/>
    <n v="0.22939999999999999"/>
    <n v="3"/>
    <n v="25961.08"/>
    <n v="14573.88"/>
    <n v="100"/>
    <x v="0"/>
    <x v="2"/>
    <x v="3"/>
    <x v="1348"/>
    <x v="1"/>
  </r>
  <r>
    <x v="1401"/>
    <x v="3"/>
    <n v="135473.07999999999"/>
    <x v="8"/>
    <n v="1"/>
    <x v="1196"/>
    <n v="0.45710000000000001"/>
    <n v="4"/>
    <n v="57135.03"/>
    <n v="42884.87"/>
    <n v="175"/>
    <x v="2"/>
    <x v="0"/>
    <x v="0"/>
    <x v="1349"/>
    <x v="1"/>
  </r>
  <r>
    <x v="1402"/>
    <x v="4"/>
    <n v="70348.37"/>
    <x v="38"/>
    <n v="1"/>
    <x v="1197"/>
    <n v="0.2261"/>
    <n v="0"/>
    <n v="32153.95"/>
    <n v="18869.05"/>
    <n v="48"/>
    <x v="2"/>
    <x v="0"/>
    <x v="0"/>
    <x v="1350"/>
    <x v="1"/>
  </r>
  <r>
    <x v="1403"/>
    <x v="5"/>
    <n v="74552.83"/>
    <x v="27"/>
    <n v="1"/>
    <x v="1198"/>
    <n v="0"/>
    <n v="3"/>
    <n v="21279.19"/>
    <n v="17191.439999999999"/>
    <n v="153"/>
    <x v="1"/>
    <x v="2"/>
    <x v="1"/>
    <x v="1351"/>
    <x v="1"/>
  </r>
  <r>
    <x v="1404"/>
    <x v="0"/>
    <n v="149573.85999999999"/>
    <x v="21"/>
    <n v="0"/>
    <x v="1199"/>
    <n v="0"/>
    <n v="0"/>
    <n v="500"/>
    <n v="3103.4"/>
    <n v="119"/>
    <x v="0"/>
    <x v="2"/>
    <x v="2"/>
    <x v="1041"/>
    <x v="1"/>
  </r>
  <r>
    <x v="1405"/>
    <x v="0"/>
    <n v="106958.99"/>
    <x v="22"/>
    <n v="1"/>
    <x v="1200"/>
    <n v="0.23050000000000001"/>
    <n v="0"/>
    <n v="26758.29"/>
    <n v="14204.87"/>
    <n v="96"/>
    <x v="0"/>
    <x v="0"/>
    <x v="0"/>
    <x v="1352"/>
    <x v="1"/>
  </r>
  <r>
    <x v="1406"/>
    <x v="1"/>
    <n v="84500.81"/>
    <x v="14"/>
    <n v="1"/>
    <x v="1201"/>
    <n v="0.2261"/>
    <n v="0"/>
    <n v="23665.55"/>
    <n v="10894.18"/>
    <n v="36"/>
    <x v="2"/>
    <x v="2"/>
    <x v="2"/>
    <x v="1353"/>
    <x v="1"/>
  </r>
  <r>
    <x v="1407"/>
    <x v="3"/>
    <n v="97377.59"/>
    <x v="38"/>
    <n v="1"/>
    <x v="1202"/>
    <n v="0.46379999999999999"/>
    <n v="4"/>
    <n v="22464.87"/>
    <n v="0"/>
    <n v="147"/>
    <x v="0"/>
    <x v="1"/>
    <x v="1"/>
    <x v="1354"/>
    <x v="1"/>
  </r>
  <r>
    <x v="1408"/>
    <x v="1"/>
    <n v="68892.039999999994"/>
    <x v="7"/>
    <n v="1"/>
    <x v="1203"/>
    <n v="0"/>
    <n v="0"/>
    <n v="9375.2099999999991"/>
    <n v="4443.79"/>
    <n v="109"/>
    <x v="1"/>
    <x v="0"/>
    <x v="1"/>
    <x v="1355"/>
    <x v="1"/>
  </r>
  <r>
    <x v="1409"/>
    <x v="3"/>
    <n v="119747.71"/>
    <x v="35"/>
    <n v="0"/>
    <x v="24"/>
    <n v="1"/>
    <n v="5"/>
    <n v="125349.78"/>
    <n v="103967.89"/>
    <n v="136"/>
    <x v="0"/>
    <x v="0"/>
    <x v="1"/>
    <x v="1356"/>
    <x v="1"/>
  </r>
  <r>
    <x v="1410"/>
    <x v="5"/>
    <n v="116014.96"/>
    <x v="4"/>
    <n v="0"/>
    <x v="444"/>
    <n v="0.14860000000000001"/>
    <n v="1"/>
    <n v="500"/>
    <n v="0"/>
    <n v="51"/>
    <x v="1"/>
    <x v="0"/>
    <x v="0"/>
    <x v="1357"/>
    <x v="1"/>
  </r>
  <r>
    <x v="1411"/>
    <x v="0"/>
    <n v="198178.24"/>
    <x v="33"/>
    <n v="1"/>
    <x v="1204"/>
    <n v="0.48849999999999999"/>
    <n v="6"/>
    <n v="105852.45"/>
    <n v="51301.37"/>
    <n v="168"/>
    <x v="2"/>
    <x v="0"/>
    <x v="1"/>
    <x v="1358"/>
    <x v="1"/>
  </r>
  <r>
    <x v="1412"/>
    <x v="3"/>
    <n v="116441.53"/>
    <x v="0"/>
    <n v="1"/>
    <x v="1205"/>
    <n v="0.66790000000000005"/>
    <n v="3"/>
    <n v="105534.84"/>
    <n v="71706.55"/>
    <n v="64"/>
    <x v="2"/>
    <x v="1"/>
    <x v="1"/>
    <x v="1359"/>
    <x v="1"/>
  </r>
  <r>
    <x v="1413"/>
    <x v="4"/>
    <n v="86668.53"/>
    <x v="4"/>
    <n v="0"/>
    <x v="385"/>
    <n v="0.78849999999999998"/>
    <n v="6"/>
    <n v="78419.92"/>
    <n v="64721.65"/>
    <n v="136"/>
    <x v="2"/>
    <x v="2"/>
    <x v="0"/>
    <x v="165"/>
    <x v="1"/>
  </r>
  <r>
    <x v="1414"/>
    <x v="0"/>
    <n v="45052.49"/>
    <x v="28"/>
    <n v="1"/>
    <x v="1206"/>
    <n v="0.58530000000000004"/>
    <n v="2"/>
    <n v="28491.85"/>
    <n v="18630.12"/>
    <n v="50"/>
    <x v="2"/>
    <x v="2"/>
    <x v="0"/>
    <x v="835"/>
    <x v="1"/>
  </r>
  <r>
    <x v="1415"/>
    <x v="3"/>
    <n v="86780.58"/>
    <x v="17"/>
    <n v="1"/>
    <x v="1207"/>
    <n v="0.4385"/>
    <n v="0"/>
    <n v="32305.599999999999"/>
    <n v="26568.21"/>
    <n v="151"/>
    <x v="2"/>
    <x v="0"/>
    <x v="1"/>
    <x v="1360"/>
    <x v="1"/>
  </r>
  <r>
    <x v="1416"/>
    <x v="3"/>
    <n v="72979.44"/>
    <x v="40"/>
    <n v="0"/>
    <x v="1208"/>
    <n v="0.40949999999999998"/>
    <n v="6"/>
    <n v="39877.01"/>
    <n v="21925.17"/>
    <n v="49"/>
    <x v="1"/>
    <x v="0"/>
    <x v="0"/>
    <x v="1361"/>
    <x v="1"/>
  </r>
  <r>
    <x v="1417"/>
    <x v="3"/>
    <n v="78319.88"/>
    <x v="32"/>
    <n v="1"/>
    <x v="575"/>
    <n v="0.32500000000000001"/>
    <n v="1"/>
    <n v="34472.199999999997"/>
    <n v="24815.89"/>
    <n v="68"/>
    <x v="2"/>
    <x v="0"/>
    <x v="2"/>
    <x v="1362"/>
    <x v="1"/>
  </r>
  <r>
    <x v="1418"/>
    <x v="2"/>
    <n v="121589.96"/>
    <x v="37"/>
    <n v="1"/>
    <x v="24"/>
    <n v="0.54090000000000005"/>
    <n v="2"/>
    <n v="66699.94"/>
    <n v="38218.400000000001"/>
    <n v="65"/>
    <x v="0"/>
    <x v="2"/>
    <x v="1"/>
    <x v="1363"/>
    <x v="1"/>
  </r>
  <r>
    <x v="1419"/>
    <x v="2"/>
    <n v="51046.92"/>
    <x v="43"/>
    <n v="0"/>
    <x v="1209"/>
    <n v="0.17949999999999999"/>
    <n v="2"/>
    <n v="500"/>
    <n v="0"/>
    <n v="165"/>
    <x v="1"/>
    <x v="2"/>
    <x v="0"/>
    <x v="1364"/>
    <x v="1"/>
  </r>
  <r>
    <x v="1420"/>
    <x v="3"/>
    <n v="2000"/>
    <x v="8"/>
    <n v="0"/>
    <x v="1210"/>
    <n v="0.15790000000000001"/>
    <n v="1"/>
    <n v="500"/>
    <n v="0"/>
    <n v="103"/>
    <x v="0"/>
    <x v="0"/>
    <x v="3"/>
    <x v="1365"/>
    <x v="1"/>
  </r>
  <r>
    <x v="1421"/>
    <x v="2"/>
    <n v="104224.05"/>
    <x v="25"/>
    <n v="1"/>
    <x v="1211"/>
    <n v="0.4148"/>
    <n v="4"/>
    <n v="54056.56"/>
    <n v="39675.360000000001"/>
    <n v="96"/>
    <x v="2"/>
    <x v="2"/>
    <x v="1"/>
    <x v="1366"/>
    <x v="1"/>
  </r>
  <r>
    <x v="1422"/>
    <x v="3"/>
    <n v="188512.17"/>
    <x v="15"/>
    <n v="0"/>
    <x v="1212"/>
    <n v="0.2054"/>
    <n v="2"/>
    <n v="38934.080000000002"/>
    <n v="40616.379999999997"/>
    <n v="124"/>
    <x v="1"/>
    <x v="0"/>
    <x v="1"/>
    <x v="1367"/>
    <x v="1"/>
  </r>
  <r>
    <x v="1423"/>
    <x v="0"/>
    <n v="42347.9"/>
    <x v="16"/>
    <n v="0"/>
    <x v="1213"/>
    <n v="0.1953"/>
    <n v="2"/>
    <n v="22859.08"/>
    <n v="13909.99"/>
    <n v="57"/>
    <x v="1"/>
    <x v="0"/>
    <x v="1"/>
    <x v="24"/>
    <x v="1"/>
  </r>
  <r>
    <x v="1424"/>
    <x v="1"/>
    <n v="108723.58"/>
    <x v="13"/>
    <n v="0"/>
    <x v="1214"/>
    <n v="0.61719999999999997"/>
    <n v="4"/>
    <n v="76933.289999999994"/>
    <n v="45804.59"/>
    <n v="75"/>
    <x v="1"/>
    <x v="2"/>
    <x v="3"/>
    <x v="1368"/>
    <x v="1"/>
  </r>
  <r>
    <x v="1425"/>
    <x v="2"/>
    <n v="139249.79"/>
    <x v="6"/>
    <n v="0"/>
    <x v="1165"/>
    <n v="0.19620000000000001"/>
    <n v="4"/>
    <n v="17684.43"/>
    <n v="18119.48"/>
    <n v="18"/>
    <x v="1"/>
    <x v="2"/>
    <x v="1"/>
    <x v="1369"/>
    <x v="1"/>
  </r>
  <r>
    <x v="1426"/>
    <x v="5"/>
    <n v="127693.45"/>
    <x v="44"/>
    <n v="1"/>
    <x v="1215"/>
    <n v="0.48699999999999999"/>
    <n v="2"/>
    <n v="67076.59"/>
    <n v="43913.84"/>
    <n v="80"/>
    <x v="2"/>
    <x v="2"/>
    <x v="1"/>
    <x v="1370"/>
    <x v="1"/>
  </r>
  <r>
    <x v="1427"/>
    <x v="2"/>
    <n v="66996"/>
    <x v="34"/>
    <n v="1"/>
    <x v="1216"/>
    <n v="0.1711"/>
    <n v="2"/>
    <n v="7428.78"/>
    <n v="12396.85"/>
    <n v="73"/>
    <x v="2"/>
    <x v="1"/>
    <x v="0"/>
    <x v="1371"/>
    <x v="1"/>
  </r>
  <r>
    <x v="1428"/>
    <x v="1"/>
    <n v="159572.31"/>
    <x v="30"/>
    <n v="1"/>
    <x v="1217"/>
    <n v="0.23769999999999999"/>
    <n v="4"/>
    <n v="29186.69"/>
    <n v="18172.22"/>
    <n v="72"/>
    <x v="0"/>
    <x v="0"/>
    <x v="0"/>
    <x v="1372"/>
    <x v="1"/>
  </r>
  <r>
    <x v="1429"/>
    <x v="1"/>
    <n v="115225.07"/>
    <x v="42"/>
    <n v="0"/>
    <x v="1218"/>
    <n v="0.42709999999999998"/>
    <n v="0"/>
    <n v="46350.78"/>
    <n v="24832.46"/>
    <n v="63"/>
    <x v="0"/>
    <x v="0"/>
    <x v="0"/>
    <x v="1373"/>
    <x v="1"/>
  </r>
  <r>
    <x v="1430"/>
    <x v="1"/>
    <n v="58484.45"/>
    <x v="17"/>
    <n v="0"/>
    <x v="1219"/>
    <n v="0.1305"/>
    <n v="1"/>
    <n v="500"/>
    <n v="4300.58"/>
    <n v="69"/>
    <x v="0"/>
    <x v="1"/>
    <x v="3"/>
    <x v="1354"/>
    <x v="1"/>
  </r>
  <r>
    <x v="1431"/>
    <x v="1"/>
    <n v="74933.81"/>
    <x v="25"/>
    <n v="1"/>
    <x v="1220"/>
    <n v="0.6139"/>
    <n v="5"/>
    <n v="58854.09"/>
    <n v="42497.01"/>
    <n v="138"/>
    <x v="0"/>
    <x v="0"/>
    <x v="1"/>
    <x v="372"/>
    <x v="1"/>
  </r>
  <r>
    <x v="1432"/>
    <x v="1"/>
    <n v="111239.01"/>
    <x v="41"/>
    <n v="0"/>
    <x v="774"/>
    <n v="0.29970000000000002"/>
    <n v="2"/>
    <n v="37781.410000000003"/>
    <n v="25184.86"/>
    <n v="83"/>
    <x v="1"/>
    <x v="0"/>
    <x v="1"/>
    <x v="1374"/>
    <x v="1"/>
  </r>
  <r>
    <x v="1433"/>
    <x v="4"/>
    <n v="99986.58"/>
    <x v="23"/>
    <n v="0"/>
    <x v="971"/>
    <n v="0.48380000000000001"/>
    <n v="2"/>
    <n v="50192.41"/>
    <n v="29132.67"/>
    <n v="124"/>
    <x v="0"/>
    <x v="0"/>
    <x v="0"/>
    <x v="1375"/>
    <x v="1"/>
  </r>
  <r>
    <x v="1434"/>
    <x v="5"/>
    <n v="46767.24"/>
    <x v="33"/>
    <n v="0"/>
    <x v="1221"/>
    <n v="5.5500000000000001E-2"/>
    <n v="3"/>
    <n v="500"/>
    <n v="0"/>
    <n v="152"/>
    <x v="1"/>
    <x v="1"/>
    <x v="0"/>
    <x v="1376"/>
    <x v="1"/>
  </r>
  <r>
    <x v="1435"/>
    <x v="0"/>
    <n v="79569.490000000005"/>
    <x v="10"/>
    <n v="1"/>
    <x v="790"/>
    <n v="0.25919999999999999"/>
    <n v="3"/>
    <n v="52084.95"/>
    <n v="46715.29"/>
    <n v="146"/>
    <x v="1"/>
    <x v="2"/>
    <x v="0"/>
    <x v="862"/>
    <x v="1"/>
  </r>
  <r>
    <x v="1436"/>
    <x v="5"/>
    <n v="167288.31"/>
    <x v="4"/>
    <n v="1"/>
    <x v="1222"/>
    <n v="0.33489999999999998"/>
    <n v="2"/>
    <n v="68940.25"/>
    <n v="45130.1"/>
    <n v="59"/>
    <x v="1"/>
    <x v="0"/>
    <x v="0"/>
    <x v="1377"/>
    <x v="1"/>
  </r>
  <r>
    <x v="1437"/>
    <x v="2"/>
    <n v="43183.62"/>
    <x v="20"/>
    <n v="1"/>
    <x v="1223"/>
    <n v="0.23330000000000001"/>
    <n v="0"/>
    <n v="13744.54"/>
    <n v="0"/>
    <n v="13"/>
    <x v="0"/>
    <x v="2"/>
    <x v="3"/>
    <x v="1378"/>
    <x v="1"/>
  </r>
  <r>
    <x v="1438"/>
    <x v="2"/>
    <n v="32363.89"/>
    <x v="17"/>
    <n v="0"/>
    <x v="1224"/>
    <n v="0.21149999999999999"/>
    <n v="1"/>
    <n v="4461.3100000000004"/>
    <n v="12052.02"/>
    <n v="171"/>
    <x v="1"/>
    <x v="0"/>
    <x v="2"/>
    <x v="1379"/>
    <x v="1"/>
  </r>
  <r>
    <x v="1439"/>
    <x v="5"/>
    <n v="77895.58"/>
    <x v="30"/>
    <n v="1"/>
    <x v="24"/>
    <n v="0.45729999999999998"/>
    <n v="4"/>
    <n v="46064.2"/>
    <n v="45063.31"/>
    <n v="99"/>
    <x v="2"/>
    <x v="0"/>
    <x v="2"/>
    <x v="1380"/>
    <x v="1"/>
  </r>
  <r>
    <x v="1440"/>
    <x v="5"/>
    <n v="66821.679999999993"/>
    <x v="25"/>
    <n v="0"/>
    <x v="1225"/>
    <n v="0.47210000000000002"/>
    <n v="6"/>
    <n v="7144.62"/>
    <n v="7253.98"/>
    <n v="139"/>
    <x v="3"/>
    <x v="2"/>
    <x v="0"/>
    <x v="1381"/>
    <x v="1"/>
  </r>
  <r>
    <x v="1441"/>
    <x v="5"/>
    <n v="120261.59"/>
    <x v="2"/>
    <n v="1"/>
    <x v="1226"/>
    <n v="0.51019999999999999"/>
    <n v="7"/>
    <n v="62695.51"/>
    <n v="52017.74"/>
    <n v="70"/>
    <x v="1"/>
    <x v="0"/>
    <x v="1"/>
    <x v="1382"/>
    <x v="1"/>
  </r>
  <r>
    <x v="1442"/>
    <x v="3"/>
    <n v="157490.72"/>
    <x v="3"/>
    <n v="1"/>
    <x v="1227"/>
    <n v="0.38500000000000001"/>
    <n v="3"/>
    <n v="54098.91"/>
    <n v="26489.73"/>
    <n v="86"/>
    <x v="0"/>
    <x v="2"/>
    <x v="0"/>
    <x v="1383"/>
    <x v="1"/>
  </r>
  <r>
    <x v="313"/>
    <x v="4"/>
    <n v="94450.03"/>
    <x v="25"/>
    <n v="0"/>
    <x v="657"/>
    <n v="0.74419999999999997"/>
    <n v="2"/>
    <n v="59406.37"/>
    <n v="40120.089999999997"/>
    <n v="130"/>
    <x v="0"/>
    <x v="0"/>
    <x v="0"/>
    <x v="1384"/>
    <x v="1"/>
  </r>
  <r>
    <x v="1443"/>
    <x v="3"/>
    <n v="50639.09"/>
    <x v="49"/>
    <n v="0"/>
    <x v="1228"/>
    <n v="0.49"/>
    <n v="6"/>
    <n v="21372.99"/>
    <n v="12685.74"/>
    <n v="10"/>
    <x v="0"/>
    <x v="2"/>
    <x v="3"/>
    <x v="1385"/>
    <x v="1"/>
  </r>
  <r>
    <x v="1444"/>
    <x v="2"/>
    <n v="99915.77"/>
    <x v="3"/>
    <n v="0"/>
    <x v="1229"/>
    <n v="0.82809999999999995"/>
    <n v="6"/>
    <n v="76940.34"/>
    <n v="36260.71"/>
    <n v="72"/>
    <x v="1"/>
    <x v="2"/>
    <x v="1"/>
    <x v="1386"/>
    <x v="1"/>
  </r>
  <r>
    <x v="1445"/>
    <x v="2"/>
    <n v="68068.210000000006"/>
    <x v="24"/>
    <n v="0"/>
    <x v="1230"/>
    <n v="0.19489999999999999"/>
    <n v="1"/>
    <n v="20349.2"/>
    <n v="15793.23"/>
    <n v="52"/>
    <x v="2"/>
    <x v="0"/>
    <x v="0"/>
    <x v="1387"/>
    <x v="1"/>
  </r>
  <r>
    <x v="1446"/>
    <x v="2"/>
    <n v="2000"/>
    <x v="36"/>
    <n v="0"/>
    <x v="1056"/>
    <n v="0.46760000000000002"/>
    <n v="1"/>
    <n v="11552.9"/>
    <n v="15004.45"/>
    <n v="22"/>
    <x v="0"/>
    <x v="0"/>
    <x v="0"/>
    <x v="1388"/>
    <x v="1"/>
  </r>
  <r>
    <x v="1447"/>
    <x v="5"/>
    <n v="68461.240000000005"/>
    <x v="37"/>
    <n v="0"/>
    <x v="1231"/>
    <n v="0.19689999999999999"/>
    <n v="1"/>
    <n v="31314.41"/>
    <n v="20120.13"/>
    <n v="130"/>
    <x v="0"/>
    <x v="0"/>
    <x v="1"/>
    <x v="1389"/>
    <x v="1"/>
  </r>
  <r>
    <x v="1448"/>
    <x v="3"/>
    <n v="95683.81"/>
    <x v="14"/>
    <n v="0"/>
    <x v="1232"/>
    <n v="0.46660000000000001"/>
    <n v="3"/>
    <n v="6373.64"/>
    <n v="93.35"/>
    <n v="16"/>
    <x v="0"/>
    <x v="0"/>
    <x v="1"/>
    <x v="1390"/>
    <x v="1"/>
  </r>
  <r>
    <x v="1449"/>
    <x v="1"/>
    <n v="140751.97"/>
    <x v="4"/>
    <n v="1"/>
    <x v="24"/>
    <n v="5.74E-2"/>
    <n v="4"/>
    <n v="21281.15"/>
    <n v="23028"/>
    <n v="15"/>
    <x v="2"/>
    <x v="1"/>
    <x v="1"/>
    <x v="1391"/>
    <x v="1"/>
  </r>
  <r>
    <x v="1450"/>
    <x v="2"/>
    <n v="36719.49"/>
    <x v="19"/>
    <n v="0"/>
    <x v="1233"/>
    <n v="0.34639999999999999"/>
    <n v="1"/>
    <n v="500"/>
    <n v="15461.83"/>
    <n v="34"/>
    <x v="1"/>
    <x v="0"/>
    <x v="0"/>
    <x v="1392"/>
    <x v="1"/>
  </r>
  <r>
    <x v="1451"/>
    <x v="3"/>
    <n v="92175.56"/>
    <x v="5"/>
    <n v="0"/>
    <x v="1234"/>
    <n v="0.34399999999999997"/>
    <n v="6"/>
    <n v="35684.400000000001"/>
    <n v="24883.53"/>
    <n v="51"/>
    <x v="1"/>
    <x v="0"/>
    <x v="2"/>
    <x v="1393"/>
    <x v="1"/>
  </r>
  <r>
    <x v="1452"/>
    <x v="5"/>
    <n v="36733.760000000002"/>
    <x v="1"/>
    <n v="1"/>
    <x v="1235"/>
    <n v="0.74480000000000002"/>
    <n v="2"/>
    <n v="46039.9"/>
    <n v="25703.78"/>
    <n v="56"/>
    <x v="0"/>
    <x v="0"/>
    <x v="0"/>
    <x v="1394"/>
    <x v="1"/>
  </r>
  <r>
    <x v="1453"/>
    <x v="2"/>
    <n v="30588.41"/>
    <x v="42"/>
    <n v="1"/>
    <x v="1116"/>
    <n v="0.40189999999999998"/>
    <n v="3"/>
    <n v="11214.59"/>
    <n v="0"/>
    <n v="8"/>
    <x v="2"/>
    <x v="2"/>
    <x v="0"/>
    <x v="1395"/>
    <x v="1"/>
  </r>
  <r>
    <x v="1454"/>
    <x v="5"/>
    <n v="53800.800000000003"/>
    <x v="10"/>
    <n v="1"/>
    <x v="1236"/>
    <n v="0.54049999999999998"/>
    <n v="6"/>
    <n v="8103.71"/>
    <n v="6456.87"/>
    <n v="52"/>
    <x v="1"/>
    <x v="2"/>
    <x v="0"/>
    <x v="1396"/>
    <x v="1"/>
  </r>
  <r>
    <x v="1455"/>
    <x v="1"/>
    <n v="70375.070000000007"/>
    <x v="5"/>
    <n v="0"/>
    <x v="1237"/>
    <n v="0.67259999999999998"/>
    <n v="2"/>
    <n v="47498.13"/>
    <n v="40277.75"/>
    <n v="151"/>
    <x v="0"/>
    <x v="0"/>
    <x v="2"/>
    <x v="1397"/>
    <x v="1"/>
  </r>
  <r>
    <x v="1456"/>
    <x v="0"/>
    <n v="160872.15"/>
    <x v="41"/>
    <n v="1"/>
    <x v="1238"/>
    <n v="0.63619999999999999"/>
    <n v="4"/>
    <n v="100982.06"/>
    <n v="71425"/>
    <n v="157"/>
    <x v="0"/>
    <x v="0"/>
    <x v="2"/>
    <x v="1398"/>
    <x v="1"/>
  </r>
  <r>
    <x v="1457"/>
    <x v="5"/>
    <n v="68543.39"/>
    <x v="36"/>
    <n v="0"/>
    <x v="1239"/>
    <n v="0.28170000000000001"/>
    <n v="1"/>
    <n v="2273.48"/>
    <n v="2066.69"/>
    <n v="177"/>
    <x v="1"/>
    <x v="0"/>
    <x v="0"/>
    <x v="1399"/>
    <x v="1"/>
  </r>
  <r>
    <x v="1458"/>
    <x v="1"/>
    <n v="78662.58"/>
    <x v="25"/>
    <n v="1"/>
    <x v="1240"/>
    <n v="0.63449999999999995"/>
    <n v="4"/>
    <n v="43981.16"/>
    <n v="30115.95"/>
    <n v="137"/>
    <x v="0"/>
    <x v="2"/>
    <x v="0"/>
    <x v="1400"/>
    <x v="1"/>
  </r>
  <r>
    <x v="1459"/>
    <x v="1"/>
    <n v="157851.29999999999"/>
    <x v="49"/>
    <n v="1"/>
    <x v="1241"/>
    <n v="0.32829999999999998"/>
    <n v="2"/>
    <n v="70185.119999999995"/>
    <n v="55234.01"/>
    <n v="46"/>
    <x v="0"/>
    <x v="2"/>
    <x v="0"/>
    <x v="1401"/>
    <x v="1"/>
  </r>
  <r>
    <x v="1460"/>
    <x v="3"/>
    <n v="116356.87"/>
    <x v="28"/>
    <n v="1"/>
    <x v="1242"/>
    <n v="0.25459999999999999"/>
    <n v="3"/>
    <n v="13413.76"/>
    <n v="0"/>
    <n v="101"/>
    <x v="1"/>
    <x v="2"/>
    <x v="1"/>
    <x v="1402"/>
    <x v="1"/>
  </r>
  <r>
    <x v="1461"/>
    <x v="5"/>
    <n v="59043.66"/>
    <x v="45"/>
    <n v="0"/>
    <x v="1243"/>
    <n v="0.60089999999999999"/>
    <n v="2"/>
    <n v="33229.75"/>
    <n v="17656.939999999999"/>
    <n v="84"/>
    <x v="2"/>
    <x v="2"/>
    <x v="1"/>
    <x v="1403"/>
    <x v="1"/>
  </r>
  <r>
    <x v="1462"/>
    <x v="3"/>
    <n v="45359.81"/>
    <x v="9"/>
    <n v="0"/>
    <x v="1244"/>
    <n v="0.65310000000000001"/>
    <n v="3"/>
    <n v="18540.580000000002"/>
    <n v="6861.57"/>
    <n v="86"/>
    <x v="1"/>
    <x v="2"/>
    <x v="3"/>
    <x v="1404"/>
    <x v="1"/>
  </r>
  <r>
    <x v="1463"/>
    <x v="0"/>
    <n v="62114.73"/>
    <x v="23"/>
    <n v="1"/>
    <x v="1245"/>
    <n v="0.78369999999999995"/>
    <n v="2"/>
    <n v="35047.589999999997"/>
    <n v="24466.57"/>
    <n v="34"/>
    <x v="1"/>
    <x v="2"/>
    <x v="0"/>
    <x v="1405"/>
    <x v="1"/>
  </r>
  <r>
    <x v="1464"/>
    <x v="1"/>
    <n v="115485.5"/>
    <x v="30"/>
    <n v="0"/>
    <x v="436"/>
    <n v="0.372"/>
    <n v="2"/>
    <n v="48909.55"/>
    <n v="39610.47"/>
    <n v="61"/>
    <x v="2"/>
    <x v="0"/>
    <x v="1"/>
    <x v="1406"/>
    <x v="1"/>
  </r>
  <r>
    <x v="1465"/>
    <x v="1"/>
    <n v="51669.09"/>
    <x v="20"/>
    <n v="0"/>
    <x v="436"/>
    <n v="0.31890000000000002"/>
    <n v="4"/>
    <n v="4085.25"/>
    <n v="6598.37"/>
    <n v="162"/>
    <x v="1"/>
    <x v="2"/>
    <x v="1"/>
    <x v="1407"/>
    <x v="1"/>
  </r>
  <r>
    <x v="1466"/>
    <x v="4"/>
    <n v="58705.02"/>
    <x v="1"/>
    <n v="1"/>
    <x v="586"/>
    <n v="0.6421"/>
    <n v="5"/>
    <n v="66355.429999999993"/>
    <n v="45647.61"/>
    <n v="114"/>
    <x v="1"/>
    <x v="2"/>
    <x v="1"/>
    <x v="1408"/>
    <x v="1"/>
  </r>
  <r>
    <x v="1467"/>
    <x v="0"/>
    <n v="74454.67"/>
    <x v="1"/>
    <n v="1"/>
    <x v="582"/>
    <n v="8.8800000000000004E-2"/>
    <n v="2"/>
    <n v="20732.16"/>
    <n v="14562.28"/>
    <n v="167"/>
    <x v="0"/>
    <x v="2"/>
    <x v="0"/>
    <x v="1409"/>
    <x v="1"/>
  </r>
  <r>
    <x v="1468"/>
    <x v="3"/>
    <n v="135816.10999999999"/>
    <x v="45"/>
    <n v="0"/>
    <x v="1246"/>
    <n v="0.6915"/>
    <n v="3"/>
    <n v="102122.02"/>
    <n v="70409.289999999994"/>
    <n v="163"/>
    <x v="0"/>
    <x v="2"/>
    <x v="1"/>
    <x v="1410"/>
    <x v="1"/>
  </r>
  <r>
    <x v="1469"/>
    <x v="0"/>
    <n v="108846.97"/>
    <x v="29"/>
    <n v="0"/>
    <x v="1247"/>
    <n v="0.6371"/>
    <n v="2"/>
    <n v="73725.05"/>
    <n v="55694.53"/>
    <n v="58"/>
    <x v="2"/>
    <x v="2"/>
    <x v="2"/>
    <x v="1411"/>
    <x v="1"/>
  </r>
  <r>
    <x v="1470"/>
    <x v="1"/>
    <n v="112507.62"/>
    <x v="22"/>
    <n v="1"/>
    <x v="1248"/>
    <n v="5.3600000000000002E-2"/>
    <n v="3"/>
    <n v="500"/>
    <n v="0"/>
    <n v="167"/>
    <x v="3"/>
    <x v="1"/>
    <x v="1"/>
    <x v="1412"/>
    <x v="1"/>
  </r>
  <r>
    <x v="1471"/>
    <x v="1"/>
    <n v="62087.83"/>
    <x v="18"/>
    <n v="1"/>
    <x v="1249"/>
    <n v="0.48580000000000001"/>
    <n v="3"/>
    <n v="29563.74"/>
    <n v="22403.45"/>
    <n v="135"/>
    <x v="2"/>
    <x v="0"/>
    <x v="0"/>
    <x v="1413"/>
    <x v="1"/>
  </r>
  <r>
    <x v="1472"/>
    <x v="2"/>
    <n v="135581.01"/>
    <x v="9"/>
    <n v="1"/>
    <x v="1250"/>
    <n v="0.37890000000000001"/>
    <n v="1"/>
    <n v="64723.64"/>
    <n v="42448.37"/>
    <n v="159"/>
    <x v="1"/>
    <x v="0"/>
    <x v="1"/>
    <x v="1414"/>
    <x v="1"/>
  </r>
  <r>
    <x v="1473"/>
    <x v="2"/>
    <n v="16117.42"/>
    <x v="43"/>
    <n v="1"/>
    <x v="1251"/>
    <n v="0.69579999999999997"/>
    <n v="3"/>
    <n v="11509.07"/>
    <n v="19130.27"/>
    <n v="100"/>
    <x v="2"/>
    <x v="0"/>
    <x v="1"/>
    <x v="1415"/>
    <x v="1"/>
  </r>
  <r>
    <x v="1474"/>
    <x v="1"/>
    <n v="2255.41"/>
    <x v="0"/>
    <n v="1"/>
    <x v="1252"/>
    <n v="0.40160000000000001"/>
    <n v="3"/>
    <n v="15172.6"/>
    <n v="17823.75"/>
    <n v="110"/>
    <x v="0"/>
    <x v="1"/>
    <x v="1"/>
    <x v="1416"/>
    <x v="1"/>
  </r>
  <r>
    <x v="1475"/>
    <x v="5"/>
    <n v="138315.07"/>
    <x v="49"/>
    <n v="1"/>
    <x v="1253"/>
    <n v="0.15559999999999999"/>
    <n v="0"/>
    <n v="42542.55"/>
    <n v="31522.6"/>
    <n v="44"/>
    <x v="1"/>
    <x v="0"/>
    <x v="1"/>
    <x v="1417"/>
    <x v="1"/>
  </r>
  <r>
    <x v="1476"/>
    <x v="0"/>
    <n v="15284.04"/>
    <x v="26"/>
    <n v="0"/>
    <x v="1254"/>
    <n v="0.62360000000000004"/>
    <n v="2"/>
    <n v="20540.68"/>
    <n v="17325.57"/>
    <n v="58"/>
    <x v="0"/>
    <x v="2"/>
    <x v="1"/>
    <x v="1418"/>
    <x v="1"/>
  </r>
  <r>
    <x v="1477"/>
    <x v="4"/>
    <n v="77843.58"/>
    <x v="0"/>
    <n v="1"/>
    <x v="1255"/>
    <n v="9.06E-2"/>
    <n v="3"/>
    <n v="7972.24"/>
    <n v="3710.76"/>
    <n v="161"/>
    <x v="0"/>
    <x v="0"/>
    <x v="1"/>
    <x v="1419"/>
    <x v="1"/>
  </r>
  <r>
    <x v="1478"/>
    <x v="3"/>
    <n v="38842.86"/>
    <x v="30"/>
    <n v="0"/>
    <x v="484"/>
    <n v="0.64759999999999995"/>
    <n v="5"/>
    <n v="12475.91"/>
    <n v="2933.59"/>
    <n v="149"/>
    <x v="0"/>
    <x v="2"/>
    <x v="1"/>
    <x v="1420"/>
    <x v="1"/>
  </r>
  <r>
    <x v="1479"/>
    <x v="1"/>
    <n v="41381.19"/>
    <x v="8"/>
    <n v="0"/>
    <x v="1256"/>
    <n v="0.18060000000000001"/>
    <n v="1"/>
    <n v="10791.38"/>
    <n v="0"/>
    <n v="135"/>
    <x v="2"/>
    <x v="0"/>
    <x v="1"/>
    <x v="821"/>
    <x v="1"/>
  </r>
  <r>
    <x v="1480"/>
    <x v="3"/>
    <n v="2000"/>
    <x v="33"/>
    <n v="0"/>
    <x v="658"/>
    <n v="0.51029999999999998"/>
    <n v="6"/>
    <n v="500"/>
    <n v="0"/>
    <n v="103"/>
    <x v="0"/>
    <x v="2"/>
    <x v="0"/>
    <x v="1421"/>
    <x v="1"/>
  </r>
  <r>
    <x v="1319"/>
    <x v="2"/>
    <n v="96140.84"/>
    <x v="4"/>
    <n v="0"/>
    <x v="1257"/>
    <n v="5.0999999999999997E-2"/>
    <n v="2"/>
    <n v="500"/>
    <n v="7542.98"/>
    <n v="14"/>
    <x v="0"/>
    <x v="0"/>
    <x v="1"/>
    <x v="1422"/>
    <x v="1"/>
  </r>
  <r>
    <x v="1481"/>
    <x v="4"/>
    <n v="74857.87"/>
    <x v="12"/>
    <n v="0"/>
    <x v="1258"/>
    <n v="0.71140000000000003"/>
    <n v="4"/>
    <n v="49597.63"/>
    <n v="53966.76"/>
    <n v="97"/>
    <x v="1"/>
    <x v="2"/>
    <x v="0"/>
    <x v="1423"/>
    <x v="1"/>
  </r>
  <r>
    <x v="1482"/>
    <x v="1"/>
    <n v="49074.37"/>
    <x v="4"/>
    <n v="0"/>
    <x v="912"/>
    <n v="0.1893"/>
    <n v="0"/>
    <n v="35201.17"/>
    <n v="14238.39"/>
    <n v="127"/>
    <x v="0"/>
    <x v="2"/>
    <x v="3"/>
    <x v="1424"/>
    <x v="1"/>
  </r>
  <r>
    <x v="1483"/>
    <x v="3"/>
    <n v="12129.25"/>
    <x v="45"/>
    <n v="0"/>
    <x v="1259"/>
    <n v="0.77500000000000002"/>
    <n v="8"/>
    <n v="17342.82"/>
    <n v="0"/>
    <n v="18"/>
    <x v="0"/>
    <x v="0"/>
    <x v="0"/>
    <x v="1425"/>
    <x v="1"/>
  </r>
  <r>
    <x v="1484"/>
    <x v="0"/>
    <n v="133107.56"/>
    <x v="27"/>
    <n v="1"/>
    <x v="527"/>
    <n v="0.1951"/>
    <n v="7"/>
    <n v="30235.79"/>
    <n v="13537.35"/>
    <n v="148"/>
    <x v="0"/>
    <x v="2"/>
    <x v="2"/>
    <x v="1426"/>
    <x v="1"/>
  </r>
  <r>
    <x v="1485"/>
    <x v="4"/>
    <n v="41120.620000000003"/>
    <x v="34"/>
    <n v="0"/>
    <x v="1260"/>
    <n v="0.1046"/>
    <n v="2"/>
    <n v="500"/>
    <n v="114.07"/>
    <n v="10"/>
    <x v="1"/>
    <x v="2"/>
    <x v="0"/>
    <x v="1427"/>
    <x v="1"/>
  </r>
  <r>
    <x v="1486"/>
    <x v="5"/>
    <n v="33747.08"/>
    <x v="24"/>
    <n v="0"/>
    <x v="1261"/>
    <n v="0.13589999999999999"/>
    <n v="2"/>
    <n v="500"/>
    <n v="2484.08"/>
    <n v="83"/>
    <x v="2"/>
    <x v="0"/>
    <x v="1"/>
    <x v="24"/>
    <x v="1"/>
  </r>
  <r>
    <x v="1487"/>
    <x v="2"/>
    <n v="61753.66"/>
    <x v="33"/>
    <n v="1"/>
    <x v="1262"/>
    <n v="0.70689999999999997"/>
    <n v="3"/>
    <n v="68660.69"/>
    <n v="43053.68"/>
    <n v="101"/>
    <x v="0"/>
    <x v="1"/>
    <x v="0"/>
    <x v="1428"/>
    <x v="1"/>
  </r>
  <r>
    <x v="1488"/>
    <x v="5"/>
    <n v="67282.820000000007"/>
    <x v="21"/>
    <n v="0"/>
    <x v="1263"/>
    <n v="0.22770000000000001"/>
    <n v="0"/>
    <n v="17148.27"/>
    <n v="6063.44"/>
    <n v="52"/>
    <x v="0"/>
    <x v="0"/>
    <x v="0"/>
    <x v="1429"/>
    <x v="1"/>
  </r>
  <r>
    <x v="1489"/>
    <x v="1"/>
    <n v="67416.539999999994"/>
    <x v="43"/>
    <n v="1"/>
    <x v="1255"/>
    <n v="0.38840000000000002"/>
    <n v="4"/>
    <n v="36543.51"/>
    <n v="18921.71"/>
    <n v="79"/>
    <x v="1"/>
    <x v="0"/>
    <x v="1"/>
    <x v="1430"/>
    <x v="1"/>
  </r>
  <r>
    <x v="1490"/>
    <x v="1"/>
    <n v="66334.44"/>
    <x v="5"/>
    <n v="0"/>
    <x v="1264"/>
    <n v="0.35360000000000003"/>
    <n v="1"/>
    <n v="23880.92"/>
    <n v="19310.46"/>
    <n v="95"/>
    <x v="0"/>
    <x v="0"/>
    <x v="2"/>
    <x v="1431"/>
    <x v="1"/>
  </r>
  <r>
    <x v="1491"/>
    <x v="5"/>
    <n v="159381.12"/>
    <x v="37"/>
    <n v="1"/>
    <x v="1265"/>
    <n v="0.5111"/>
    <n v="4"/>
    <n v="106841.49"/>
    <n v="86285.26"/>
    <n v="126"/>
    <x v="0"/>
    <x v="2"/>
    <x v="0"/>
    <x v="1432"/>
    <x v="1"/>
  </r>
  <r>
    <x v="1492"/>
    <x v="0"/>
    <n v="80119.34"/>
    <x v="0"/>
    <n v="1"/>
    <x v="1209"/>
    <n v="0.32940000000000003"/>
    <n v="2"/>
    <n v="40227.32"/>
    <n v="18241.259999999998"/>
    <n v="147"/>
    <x v="0"/>
    <x v="0"/>
    <x v="1"/>
    <x v="1433"/>
    <x v="1"/>
  </r>
  <r>
    <x v="1493"/>
    <x v="5"/>
    <n v="103461.92"/>
    <x v="10"/>
    <n v="1"/>
    <x v="1266"/>
    <n v="0.49959999999999999"/>
    <n v="4"/>
    <n v="34306.629999999997"/>
    <n v="21927.43"/>
    <n v="163"/>
    <x v="0"/>
    <x v="0"/>
    <x v="0"/>
    <x v="90"/>
    <x v="1"/>
  </r>
  <r>
    <x v="1494"/>
    <x v="1"/>
    <n v="118333.47"/>
    <x v="30"/>
    <n v="1"/>
    <x v="1267"/>
    <n v="0.28710000000000002"/>
    <n v="0"/>
    <n v="37351.760000000002"/>
    <n v="24466.31"/>
    <n v="60"/>
    <x v="1"/>
    <x v="0"/>
    <x v="0"/>
    <x v="1434"/>
    <x v="1"/>
  </r>
  <r>
    <x v="1495"/>
    <x v="1"/>
    <n v="86948.479999999996"/>
    <x v="38"/>
    <n v="0"/>
    <x v="1268"/>
    <n v="0.64080000000000004"/>
    <n v="0"/>
    <n v="70210.86"/>
    <n v="45807.74"/>
    <n v="152"/>
    <x v="1"/>
    <x v="0"/>
    <x v="2"/>
    <x v="1435"/>
    <x v="1"/>
  </r>
  <r>
    <x v="1496"/>
    <x v="5"/>
    <n v="82583.839999999997"/>
    <x v="9"/>
    <n v="1"/>
    <x v="1269"/>
    <n v="0.36209999999999998"/>
    <n v="3"/>
    <n v="37326.86"/>
    <n v="35516.35"/>
    <n v="57"/>
    <x v="0"/>
    <x v="2"/>
    <x v="2"/>
    <x v="1436"/>
    <x v="1"/>
  </r>
  <r>
    <x v="1497"/>
    <x v="1"/>
    <n v="78849.899999999994"/>
    <x v="22"/>
    <n v="1"/>
    <x v="1270"/>
    <n v="0"/>
    <n v="0"/>
    <n v="7277.02"/>
    <n v="0"/>
    <n v="96"/>
    <x v="2"/>
    <x v="0"/>
    <x v="1"/>
    <x v="1437"/>
    <x v="1"/>
  </r>
  <r>
    <x v="1498"/>
    <x v="2"/>
    <n v="95105.78"/>
    <x v="10"/>
    <n v="1"/>
    <x v="1271"/>
    <n v="0.2014"/>
    <n v="4"/>
    <n v="35136.129999999997"/>
    <n v="10233.69"/>
    <n v="60"/>
    <x v="2"/>
    <x v="2"/>
    <x v="1"/>
    <x v="1438"/>
    <x v="1"/>
  </r>
  <r>
    <x v="1499"/>
    <x v="4"/>
    <n v="69234.990000000005"/>
    <x v="17"/>
    <n v="1"/>
    <x v="886"/>
    <n v="0.55349999999999999"/>
    <n v="2"/>
    <n v="34506.58"/>
    <n v="18623.96"/>
    <n v="77"/>
    <x v="2"/>
    <x v="0"/>
    <x v="1"/>
    <x v="1439"/>
    <x v="1"/>
  </r>
  <r>
    <x v="1500"/>
    <x v="3"/>
    <n v="105474.36"/>
    <x v="37"/>
    <n v="1"/>
    <x v="1272"/>
    <n v="0.3513"/>
    <n v="2"/>
    <n v="46620.44"/>
    <n v="22082.09"/>
    <n v="153"/>
    <x v="0"/>
    <x v="0"/>
    <x v="1"/>
    <x v="1440"/>
    <x v="1"/>
  </r>
  <r>
    <x v="1501"/>
    <x v="0"/>
    <n v="102295.94"/>
    <x v="16"/>
    <n v="1"/>
    <x v="1273"/>
    <n v="6.4000000000000003E-3"/>
    <n v="0"/>
    <n v="500"/>
    <n v="0"/>
    <n v="142"/>
    <x v="1"/>
    <x v="0"/>
    <x v="0"/>
    <x v="24"/>
    <x v="1"/>
  </r>
  <r>
    <x v="1502"/>
    <x v="4"/>
    <n v="100407.54"/>
    <x v="8"/>
    <n v="1"/>
    <x v="1274"/>
    <n v="0.2555"/>
    <n v="1"/>
    <n v="7716.12"/>
    <n v="0"/>
    <n v="79"/>
    <x v="0"/>
    <x v="0"/>
    <x v="0"/>
    <x v="1441"/>
    <x v="1"/>
  </r>
  <r>
    <x v="1503"/>
    <x v="0"/>
    <n v="96263.17"/>
    <x v="11"/>
    <n v="0"/>
    <x v="1275"/>
    <n v="0.84360000000000002"/>
    <n v="3"/>
    <n v="68762.559999999998"/>
    <n v="36342.239999999998"/>
    <n v="100"/>
    <x v="1"/>
    <x v="2"/>
    <x v="2"/>
    <x v="1442"/>
    <x v="1"/>
  </r>
  <r>
    <x v="1504"/>
    <x v="0"/>
    <n v="5486.94"/>
    <x v="47"/>
    <n v="1"/>
    <x v="1276"/>
    <n v="0.21929999999999999"/>
    <n v="3"/>
    <n v="14136.84"/>
    <n v="16111.4"/>
    <n v="51"/>
    <x v="0"/>
    <x v="0"/>
    <x v="1"/>
    <x v="1443"/>
    <x v="1"/>
  </r>
  <r>
    <x v="1505"/>
    <x v="4"/>
    <n v="15735.62"/>
    <x v="24"/>
    <n v="0"/>
    <x v="1277"/>
    <n v="0.64459999999999995"/>
    <n v="1"/>
    <n v="4448.2"/>
    <n v="12046.22"/>
    <n v="169"/>
    <x v="1"/>
    <x v="2"/>
    <x v="2"/>
    <x v="1444"/>
    <x v="1"/>
  </r>
  <r>
    <x v="1506"/>
    <x v="1"/>
    <n v="114223.67999999999"/>
    <x v="42"/>
    <n v="1"/>
    <x v="102"/>
    <n v="1"/>
    <n v="9"/>
    <n v="101862.92"/>
    <n v="66360.56"/>
    <n v="58"/>
    <x v="1"/>
    <x v="2"/>
    <x v="0"/>
    <x v="1445"/>
    <x v="1"/>
  </r>
  <r>
    <x v="1507"/>
    <x v="5"/>
    <n v="111041.24"/>
    <x v="25"/>
    <n v="1"/>
    <x v="1278"/>
    <n v="0.34670000000000001"/>
    <n v="0"/>
    <n v="42917.66"/>
    <n v="38160.86"/>
    <n v="117"/>
    <x v="2"/>
    <x v="0"/>
    <x v="0"/>
    <x v="1446"/>
    <x v="1"/>
  </r>
  <r>
    <x v="1508"/>
    <x v="5"/>
    <n v="221516.88"/>
    <x v="49"/>
    <n v="0"/>
    <x v="24"/>
    <n v="0.68959999999999999"/>
    <n v="4"/>
    <n v="154698.68"/>
    <n v="129412.31"/>
    <n v="164"/>
    <x v="1"/>
    <x v="2"/>
    <x v="2"/>
    <x v="1447"/>
    <x v="1"/>
  </r>
  <r>
    <x v="1509"/>
    <x v="3"/>
    <n v="138294.35"/>
    <x v="46"/>
    <n v="1"/>
    <x v="1279"/>
    <n v="0.32400000000000001"/>
    <n v="2"/>
    <n v="37101.08"/>
    <n v="29995.16"/>
    <n v="114"/>
    <x v="2"/>
    <x v="2"/>
    <x v="0"/>
    <x v="1448"/>
    <x v="1"/>
  </r>
  <r>
    <x v="1510"/>
    <x v="1"/>
    <n v="71112.600000000006"/>
    <x v="10"/>
    <n v="0"/>
    <x v="1280"/>
    <n v="8.9300000000000004E-2"/>
    <n v="4"/>
    <n v="9458.0499999999993"/>
    <n v="7599.72"/>
    <n v="177"/>
    <x v="0"/>
    <x v="0"/>
    <x v="0"/>
    <x v="1449"/>
    <x v="1"/>
  </r>
  <r>
    <x v="1511"/>
    <x v="5"/>
    <n v="132560.95000000001"/>
    <x v="16"/>
    <n v="0"/>
    <x v="1281"/>
    <n v="0.56569999999999998"/>
    <n v="4"/>
    <n v="79861.759999999995"/>
    <n v="56858.28"/>
    <n v="152"/>
    <x v="3"/>
    <x v="0"/>
    <x v="1"/>
    <x v="1450"/>
    <x v="1"/>
  </r>
  <r>
    <x v="1512"/>
    <x v="4"/>
    <n v="110990.62"/>
    <x v="39"/>
    <n v="1"/>
    <x v="1282"/>
    <n v="0.22850000000000001"/>
    <n v="0"/>
    <n v="41733.14"/>
    <n v="31418.46"/>
    <n v="37"/>
    <x v="0"/>
    <x v="0"/>
    <x v="2"/>
    <x v="1451"/>
    <x v="1"/>
  </r>
  <r>
    <x v="1513"/>
    <x v="0"/>
    <n v="83253.070000000007"/>
    <x v="28"/>
    <n v="0"/>
    <x v="1283"/>
    <n v="0.88190000000000002"/>
    <n v="2"/>
    <n v="78579.16"/>
    <n v="39810.910000000003"/>
    <n v="58"/>
    <x v="1"/>
    <x v="0"/>
    <x v="2"/>
    <x v="1452"/>
    <x v="1"/>
  </r>
  <r>
    <x v="1514"/>
    <x v="0"/>
    <n v="122757.57"/>
    <x v="31"/>
    <n v="1"/>
    <x v="1284"/>
    <n v="0.50939999999999996"/>
    <n v="1"/>
    <n v="83923.5"/>
    <n v="53863.06"/>
    <n v="91"/>
    <x v="1"/>
    <x v="1"/>
    <x v="3"/>
    <x v="1453"/>
    <x v="1"/>
  </r>
  <r>
    <x v="1515"/>
    <x v="5"/>
    <n v="51056.62"/>
    <x v="34"/>
    <n v="1"/>
    <x v="1285"/>
    <n v="0.22109999999999999"/>
    <n v="2"/>
    <n v="500"/>
    <n v="0"/>
    <n v="102"/>
    <x v="0"/>
    <x v="0"/>
    <x v="0"/>
    <x v="1454"/>
    <x v="1"/>
  </r>
  <r>
    <x v="1516"/>
    <x v="3"/>
    <n v="165664.24"/>
    <x v="34"/>
    <n v="0"/>
    <x v="1286"/>
    <n v="1"/>
    <n v="3"/>
    <n v="151255.14000000001"/>
    <n v="112867.76"/>
    <n v="126"/>
    <x v="1"/>
    <x v="0"/>
    <x v="2"/>
    <x v="1455"/>
    <x v="1"/>
  </r>
  <r>
    <x v="1517"/>
    <x v="5"/>
    <n v="22400.15"/>
    <x v="48"/>
    <n v="0"/>
    <x v="1287"/>
    <n v="0.20660000000000001"/>
    <n v="3"/>
    <n v="4664.53"/>
    <n v="8466.51"/>
    <n v="27"/>
    <x v="1"/>
    <x v="0"/>
    <x v="0"/>
    <x v="1456"/>
    <x v="1"/>
  </r>
  <r>
    <x v="1518"/>
    <x v="0"/>
    <n v="45467.93"/>
    <x v="2"/>
    <n v="0"/>
    <x v="1288"/>
    <n v="0.12970000000000001"/>
    <n v="3"/>
    <n v="2509.4"/>
    <n v="7097.84"/>
    <n v="168"/>
    <x v="2"/>
    <x v="0"/>
    <x v="0"/>
    <x v="1457"/>
    <x v="1"/>
  </r>
  <r>
    <x v="1519"/>
    <x v="2"/>
    <n v="102108.62"/>
    <x v="4"/>
    <n v="1"/>
    <x v="1289"/>
    <n v="0.38850000000000001"/>
    <n v="2"/>
    <n v="29279.64"/>
    <n v="20096.47"/>
    <n v="73"/>
    <x v="0"/>
    <x v="0"/>
    <x v="0"/>
    <x v="1458"/>
    <x v="1"/>
  </r>
  <r>
    <x v="1520"/>
    <x v="5"/>
    <n v="68256.210000000006"/>
    <x v="24"/>
    <n v="1"/>
    <x v="728"/>
    <n v="0.59830000000000005"/>
    <n v="6"/>
    <n v="57597.26"/>
    <n v="39834.67"/>
    <n v="60"/>
    <x v="2"/>
    <x v="2"/>
    <x v="1"/>
    <x v="1459"/>
    <x v="1"/>
  </r>
  <r>
    <x v="1521"/>
    <x v="4"/>
    <n v="55084.25"/>
    <x v="11"/>
    <n v="1"/>
    <x v="580"/>
    <n v="0.63480000000000003"/>
    <n v="1"/>
    <n v="4528.25"/>
    <n v="0"/>
    <n v="6"/>
    <x v="1"/>
    <x v="0"/>
    <x v="1"/>
    <x v="1460"/>
    <x v="1"/>
  </r>
  <r>
    <x v="1522"/>
    <x v="1"/>
    <n v="7355.22"/>
    <x v="11"/>
    <n v="0"/>
    <x v="1290"/>
    <n v="0.6179"/>
    <n v="5"/>
    <n v="2768.02"/>
    <n v="0"/>
    <n v="90"/>
    <x v="1"/>
    <x v="2"/>
    <x v="0"/>
    <x v="1461"/>
    <x v="1"/>
  </r>
  <r>
    <x v="1523"/>
    <x v="3"/>
    <n v="2000"/>
    <x v="43"/>
    <n v="1"/>
    <x v="1291"/>
    <n v="0.23469999999999999"/>
    <n v="0"/>
    <n v="500"/>
    <n v="0"/>
    <n v="36"/>
    <x v="2"/>
    <x v="2"/>
    <x v="2"/>
    <x v="1462"/>
    <x v="1"/>
  </r>
  <r>
    <x v="1524"/>
    <x v="5"/>
    <n v="19762.16"/>
    <x v="39"/>
    <n v="1"/>
    <x v="1080"/>
    <n v="0.98"/>
    <n v="3"/>
    <n v="5701.81"/>
    <n v="11938.88"/>
    <n v="58"/>
    <x v="1"/>
    <x v="0"/>
    <x v="1"/>
    <x v="1463"/>
    <x v="1"/>
  </r>
  <r>
    <x v="1525"/>
    <x v="0"/>
    <n v="95660.93"/>
    <x v="37"/>
    <n v="0"/>
    <x v="1292"/>
    <n v="0.33989999999999998"/>
    <n v="4"/>
    <n v="43877.83"/>
    <n v="32893.43"/>
    <n v="65"/>
    <x v="1"/>
    <x v="2"/>
    <x v="1"/>
    <x v="1464"/>
    <x v="1"/>
  </r>
  <r>
    <x v="1526"/>
    <x v="3"/>
    <n v="162016.72"/>
    <x v="24"/>
    <n v="1"/>
    <x v="24"/>
    <n v="0"/>
    <n v="1"/>
    <n v="7221.52"/>
    <n v="9975.9599999999991"/>
    <n v="48"/>
    <x v="3"/>
    <x v="1"/>
    <x v="0"/>
    <x v="1465"/>
    <x v="1"/>
  </r>
  <r>
    <x v="1527"/>
    <x v="3"/>
    <n v="111245.9"/>
    <x v="14"/>
    <n v="0"/>
    <x v="1293"/>
    <n v="9.2799999999999994E-2"/>
    <n v="0"/>
    <n v="500"/>
    <n v="7316.58"/>
    <n v="7"/>
    <x v="0"/>
    <x v="0"/>
    <x v="0"/>
    <x v="1466"/>
    <x v="1"/>
  </r>
  <r>
    <x v="1528"/>
    <x v="1"/>
    <n v="39300.67"/>
    <x v="47"/>
    <n v="1"/>
    <x v="1294"/>
    <n v="0.71950000000000003"/>
    <n v="5"/>
    <n v="40454.730000000003"/>
    <n v="29875.73"/>
    <n v="170"/>
    <x v="0"/>
    <x v="2"/>
    <x v="1"/>
    <x v="1467"/>
    <x v="1"/>
  </r>
  <r>
    <x v="1529"/>
    <x v="3"/>
    <n v="187959.57"/>
    <x v="36"/>
    <n v="0"/>
    <x v="621"/>
    <n v="0.40129999999999999"/>
    <n v="0"/>
    <n v="55930.53"/>
    <n v="37468.269999999997"/>
    <n v="148"/>
    <x v="1"/>
    <x v="2"/>
    <x v="3"/>
    <x v="1468"/>
    <x v="1"/>
  </r>
  <r>
    <x v="1530"/>
    <x v="4"/>
    <n v="46017.42"/>
    <x v="25"/>
    <n v="1"/>
    <x v="1295"/>
    <n v="0.95450000000000002"/>
    <n v="7"/>
    <n v="21609.48"/>
    <n v="11475.33"/>
    <n v="171"/>
    <x v="1"/>
    <x v="0"/>
    <x v="0"/>
    <x v="1469"/>
    <x v="1"/>
  </r>
  <r>
    <x v="1531"/>
    <x v="2"/>
    <n v="81284.100000000006"/>
    <x v="30"/>
    <n v="1"/>
    <x v="1296"/>
    <n v="0.2034"/>
    <n v="3"/>
    <n v="12537.66"/>
    <n v="3194.06"/>
    <n v="127"/>
    <x v="0"/>
    <x v="2"/>
    <x v="0"/>
    <x v="1470"/>
    <x v="1"/>
  </r>
  <r>
    <x v="1532"/>
    <x v="5"/>
    <n v="77474.009999999995"/>
    <x v="27"/>
    <n v="0"/>
    <x v="1297"/>
    <n v="0.47360000000000002"/>
    <n v="3"/>
    <n v="25860.35"/>
    <n v="26778.07"/>
    <n v="40"/>
    <x v="0"/>
    <x v="0"/>
    <x v="0"/>
    <x v="1471"/>
    <x v="1"/>
  </r>
  <r>
    <x v="1533"/>
    <x v="2"/>
    <n v="130161.82"/>
    <x v="22"/>
    <n v="1"/>
    <x v="1298"/>
    <n v="0.35120000000000001"/>
    <n v="2"/>
    <n v="54948.24"/>
    <n v="41525.949999999997"/>
    <n v="91"/>
    <x v="3"/>
    <x v="2"/>
    <x v="0"/>
    <x v="1472"/>
    <x v="1"/>
  </r>
  <r>
    <x v="1534"/>
    <x v="2"/>
    <n v="60039.93"/>
    <x v="1"/>
    <n v="0"/>
    <x v="643"/>
    <n v="0.3337"/>
    <n v="1"/>
    <n v="22694.23"/>
    <n v="23161.200000000001"/>
    <n v="103"/>
    <x v="1"/>
    <x v="2"/>
    <x v="1"/>
    <x v="1473"/>
    <x v="1"/>
  </r>
  <r>
    <x v="1535"/>
    <x v="0"/>
    <n v="70786.52"/>
    <x v="38"/>
    <n v="0"/>
    <x v="1299"/>
    <n v="0.86"/>
    <n v="5"/>
    <n v="47182.54"/>
    <n v="49950.89"/>
    <n v="77"/>
    <x v="1"/>
    <x v="2"/>
    <x v="3"/>
    <x v="1319"/>
    <x v="1"/>
  </r>
  <r>
    <x v="1536"/>
    <x v="3"/>
    <n v="107476.65"/>
    <x v="28"/>
    <n v="1"/>
    <x v="1300"/>
    <n v="0.40460000000000002"/>
    <n v="2"/>
    <n v="54714.400000000001"/>
    <n v="57619.44"/>
    <n v="63"/>
    <x v="2"/>
    <x v="0"/>
    <x v="1"/>
    <x v="1474"/>
    <x v="1"/>
  </r>
  <r>
    <x v="1537"/>
    <x v="0"/>
    <n v="100167.16"/>
    <x v="6"/>
    <n v="1"/>
    <x v="1301"/>
    <n v="0.28860000000000002"/>
    <n v="3"/>
    <n v="42763.12"/>
    <n v="46811.26"/>
    <n v="75"/>
    <x v="2"/>
    <x v="0"/>
    <x v="1"/>
    <x v="1475"/>
    <x v="1"/>
  </r>
  <r>
    <x v="1538"/>
    <x v="1"/>
    <n v="61701.79"/>
    <x v="30"/>
    <n v="0"/>
    <x v="419"/>
    <n v="0.12859999999999999"/>
    <n v="3"/>
    <n v="500"/>
    <n v="0"/>
    <n v="178"/>
    <x v="0"/>
    <x v="2"/>
    <x v="0"/>
    <x v="1476"/>
    <x v="1"/>
  </r>
  <r>
    <x v="1539"/>
    <x v="5"/>
    <n v="134902.06"/>
    <x v="14"/>
    <n v="0"/>
    <x v="1302"/>
    <n v="0.20300000000000001"/>
    <n v="0"/>
    <n v="21459.62"/>
    <n v="23401.119999999999"/>
    <n v="179"/>
    <x v="0"/>
    <x v="1"/>
    <x v="2"/>
    <x v="1477"/>
    <x v="1"/>
  </r>
  <r>
    <x v="1540"/>
    <x v="3"/>
    <n v="133416.85999999999"/>
    <x v="39"/>
    <n v="1"/>
    <x v="364"/>
    <n v="0.48709999999999998"/>
    <n v="2"/>
    <n v="53557.35"/>
    <n v="47353.85"/>
    <n v="29"/>
    <x v="0"/>
    <x v="0"/>
    <x v="2"/>
    <x v="349"/>
    <x v="1"/>
  </r>
  <r>
    <x v="1541"/>
    <x v="2"/>
    <n v="68783.44"/>
    <x v="49"/>
    <n v="1"/>
    <x v="1303"/>
    <n v="0.54390000000000005"/>
    <n v="2"/>
    <n v="12490.34"/>
    <n v="2060.62"/>
    <n v="137"/>
    <x v="1"/>
    <x v="0"/>
    <x v="1"/>
    <x v="1478"/>
    <x v="1"/>
  </r>
  <r>
    <x v="1542"/>
    <x v="5"/>
    <n v="89461.14"/>
    <x v="0"/>
    <n v="1"/>
    <x v="577"/>
    <n v="0.57899999999999996"/>
    <n v="2"/>
    <n v="51037.03"/>
    <n v="37905.47"/>
    <n v="28"/>
    <x v="3"/>
    <x v="0"/>
    <x v="0"/>
    <x v="1479"/>
    <x v="1"/>
  </r>
  <r>
    <x v="1543"/>
    <x v="5"/>
    <n v="103552.64"/>
    <x v="29"/>
    <n v="0"/>
    <x v="1304"/>
    <n v="0.37480000000000002"/>
    <n v="3"/>
    <n v="17051.759999999998"/>
    <n v="5426.37"/>
    <n v="141"/>
    <x v="2"/>
    <x v="2"/>
    <x v="2"/>
    <x v="1480"/>
    <x v="1"/>
  </r>
  <r>
    <x v="1544"/>
    <x v="2"/>
    <n v="148754.19"/>
    <x v="41"/>
    <n v="0"/>
    <x v="1305"/>
    <n v="2.0500000000000001E-2"/>
    <n v="2"/>
    <n v="1506.67"/>
    <n v="108.4"/>
    <n v="120"/>
    <x v="2"/>
    <x v="0"/>
    <x v="0"/>
    <x v="1481"/>
    <x v="1"/>
  </r>
  <r>
    <x v="1545"/>
    <x v="0"/>
    <n v="135158.51999999999"/>
    <x v="0"/>
    <n v="0"/>
    <x v="1306"/>
    <n v="0.27129999999999999"/>
    <n v="2"/>
    <n v="42281.22"/>
    <n v="24179.67"/>
    <n v="48"/>
    <x v="0"/>
    <x v="2"/>
    <x v="1"/>
    <x v="87"/>
    <x v="1"/>
  </r>
  <r>
    <x v="1546"/>
    <x v="5"/>
    <n v="2000"/>
    <x v="33"/>
    <n v="1"/>
    <x v="1307"/>
    <n v="0.40160000000000001"/>
    <n v="3"/>
    <n v="6014.82"/>
    <n v="14034.65"/>
    <n v="69"/>
    <x v="2"/>
    <x v="2"/>
    <x v="3"/>
    <x v="1482"/>
    <x v="1"/>
  </r>
  <r>
    <x v="722"/>
    <x v="0"/>
    <n v="38499.29"/>
    <x v="45"/>
    <n v="0"/>
    <x v="1308"/>
    <n v="7.6100000000000001E-2"/>
    <n v="1"/>
    <n v="12961"/>
    <n v="0"/>
    <n v="37"/>
    <x v="0"/>
    <x v="0"/>
    <x v="0"/>
    <x v="1483"/>
    <x v="1"/>
  </r>
  <r>
    <x v="1547"/>
    <x v="2"/>
    <n v="47502.98"/>
    <x v="17"/>
    <n v="1"/>
    <x v="1309"/>
    <n v="4.8599999999999997E-2"/>
    <n v="1"/>
    <n v="500"/>
    <n v="0"/>
    <n v="154"/>
    <x v="1"/>
    <x v="1"/>
    <x v="1"/>
    <x v="1484"/>
    <x v="1"/>
  </r>
  <r>
    <x v="1548"/>
    <x v="5"/>
    <n v="87143.99"/>
    <x v="45"/>
    <n v="0"/>
    <x v="1310"/>
    <n v="7.6E-3"/>
    <n v="0"/>
    <n v="500"/>
    <n v="23167.25"/>
    <n v="27"/>
    <x v="2"/>
    <x v="2"/>
    <x v="1"/>
    <x v="1485"/>
    <x v="1"/>
  </r>
  <r>
    <x v="1549"/>
    <x v="1"/>
    <n v="94350.97"/>
    <x v="12"/>
    <n v="0"/>
    <x v="1311"/>
    <n v="0.4486"/>
    <n v="4"/>
    <n v="25507.8"/>
    <n v="19105.169999999998"/>
    <n v="117"/>
    <x v="0"/>
    <x v="0"/>
    <x v="2"/>
    <x v="1486"/>
    <x v="1"/>
  </r>
  <r>
    <x v="1550"/>
    <x v="4"/>
    <n v="107574.42"/>
    <x v="14"/>
    <n v="0"/>
    <x v="723"/>
    <n v="0.2467"/>
    <n v="4"/>
    <n v="12991.88"/>
    <n v="6450.29"/>
    <n v="72"/>
    <x v="0"/>
    <x v="0"/>
    <x v="1"/>
    <x v="1345"/>
    <x v="1"/>
  </r>
  <r>
    <x v="1551"/>
    <x v="4"/>
    <n v="65846.33"/>
    <x v="24"/>
    <n v="1"/>
    <x v="578"/>
    <n v="0.88419999999999999"/>
    <n v="7"/>
    <n v="59300.36"/>
    <n v="37108.89"/>
    <n v="111"/>
    <x v="1"/>
    <x v="0"/>
    <x v="0"/>
    <x v="1487"/>
    <x v="1"/>
  </r>
  <r>
    <x v="1552"/>
    <x v="4"/>
    <n v="59908.88"/>
    <x v="47"/>
    <n v="0"/>
    <x v="429"/>
    <n v="0.36280000000000001"/>
    <n v="4"/>
    <n v="500"/>
    <n v="4874.6400000000003"/>
    <n v="30"/>
    <x v="0"/>
    <x v="0"/>
    <x v="2"/>
    <x v="1488"/>
    <x v="1"/>
  </r>
  <r>
    <x v="1553"/>
    <x v="5"/>
    <n v="9329.59"/>
    <x v="49"/>
    <n v="1"/>
    <x v="1312"/>
    <n v="0.19589999999999999"/>
    <n v="2"/>
    <n v="8500.7099999999991"/>
    <n v="8155.55"/>
    <n v="79"/>
    <x v="3"/>
    <x v="0"/>
    <x v="2"/>
    <x v="1489"/>
    <x v="1"/>
  </r>
  <r>
    <x v="1554"/>
    <x v="5"/>
    <n v="37950.82"/>
    <x v="28"/>
    <n v="1"/>
    <x v="295"/>
    <n v="1.8100000000000002E-2"/>
    <n v="1"/>
    <n v="14605.23"/>
    <n v="4609.59"/>
    <n v="97"/>
    <x v="1"/>
    <x v="0"/>
    <x v="0"/>
    <x v="1490"/>
    <x v="1"/>
  </r>
  <r>
    <x v="1555"/>
    <x v="1"/>
    <n v="80337.679999999993"/>
    <x v="43"/>
    <n v="1"/>
    <x v="1313"/>
    <n v="0.40560000000000002"/>
    <n v="0"/>
    <n v="524.6"/>
    <n v="0"/>
    <n v="90"/>
    <x v="0"/>
    <x v="0"/>
    <x v="0"/>
    <x v="1491"/>
    <x v="1"/>
  </r>
  <r>
    <x v="1556"/>
    <x v="5"/>
    <n v="118266.21"/>
    <x v="10"/>
    <n v="0"/>
    <x v="1314"/>
    <n v="0.37309999999999999"/>
    <n v="3"/>
    <n v="28097.82"/>
    <n v="7386.17"/>
    <n v="35"/>
    <x v="2"/>
    <x v="0"/>
    <x v="1"/>
    <x v="1492"/>
    <x v="1"/>
  </r>
  <r>
    <x v="1557"/>
    <x v="2"/>
    <n v="124608.81"/>
    <x v="12"/>
    <n v="1"/>
    <x v="1315"/>
    <n v="0.56389999999999996"/>
    <n v="1"/>
    <n v="67935.13"/>
    <n v="64801.919999999998"/>
    <n v="50"/>
    <x v="0"/>
    <x v="1"/>
    <x v="1"/>
    <x v="1493"/>
    <x v="1"/>
  </r>
  <r>
    <x v="1558"/>
    <x v="3"/>
    <n v="78162.75"/>
    <x v="14"/>
    <n v="1"/>
    <x v="1316"/>
    <n v="0.65769999999999995"/>
    <n v="6"/>
    <n v="49726.19"/>
    <n v="42561.2"/>
    <n v="101"/>
    <x v="0"/>
    <x v="2"/>
    <x v="0"/>
    <x v="1494"/>
    <x v="1"/>
  </r>
  <r>
    <x v="1559"/>
    <x v="3"/>
    <n v="190080.71"/>
    <x v="32"/>
    <n v="0"/>
    <x v="1317"/>
    <n v="0.18340000000000001"/>
    <n v="0"/>
    <n v="57164.56"/>
    <n v="52139.92"/>
    <n v="51"/>
    <x v="2"/>
    <x v="1"/>
    <x v="0"/>
    <x v="1495"/>
    <x v="1"/>
  </r>
  <r>
    <x v="1560"/>
    <x v="0"/>
    <n v="60558.48"/>
    <x v="43"/>
    <n v="0"/>
    <x v="972"/>
    <n v="0.48399999999999999"/>
    <n v="3"/>
    <n v="30513.51"/>
    <n v="26569.86"/>
    <n v="166"/>
    <x v="3"/>
    <x v="1"/>
    <x v="0"/>
    <x v="1496"/>
    <x v="1"/>
  </r>
  <r>
    <x v="1561"/>
    <x v="4"/>
    <n v="61194.17"/>
    <x v="13"/>
    <n v="0"/>
    <x v="24"/>
    <n v="0.86960000000000004"/>
    <n v="4"/>
    <n v="51276.75"/>
    <n v="39490.39"/>
    <n v="179"/>
    <x v="0"/>
    <x v="0"/>
    <x v="3"/>
    <x v="1497"/>
    <x v="1"/>
  </r>
  <r>
    <x v="1562"/>
    <x v="5"/>
    <n v="143520.22"/>
    <x v="13"/>
    <n v="1"/>
    <x v="1318"/>
    <n v="0.32879999999999998"/>
    <n v="0"/>
    <n v="33410.160000000003"/>
    <n v="32432.57"/>
    <n v="108"/>
    <x v="3"/>
    <x v="2"/>
    <x v="0"/>
    <x v="1498"/>
    <x v="1"/>
  </r>
  <r>
    <x v="1563"/>
    <x v="3"/>
    <n v="137604.43"/>
    <x v="13"/>
    <n v="0"/>
    <x v="987"/>
    <n v="0.18379999999999999"/>
    <n v="2"/>
    <n v="15961.92"/>
    <n v="5216.97"/>
    <n v="26"/>
    <x v="1"/>
    <x v="2"/>
    <x v="1"/>
    <x v="1499"/>
    <x v="1"/>
  </r>
  <r>
    <x v="1564"/>
    <x v="2"/>
    <n v="209007.83"/>
    <x v="2"/>
    <n v="0"/>
    <x v="1319"/>
    <n v="0.47360000000000002"/>
    <n v="1"/>
    <n v="55423.32"/>
    <n v="30262.58"/>
    <n v="43"/>
    <x v="0"/>
    <x v="0"/>
    <x v="0"/>
    <x v="1500"/>
    <x v="1"/>
  </r>
  <r>
    <x v="1565"/>
    <x v="0"/>
    <n v="104462"/>
    <x v="23"/>
    <n v="0"/>
    <x v="1320"/>
    <n v="8.5199999999999998E-2"/>
    <n v="2"/>
    <n v="6118.42"/>
    <n v="0"/>
    <n v="70"/>
    <x v="1"/>
    <x v="2"/>
    <x v="0"/>
    <x v="1501"/>
    <x v="1"/>
  </r>
  <r>
    <x v="1566"/>
    <x v="1"/>
    <n v="91861.78"/>
    <x v="37"/>
    <n v="1"/>
    <x v="1321"/>
    <n v="0.29220000000000002"/>
    <n v="1"/>
    <n v="21125.919999999998"/>
    <n v="28517.31"/>
    <n v="37"/>
    <x v="0"/>
    <x v="2"/>
    <x v="1"/>
    <x v="1502"/>
    <x v="1"/>
  </r>
  <r>
    <x v="1567"/>
    <x v="1"/>
    <n v="143606.07"/>
    <x v="15"/>
    <n v="1"/>
    <x v="1322"/>
    <n v="0.89319999999999999"/>
    <n v="3"/>
    <n v="133807.76999999999"/>
    <n v="85562.37"/>
    <n v="79"/>
    <x v="1"/>
    <x v="2"/>
    <x v="2"/>
    <x v="1503"/>
    <x v="1"/>
  </r>
  <r>
    <x v="1568"/>
    <x v="5"/>
    <n v="54307.91"/>
    <x v="13"/>
    <n v="0"/>
    <x v="1323"/>
    <n v="0"/>
    <n v="0"/>
    <n v="500"/>
    <n v="9340.14"/>
    <n v="10"/>
    <x v="0"/>
    <x v="0"/>
    <x v="0"/>
    <x v="1504"/>
    <x v="1"/>
  </r>
  <r>
    <x v="1569"/>
    <x v="0"/>
    <n v="95338.22"/>
    <x v="3"/>
    <n v="1"/>
    <x v="1324"/>
    <n v="0.73899999999999999"/>
    <n v="4"/>
    <n v="97007.13"/>
    <n v="67921.95"/>
    <n v="36"/>
    <x v="1"/>
    <x v="0"/>
    <x v="1"/>
    <x v="1505"/>
    <x v="1"/>
  </r>
  <r>
    <x v="1570"/>
    <x v="5"/>
    <n v="15555.62"/>
    <x v="18"/>
    <n v="0"/>
    <x v="1325"/>
    <n v="0.28499999999999998"/>
    <n v="2"/>
    <n v="615.15"/>
    <n v="0"/>
    <n v="104"/>
    <x v="0"/>
    <x v="0"/>
    <x v="0"/>
    <x v="1506"/>
    <x v="1"/>
  </r>
  <r>
    <x v="1571"/>
    <x v="5"/>
    <n v="89905.600000000006"/>
    <x v="40"/>
    <n v="1"/>
    <x v="1326"/>
    <n v="9.1999999999999998E-2"/>
    <n v="2"/>
    <n v="5774.02"/>
    <n v="9670.7199999999993"/>
    <n v="9"/>
    <x v="0"/>
    <x v="1"/>
    <x v="1"/>
    <x v="1507"/>
    <x v="1"/>
  </r>
  <r>
    <x v="1572"/>
    <x v="0"/>
    <n v="143890.75"/>
    <x v="23"/>
    <n v="0"/>
    <x v="1327"/>
    <n v="0.77800000000000002"/>
    <n v="7"/>
    <n v="113381.95"/>
    <n v="75590.929999999993"/>
    <n v="17"/>
    <x v="2"/>
    <x v="0"/>
    <x v="1"/>
    <x v="1508"/>
    <x v="1"/>
  </r>
  <r>
    <x v="1573"/>
    <x v="5"/>
    <n v="156696.1"/>
    <x v="21"/>
    <n v="1"/>
    <x v="1328"/>
    <n v="8.3299999999999999E-2"/>
    <n v="1"/>
    <n v="8201.82"/>
    <n v="1569.93"/>
    <n v="171"/>
    <x v="0"/>
    <x v="1"/>
    <x v="1"/>
    <x v="1509"/>
    <x v="1"/>
  </r>
  <r>
    <x v="1574"/>
    <x v="5"/>
    <n v="158205.01"/>
    <x v="24"/>
    <n v="0"/>
    <x v="1329"/>
    <n v="0.52339999999999998"/>
    <n v="4"/>
    <n v="72954.05"/>
    <n v="42042.71"/>
    <n v="141"/>
    <x v="0"/>
    <x v="0"/>
    <x v="1"/>
    <x v="1510"/>
    <x v="1"/>
  </r>
  <r>
    <x v="1575"/>
    <x v="4"/>
    <n v="137752.54"/>
    <x v="46"/>
    <n v="1"/>
    <x v="1330"/>
    <n v="0.39710000000000001"/>
    <n v="4"/>
    <n v="67516.55"/>
    <n v="46297.84"/>
    <n v="125"/>
    <x v="0"/>
    <x v="0"/>
    <x v="0"/>
    <x v="1511"/>
    <x v="1"/>
  </r>
  <r>
    <x v="1576"/>
    <x v="5"/>
    <n v="12007.45"/>
    <x v="22"/>
    <n v="1"/>
    <x v="1331"/>
    <n v="0.54330000000000001"/>
    <n v="3"/>
    <n v="24229.65"/>
    <n v="8778.73"/>
    <n v="156"/>
    <x v="1"/>
    <x v="0"/>
    <x v="1"/>
    <x v="512"/>
    <x v="1"/>
  </r>
  <r>
    <x v="1577"/>
    <x v="4"/>
    <n v="34955.17"/>
    <x v="5"/>
    <n v="1"/>
    <x v="24"/>
    <n v="0.52859999999999996"/>
    <n v="2"/>
    <n v="15876.91"/>
    <n v="16859.09"/>
    <n v="79"/>
    <x v="1"/>
    <x v="2"/>
    <x v="1"/>
    <x v="1512"/>
    <x v="1"/>
  </r>
  <r>
    <x v="1578"/>
    <x v="1"/>
    <n v="35988.1"/>
    <x v="9"/>
    <n v="0"/>
    <x v="24"/>
    <n v="0.54949999999999999"/>
    <n v="3"/>
    <n v="18468.23"/>
    <n v="30862.799999999999"/>
    <n v="55"/>
    <x v="2"/>
    <x v="0"/>
    <x v="2"/>
    <x v="1513"/>
    <x v="1"/>
  </r>
  <r>
    <x v="1579"/>
    <x v="1"/>
    <n v="83995.81"/>
    <x v="37"/>
    <n v="0"/>
    <x v="1332"/>
    <n v="0.17519999999999999"/>
    <n v="0"/>
    <n v="29522.36"/>
    <n v="10974.76"/>
    <n v="122"/>
    <x v="0"/>
    <x v="2"/>
    <x v="0"/>
    <x v="1514"/>
    <x v="1"/>
  </r>
  <r>
    <x v="1580"/>
    <x v="5"/>
    <n v="72548.95"/>
    <x v="29"/>
    <n v="0"/>
    <x v="542"/>
    <n v="0.30840000000000001"/>
    <n v="1"/>
    <n v="500"/>
    <n v="0"/>
    <n v="99"/>
    <x v="1"/>
    <x v="1"/>
    <x v="2"/>
    <x v="18"/>
    <x v="1"/>
  </r>
  <r>
    <x v="1581"/>
    <x v="1"/>
    <n v="98059.54"/>
    <x v="13"/>
    <n v="1"/>
    <x v="1333"/>
    <n v="0.1138"/>
    <n v="1"/>
    <n v="12072.06"/>
    <n v="14664.26"/>
    <n v="99"/>
    <x v="0"/>
    <x v="1"/>
    <x v="2"/>
    <x v="1515"/>
    <x v="1"/>
  </r>
  <r>
    <x v="1582"/>
    <x v="0"/>
    <n v="86041.34"/>
    <x v="34"/>
    <n v="0"/>
    <x v="24"/>
    <n v="0.626"/>
    <n v="1"/>
    <n v="46774.080000000002"/>
    <n v="26952.16"/>
    <n v="62"/>
    <x v="1"/>
    <x v="0"/>
    <x v="2"/>
    <x v="1516"/>
    <x v="0"/>
  </r>
  <r>
    <x v="1583"/>
    <x v="5"/>
    <n v="89323.85"/>
    <x v="2"/>
    <n v="0"/>
    <x v="631"/>
    <n v="6.2100000000000002E-2"/>
    <n v="2"/>
    <n v="500"/>
    <n v="0"/>
    <n v="43"/>
    <x v="0"/>
    <x v="1"/>
    <x v="0"/>
    <x v="1517"/>
    <x v="1"/>
  </r>
  <r>
    <x v="1104"/>
    <x v="1"/>
    <n v="96102.05"/>
    <x v="48"/>
    <n v="1"/>
    <x v="1334"/>
    <n v="0.31879999999999997"/>
    <n v="0"/>
    <n v="33614.67"/>
    <n v="13039.31"/>
    <n v="163"/>
    <x v="2"/>
    <x v="0"/>
    <x v="1"/>
    <x v="1518"/>
    <x v="1"/>
  </r>
  <r>
    <x v="1584"/>
    <x v="2"/>
    <n v="112143.53"/>
    <x v="11"/>
    <n v="0"/>
    <x v="1335"/>
    <n v="0.68979999999999997"/>
    <n v="4"/>
    <n v="124970.33"/>
    <n v="68263.33"/>
    <n v="155"/>
    <x v="2"/>
    <x v="2"/>
    <x v="0"/>
    <x v="1519"/>
    <x v="1"/>
  </r>
  <r>
    <x v="1585"/>
    <x v="5"/>
    <n v="52486.37"/>
    <x v="11"/>
    <n v="1"/>
    <x v="1015"/>
    <n v="0.50419999999999998"/>
    <n v="3"/>
    <n v="20734.72"/>
    <n v="12723.87"/>
    <n v="120"/>
    <x v="2"/>
    <x v="0"/>
    <x v="0"/>
    <x v="1520"/>
    <x v="1"/>
  </r>
  <r>
    <x v="1586"/>
    <x v="3"/>
    <n v="133201.60000000001"/>
    <x v="9"/>
    <n v="1"/>
    <x v="1336"/>
    <n v="0.53749999999999998"/>
    <n v="5"/>
    <n v="95915.38"/>
    <n v="62472.68"/>
    <n v="159"/>
    <x v="1"/>
    <x v="0"/>
    <x v="0"/>
    <x v="1521"/>
    <x v="1"/>
  </r>
  <r>
    <x v="1587"/>
    <x v="4"/>
    <n v="101012.5"/>
    <x v="23"/>
    <n v="1"/>
    <x v="1337"/>
    <n v="0.53200000000000003"/>
    <n v="2"/>
    <n v="48867.360000000001"/>
    <n v="42695.519999999997"/>
    <n v="125"/>
    <x v="0"/>
    <x v="0"/>
    <x v="0"/>
    <x v="1522"/>
    <x v="1"/>
  </r>
  <r>
    <x v="1588"/>
    <x v="1"/>
    <n v="95185.66"/>
    <x v="15"/>
    <n v="1"/>
    <x v="1338"/>
    <n v="0.57130000000000003"/>
    <n v="3"/>
    <n v="76108.990000000005"/>
    <n v="44830.19"/>
    <n v="64"/>
    <x v="1"/>
    <x v="2"/>
    <x v="0"/>
    <x v="1523"/>
    <x v="1"/>
  </r>
  <r>
    <x v="1589"/>
    <x v="3"/>
    <n v="78664.3"/>
    <x v="43"/>
    <n v="1"/>
    <x v="1339"/>
    <n v="0.48620000000000002"/>
    <n v="0"/>
    <n v="36567.22"/>
    <n v="29819.17"/>
    <n v="83"/>
    <x v="1"/>
    <x v="0"/>
    <x v="1"/>
    <x v="1524"/>
    <x v="1"/>
  </r>
  <r>
    <x v="1590"/>
    <x v="1"/>
    <n v="103056.8"/>
    <x v="33"/>
    <n v="1"/>
    <x v="1340"/>
    <n v="0.81659999999999999"/>
    <n v="4"/>
    <n v="70165.100000000006"/>
    <n v="52408.99"/>
    <n v="148"/>
    <x v="1"/>
    <x v="0"/>
    <x v="0"/>
    <x v="1525"/>
    <x v="1"/>
  </r>
  <r>
    <x v="1591"/>
    <x v="2"/>
    <n v="89972.69"/>
    <x v="6"/>
    <n v="1"/>
    <x v="1341"/>
    <n v="0.6956"/>
    <n v="2"/>
    <n v="84983.9"/>
    <n v="73931.509999999995"/>
    <n v="58"/>
    <x v="2"/>
    <x v="0"/>
    <x v="1"/>
    <x v="1526"/>
    <x v="1"/>
  </r>
  <r>
    <x v="1592"/>
    <x v="2"/>
    <n v="65596.31"/>
    <x v="21"/>
    <n v="1"/>
    <x v="1342"/>
    <n v="0.29370000000000002"/>
    <n v="0"/>
    <n v="14912.47"/>
    <n v="15097.05"/>
    <n v="110"/>
    <x v="2"/>
    <x v="2"/>
    <x v="1"/>
    <x v="1527"/>
    <x v="1"/>
  </r>
  <r>
    <x v="1593"/>
    <x v="4"/>
    <n v="221766.25"/>
    <x v="16"/>
    <n v="0"/>
    <x v="1343"/>
    <n v="0.3332"/>
    <n v="1"/>
    <n v="64877.8"/>
    <n v="24598"/>
    <n v="66"/>
    <x v="0"/>
    <x v="0"/>
    <x v="0"/>
    <x v="1528"/>
    <x v="1"/>
  </r>
  <r>
    <x v="1594"/>
    <x v="1"/>
    <n v="76745.62"/>
    <x v="22"/>
    <n v="0"/>
    <x v="364"/>
    <n v="0.64739999999999998"/>
    <n v="7"/>
    <n v="66038.100000000006"/>
    <n v="39412.83"/>
    <n v="71"/>
    <x v="2"/>
    <x v="0"/>
    <x v="1"/>
    <x v="1529"/>
    <x v="1"/>
  </r>
  <r>
    <x v="1595"/>
    <x v="3"/>
    <n v="76814.69"/>
    <x v="22"/>
    <n v="0"/>
    <x v="504"/>
    <n v="0"/>
    <n v="0"/>
    <n v="500"/>
    <n v="355.91"/>
    <n v="71"/>
    <x v="0"/>
    <x v="2"/>
    <x v="1"/>
    <x v="1530"/>
    <x v="1"/>
  </r>
  <r>
    <x v="1596"/>
    <x v="2"/>
    <n v="64594.9"/>
    <x v="19"/>
    <n v="0"/>
    <x v="1344"/>
    <n v="0.52610000000000001"/>
    <n v="4"/>
    <n v="48728.94"/>
    <n v="39217.42"/>
    <n v="58"/>
    <x v="0"/>
    <x v="2"/>
    <x v="0"/>
    <x v="1531"/>
    <x v="1"/>
  </r>
  <r>
    <x v="1597"/>
    <x v="3"/>
    <n v="68787.31"/>
    <x v="28"/>
    <n v="0"/>
    <x v="1345"/>
    <n v="0.64200000000000002"/>
    <n v="0"/>
    <n v="34036.050000000003"/>
    <n v="15734.76"/>
    <n v="161"/>
    <x v="0"/>
    <x v="0"/>
    <x v="0"/>
    <x v="1532"/>
    <x v="1"/>
  </r>
  <r>
    <x v="1598"/>
    <x v="2"/>
    <n v="103222.13"/>
    <x v="49"/>
    <n v="1"/>
    <x v="1346"/>
    <n v="0.54879999999999995"/>
    <n v="4"/>
    <n v="43612.1"/>
    <n v="25720.26"/>
    <n v="50"/>
    <x v="2"/>
    <x v="2"/>
    <x v="3"/>
    <x v="1533"/>
    <x v="0"/>
  </r>
  <r>
    <x v="1599"/>
    <x v="3"/>
    <n v="19674.599999999999"/>
    <x v="25"/>
    <n v="0"/>
    <x v="1347"/>
    <n v="0.55489999999999995"/>
    <n v="4"/>
    <n v="500"/>
    <n v="10876.61"/>
    <n v="151"/>
    <x v="2"/>
    <x v="0"/>
    <x v="3"/>
    <x v="1534"/>
    <x v="1"/>
  </r>
  <r>
    <x v="1600"/>
    <x v="5"/>
    <n v="71753.83"/>
    <x v="7"/>
    <n v="1"/>
    <x v="1348"/>
    <n v="0.32229999999999998"/>
    <n v="0"/>
    <n v="14446.98"/>
    <n v="0"/>
    <n v="10"/>
    <x v="2"/>
    <x v="2"/>
    <x v="0"/>
    <x v="1535"/>
    <x v="1"/>
  </r>
  <r>
    <x v="1601"/>
    <x v="5"/>
    <n v="16375.82"/>
    <x v="33"/>
    <n v="0"/>
    <x v="1349"/>
    <n v="0.16439999999999999"/>
    <n v="0"/>
    <n v="500"/>
    <n v="5504.66"/>
    <n v="53"/>
    <x v="1"/>
    <x v="0"/>
    <x v="0"/>
    <x v="1536"/>
    <x v="1"/>
  </r>
  <r>
    <x v="1602"/>
    <x v="2"/>
    <n v="148053.4"/>
    <x v="46"/>
    <n v="0"/>
    <x v="1063"/>
    <n v="0.57050000000000001"/>
    <n v="0"/>
    <n v="98928.25"/>
    <n v="71415.86"/>
    <n v="62"/>
    <x v="3"/>
    <x v="0"/>
    <x v="0"/>
    <x v="1537"/>
    <x v="1"/>
  </r>
  <r>
    <x v="1603"/>
    <x v="2"/>
    <n v="88334.75"/>
    <x v="21"/>
    <n v="0"/>
    <x v="1350"/>
    <n v="0.14280000000000001"/>
    <n v="0"/>
    <n v="25868.98"/>
    <n v="18200.21"/>
    <n v="160"/>
    <x v="0"/>
    <x v="2"/>
    <x v="0"/>
    <x v="655"/>
    <x v="1"/>
  </r>
  <r>
    <x v="1604"/>
    <x v="4"/>
    <n v="2000"/>
    <x v="49"/>
    <n v="0"/>
    <x v="1351"/>
    <n v="0.28689999999999999"/>
    <n v="0"/>
    <n v="500"/>
    <n v="2375.1999999999998"/>
    <n v="82"/>
    <x v="3"/>
    <x v="2"/>
    <x v="0"/>
    <x v="1538"/>
    <x v="1"/>
  </r>
  <r>
    <x v="1605"/>
    <x v="3"/>
    <n v="47459.34"/>
    <x v="37"/>
    <n v="0"/>
    <x v="1352"/>
    <n v="0.1164"/>
    <n v="0"/>
    <n v="500"/>
    <n v="1743.57"/>
    <n v="170"/>
    <x v="0"/>
    <x v="1"/>
    <x v="1"/>
    <x v="1539"/>
    <x v="1"/>
  </r>
  <r>
    <x v="1606"/>
    <x v="2"/>
    <n v="164491.03"/>
    <x v="43"/>
    <n v="0"/>
    <x v="1353"/>
    <n v="0.40250000000000002"/>
    <n v="4"/>
    <n v="53802.73"/>
    <n v="39807.31"/>
    <n v="132"/>
    <x v="3"/>
    <x v="2"/>
    <x v="2"/>
    <x v="1540"/>
    <x v="0"/>
  </r>
  <r>
    <x v="1607"/>
    <x v="5"/>
    <n v="96201.48"/>
    <x v="47"/>
    <n v="1"/>
    <x v="1354"/>
    <n v="0.68500000000000005"/>
    <n v="3"/>
    <n v="70946.009999999995"/>
    <n v="44361.81"/>
    <n v="17"/>
    <x v="0"/>
    <x v="2"/>
    <x v="2"/>
    <x v="1541"/>
    <x v="1"/>
  </r>
  <r>
    <x v="1608"/>
    <x v="0"/>
    <n v="2000"/>
    <x v="18"/>
    <n v="0"/>
    <x v="1355"/>
    <n v="0.26169999999999999"/>
    <n v="0"/>
    <n v="500"/>
    <n v="0"/>
    <n v="46"/>
    <x v="0"/>
    <x v="0"/>
    <x v="0"/>
    <x v="1542"/>
    <x v="0"/>
  </r>
  <r>
    <x v="1609"/>
    <x v="5"/>
    <n v="110909.59"/>
    <x v="39"/>
    <n v="0"/>
    <x v="1356"/>
    <n v="0.53739999999999999"/>
    <n v="5"/>
    <n v="51823.62"/>
    <n v="32771.730000000003"/>
    <n v="21"/>
    <x v="0"/>
    <x v="2"/>
    <x v="0"/>
    <x v="1543"/>
    <x v="1"/>
  </r>
  <r>
    <x v="1610"/>
    <x v="5"/>
    <n v="124227.38"/>
    <x v="39"/>
    <n v="1"/>
    <x v="1357"/>
    <n v="0.65180000000000005"/>
    <n v="1"/>
    <n v="80456.67"/>
    <n v="44236.54"/>
    <n v="59"/>
    <x v="1"/>
    <x v="2"/>
    <x v="0"/>
    <x v="1544"/>
    <x v="1"/>
  </r>
  <r>
    <x v="1611"/>
    <x v="2"/>
    <n v="80652.320000000007"/>
    <x v="44"/>
    <n v="1"/>
    <x v="1358"/>
    <n v="0.28849999999999998"/>
    <n v="1"/>
    <n v="24590.25"/>
    <n v="16422.28"/>
    <n v="150"/>
    <x v="1"/>
    <x v="2"/>
    <x v="1"/>
    <x v="1545"/>
    <x v="1"/>
  </r>
  <r>
    <x v="1612"/>
    <x v="2"/>
    <n v="149096.15"/>
    <x v="11"/>
    <n v="1"/>
    <x v="1359"/>
    <n v="0.54730000000000001"/>
    <n v="1"/>
    <n v="73783.11"/>
    <n v="44324.45"/>
    <n v="86"/>
    <x v="2"/>
    <x v="2"/>
    <x v="1"/>
    <x v="1546"/>
    <x v="1"/>
  </r>
  <r>
    <x v="1613"/>
    <x v="4"/>
    <n v="114761.84"/>
    <x v="7"/>
    <n v="1"/>
    <x v="1360"/>
    <n v="0.31950000000000001"/>
    <n v="3"/>
    <n v="17319.849999999999"/>
    <n v="15138.17"/>
    <n v="77"/>
    <x v="0"/>
    <x v="1"/>
    <x v="0"/>
    <x v="1547"/>
    <x v="1"/>
  </r>
  <r>
    <x v="1614"/>
    <x v="4"/>
    <n v="39056.550000000003"/>
    <x v="17"/>
    <n v="0"/>
    <x v="1361"/>
    <n v="0.66090000000000004"/>
    <n v="1"/>
    <n v="7218.89"/>
    <n v="758.13"/>
    <n v="120"/>
    <x v="0"/>
    <x v="0"/>
    <x v="1"/>
    <x v="1548"/>
    <x v="1"/>
  </r>
  <r>
    <x v="1615"/>
    <x v="4"/>
    <n v="2236.69"/>
    <x v="0"/>
    <n v="1"/>
    <x v="1362"/>
    <n v="0.25890000000000002"/>
    <n v="2"/>
    <n v="13329.54"/>
    <n v="1566.94"/>
    <n v="108"/>
    <x v="0"/>
    <x v="0"/>
    <x v="2"/>
    <x v="1549"/>
    <x v="1"/>
  </r>
  <r>
    <x v="1616"/>
    <x v="0"/>
    <n v="2000"/>
    <x v="46"/>
    <n v="0"/>
    <x v="1363"/>
    <n v="0.23200000000000001"/>
    <n v="4"/>
    <n v="1033.8399999999999"/>
    <n v="0"/>
    <n v="74"/>
    <x v="0"/>
    <x v="0"/>
    <x v="0"/>
    <x v="1550"/>
    <x v="1"/>
  </r>
  <r>
    <x v="1617"/>
    <x v="1"/>
    <n v="123084.54"/>
    <x v="5"/>
    <n v="0"/>
    <x v="1364"/>
    <n v="0.54920000000000002"/>
    <n v="2"/>
    <n v="62671.55"/>
    <n v="51300.37"/>
    <n v="41"/>
    <x v="0"/>
    <x v="2"/>
    <x v="0"/>
    <x v="625"/>
    <x v="1"/>
  </r>
  <r>
    <x v="1618"/>
    <x v="3"/>
    <n v="77620.37"/>
    <x v="7"/>
    <n v="1"/>
    <x v="1365"/>
    <n v="0.26200000000000001"/>
    <n v="3"/>
    <n v="33264.29"/>
    <n v="32831.4"/>
    <n v="70"/>
    <x v="2"/>
    <x v="0"/>
    <x v="0"/>
    <x v="416"/>
    <x v="1"/>
  </r>
  <r>
    <x v="1619"/>
    <x v="3"/>
    <n v="81047.48"/>
    <x v="8"/>
    <n v="0"/>
    <x v="1366"/>
    <n v="0.1489"/>
    <n v="5"/>
    <n v="17206.21"/>
    <n v="345.16"/>
    <n v="7"/>
    <x v="0"/>
    <x v="2"/>
    <x v="1"/>
    <x v="1551"/>
    <x v="1"/>
  </r>
  <r>
    <x v="1620"/>
    <x v="0"/>
    <n v="116650.55"/>
    <x v="1"/>
    <n v="1"/>
    <x v="24"/>
    <n v="0.27700000000000002"/>
    <n v="2"/>
    <n v="12330.77"/>
    <n v="18315.03"/>
    <n v="30"/>
    <x v="1"/>
    <x v="2"/>
    <x v="0"/>
    <x v="1552"/>
    <x v="1"/>
  </r>
  <r>
    <x v="1621"/>
    <x v="5"/>
    <n v="76049"/>
    <x v="29"/>
    <n v="1"/>
    <x v="1367"/>
    <n v="0.31909999999999999"/>
    <n v="6"/>
    <n v="15373.84"/>
    <n v="16866.16"/>
    <n v="97"/>
    <x v="1"/>
    <x v="2"/>
    <x v="2"/>
    <x v="1553"/>
    <x v="1"/>
  </r>
  <r>
    <x v="1622"/>
    <x v="1"/>
    <n v="58883.21"/>
    <x v="29"/>
    <n v="1"/>
    <x v="1252"/>
    <n v="0.1237"/>
    <n v="0"/>
    <n v="12484.66"/>
    <n v="7801.86"/>
    <n v="129"/>
    <x v="0"/>
    <x v="2"/>
    <x v="0"/>
    <x v="1554"/>
    <x v="1"/>
  </r>
  <r>
    <x v="1623"/>
    <x v="4"/>
    <n v="106265.5"/>
    <x v="10"/>
    <n v="1"/>
    <x v="24"/>
    <n v="0.39169999999999999"/>
    <n v="2"/>
    <n v="33795.120000000003"/>
    <n v="24544.16"/>
    <n v="46"/>
    <x v="0"/>
    <x v="2"/>
    <x v="0"/>
    <x v="1555"/>
    <x v="1"/>
  </r>
  <r>
    <x v="1624"/>
    <x v="2"/>
    <n v="107737.1"/>
    <x v="4"/>
    <n v="1"/>
    <x v="1368"/>
    <n v="0.29699999999999999"/>
    <n v="2"/>
    <n v="500"/>
    <n v="0"/>
    <n v="54"/>
    <x v="1"/>
    <x v="0"/>
    <x v="0"/>
    <x v="1556"/>
    <x v="1"/>
  </r>
  <r>
    <x v="1625"/>
    <x v="0"/>
    <n v="106272.56"/>
    <x v="44"/>
    <n v="0"/>
    <x v="1369"/>
    <n v="0.40539999999999998"/>
    <n v="4"/>
    <n v="38517.379999999997"/>
    <n v="34834.15"/>
    <n v="158"/>
    <x v="0"/>
    <x v="0"/>
    <x v="1"/>
    <x v="1557"/>
    <x v="1"/>
  </r>
  <r>
    <x v="1626"/>
    <x v="3"/>
    <n v="103620.34"/>
    <x v="39"/>
    <n v="0"/>
    <x v="1370"/>
    <n v="0.58840000000000003"/>
    <n v="3"/>
    <n v="89176.37"/>
    <n v="57006.22"/>
    <n v="154"/>
    <x v="1"/>
    <x v="0"/>
    <x v="0"/>
    <x v="1558"/>
    <x v="1"/>
  </r>
  <r>
    <x v="1627"/>
    <x v="3"/>
    <n v="84719.91"/>
    <x v="5"/>
    <n v="0"/>
    <x v="1371"/>
    <n v="0.33979999999999999"/>
    <n v="2"/>
    <n v="30054.84"/>
    <n v="9621.35"/>
    <n v="68"/>
    <x v="1"/>
    <x v="0"/>
    <x v="1"/>
    <x v="1559"/>
    <x v="1"/>
  </r>
  <r>
    <x v="1628"/>
    <x v="3"/>
    <n v="118304.6"/>
    <x v="14"/>
    <n v="1"/>
    <x v="1372"/>
    <n v="0.34489999999999998"/>
    <n v="4"/>
    <n v="22288.2"/>
    <n v="14904.27"/>
    <n v="141"/>
    <x v="0"/>
    <x v="0"/>
    <x v="0"/>
    <x v="1560"/>
    <x v="1"/>
  </r>
  <r>
    <x v="1629"/>
    <x v="2"/>
    <n v="7373.69"/>
    <x v="23"/>
    <n v="0"/>
    <x v="221"/>
    <n v="0"/>
    <n v="2"/>
    <n v="500"/>
    <n v="1785.43"/>
    <n v="39"/>
    <x v="1"/>
    <x v="0"/>
    <x v="1"/>
    <x v="1561"/>
    <x v="1"/>
  </r>
  <r>
    <x v="1630"/>
    <x v="4"/>
    <n v="87590.54"/>
    <x v="5"/>
    <n v="0"/>
    <x v="1373"/>
    <n v="0.43840000000000001"/>
    <n v="1"/>
    <n v="45911.02"/>
    <n v="24810.86"/>
    <n v="63"/>
    <x v="1"/>
    <x v="0"/>
    <x v="2"/>
    <x v="1562"/>
    <x v="1"/>
  </r>
  <r>
    <x v="1631"/>
    <x v="3"/>
    <n v="83981.64"/>
    <x v="26"/>
    <n v="1"/>
    <x v="1197"/>
    <n v="0.37769999999999998"/>
    <n v="6"/>
    <n v="44079.74"/>
    <n v="28798.93"/>
    <n v="57"/>
    <x v="1"/>
    <x v="0"/>
    <x v="0"/>
    <x v="1563"/>
    <x v="1"/>
  </r>
  <r>
    <x v="1632"/>
    <x v="1"/>
    <n v="69583.58"/>
    <x v="15"/>
    <n v="0"/>
    <x v="1374"/>
    <n v="0.65380000000000005"/>
    <n v="6"/>
    <n v="34282.92"/>
    <n v="16388.14"/>
    <n v="14"/>
    <x v="1"/>
    <x v="2"/>
    <x v="1"/>
    <x v="1564"/>
    <x v="1"/>
  </r>
  <r>
    <x v="1633"/>
    <x v="5"/>
    <n v="141910.15"/>
    <x v="0"/>
    <n v="1"/>
    <x v="24"/>
    <n v="0.73150000000000004"/>
    <n v="2"/>
    <n v="74569.48"/>
    <n v="62288.56"/>
    <n v="31"/>
    <x v="1"/>
    <x v="0"/>
    <x v="3"/>
    <x v="1565"/>
    <x v="1"/>
  </r>
  <r>
    <x v="1634"/>
    <x v="1"/>
    <n v="44912.76"/>
    <x v="1"/>
    <n v="1"/>
    <x v="1142"/>
    <n v="0.74150000000000005"/>
    <n v="5"/>
    <n v="35636.18"/>
    <n v="18228.599999999999"/>
    <n v="74"/>
    <x v="2"/>
    <x v="0"/>
    <x v="1"/>
    <x v="1566"/>
    <x v="1"/>
  </r>
  <r>
    <x v="1635"/>
    <x v="0"/>
    <n v="45781.54"/>
    <x v="1"/>
    <n v="0"/>
    <x v="1375"/>
    <n v="0.152"/>
    <n v="1"/>
    <n v="6279.99"/>
    <n v="15384.67"/>
    <n v="8"/>
    <x v="0"/>
    <x v="2"/>
    <x v="1"/>
    <x v="1567"/>
    <x v="1"/>
  </r>
  <r>
    <x v="1636"/>
    <x v="0"/>
    <n v="113483.14"/>
    <x v="41"/>
    <n v="0"/>
    <x v="1376"/>
    <n v="0.5595"/>
    <n v="3"/>
    <n v="80022.75"/>
    <n v="49945"/>
    <n v="74"/>
    <x v="0"/>
    <x v="0"/>
    <x v="3"/>
    <x v="1568"/>
    <x v="1"/>
  </r>
  <r>
    <x v="1637"/>
    <x v="1"/>
    <n v="103122.76"/>
    <x v="24"/>
    <n v="1"/>
    <x v="24"/>
    <n v="0.61580000000000001"/>
    <n v="2"/>
    <n v="72207.460000000006"/>
    <n v="56047.62"/>
    <n v="106"/>
    <x v="1"/>
    <x v="0"/>
    <x v="1"/>
    <x v="1569"/>
    <x v="1"/>
  </r>
  <r>
    <x v="1638"/>
    <x v="3"/>
    <n v="38301.550000000003"/>
    <x v="27"/>
    <n v="1"/>
    <x v="253"/>
    <n v="0.70340000000000003"/>
    <n v="4"/>
    <n v="42737.85"/>
    <n v="24622.74"/>
    <n v="168"/>
    <x v="1"/>
    <x v="0"/>
    <x v="0"/>
    <x v="1570"/>
    <x v="1"/>
  </r>
  <r>
    <x v="1639"/>
    <x v="4"/>
    <n v="119195.14"/>
    <x v="35"/>
    <n v="1"/>
    <x v="1377"/>
    <n v="0.158"/>
    <n v="2"/>
    <n v="5555.96"/>
    <n v="10649.97"/>
    <n v="121"/>
    <x v="2"/>
    <x v="1"/>
    <x v="0"/>
    <x v="1571"/>
    <x v="1"/>
  </r>
  <r>
    <x v="1640"/>
    <x v="1"/>
    <n v="138416.28"/>
    <x v="41"/>
    <n v="1"/>
    <x v="1378"/>
    <n v="0.17630000000000001"/>
    <n v="2"/>
    <n v="43354.6"/>
    <n v="35517.980000000003"/>
    <n v="23"/>
    <x v="1"/>
    <x v="0"/>
    <x v="1"/>
    <x v="1572"/>
    <x v="1"/>
  </r>
  <r>
    <x v="1641"/>
    <x v="5"/>
    <n v="120244.05"/>
    <x v="17"/>
    <n v="0"/>
    <x v="1379"/>
    <n v="0.4859"/>
    <n v="3"/>
    <n v="25811.67"/>
    <n v="19738"/>
    <n v="48"/>
    <x v="1"/>
    <x v="0"/>
    <x v="1"/>
    <x v="1573"/>
    <x v="1"/>
  </r>
  <r>
    <x v="1642"/>
    <x v="3"/>
    <n v="102165.59"/>
    <x v="40"/>
    <n v="1"/>
    <x v="1380"/>
    <n v="0.53680000000000005"/>
    <n v="3"/>
    <n v="70239.149999999994"/>
    <n v="45810.05"/>
    <n v="15"/>
    <x v="0"/>
    <x v="0"/>
    <x v="0"/>
    <x v="1574"/>
    <x v="1"/>
  </r>
  <r>
    <x v="1643"/>
    <x v="5"/>
    <n v="59048.32"/>
    <x v="37"/>
    <n v="0"/>
    <x v="1381"/>
    <n v="0.1323"/>
    <n v="1"/>
    <n v="14524.65"/>
    <n v="24143.37"/>
    <n v="126"/>
    <x v="1"/>
    <x v="2"/>
    <x v="0"/>
    <x v="1575"/>
    <x v="1"/>
  </r>
  <r>
    <x v="1644"/>
    <x v="1"/>
    <n v="78309.61"/>
    <x v="13"/>
    <n v="0"/>
    <x v="1121"/>
    <n v="0.21609999999999999"/>
    <n v="0"/>
    <n v="11410.58"/>
    <n v="9808.32"/>
    <n v="137"/>
    <x v="1"/>
    <x v="2"/>
    <x v="0"/>
    <x v="1576"/>
    <x v="1"/>
  </r>
  <r>
    <x v="1645"/>
    <x v="5"/>
    <n v="94212.89"/>
    <x v="39"/>
    <n v="0"/>
    <x v="1382"/>
    <n v="8.3299999999999999E-2"/>
    <n v="3"/>
    <n v="500"/>
    <n v="0"/>
    <n v="180"/>
    <x v="2"/>
    <x v="2"/>
    <x v="1"/>
    <x v="1577"/>
    <x v="1"/>
  </r>
  <r>
    <x v="1646"/>
    <x v="2"/>
    <n v="50818.03"/>
    <x v="37"/>
    <n v="0"/>
    <x v="24"/>
    <n v="0.47260000000000002"/>
    <n v="4"/>
    <n v="3639.45"/>
    <n v="11828.65"/>
    <n v="169"/>
    <x v="0"/>
    <x v="0"/>
    <x v="2"/>
    <x v="1578"/>
    <x v="1"/>
  </r>
  <r>
    <x v="1647"/>
    <x v="3"/>
    <n v="150650.72"/>
    <x v="40"/>
    <n v="0"/>
    <x v="1383"/>
    <n v="5.7000000000000002E-2"/>
    <n v="2"/>
    <n v="35057.760000000002"/>
    <n v="32804.07"/>
    <n v="180"/>
    <x v="1"/>
    <x v="0"/>
    <x v="0"/>
    <x v="1579"/>
    <x v="1"/>
  </r>
  <r>
    <x v="1648"/>
    <x v="2"/>
    <n v="104748.11"/>
    <x v="11"/>
    <n v="0"/>
    <x v="765"/>
    <n v="0.89349999999999996"/>
    <n v="3"/>
    <n v="65987.44"/>
    <n v="32290.74"/>
    <n v="154"/>
    <x v="1"/>
    <x v="2"/>
    <x v="1"/>
    <x v="1580"/>
    <x v="1"/>
  </r>
  <r>
    <x v="1649"/>
    <x v="2"/>
    <n v="62899.46"/>
    <x v="49"/>
    <n v="0"/>
    <x v="1384"/>
    <n v="0.66310000000000002"/>
    <n v="3"/>
    <n v="27249.26"/>
    <n v="12877.26"/>
    <n v="88"/>
    <x v="3"/>
    <x v="2"/>
    <x v="1"/>
    <x v="288"/>
    <x v="1"/>
  </r>
  <r>
    <x v="1650"/>
    <x v="2"/>
    <n v="109486.73"/>
    <x v="45"/>
    <n v="1"/>
    <x v="1385"/>
    <n v="0.30180000000000001"/>
    <n v="1"/>
    <n v="43975.86"/>
    <n v="18007.900000000001"/>
    <n v="13"/>
    <x v="0"/>
    <x v="2"/>
    <x v="1"/>
    <x v="1581"/>
    <x v="1"/>
  </r>
  <r>
    <x v="1651"/>
    <x v="0"/>
    <n v="99135.46"/>
    <x v="8"/>
    <n v="0"/>
    <x v="24"/>
    <n v="0.48299999999999998"/>
    <n v="0"/>
    <n v="33211.449999999997"/>
    <n v="49433.72"/>
    <n v="159"/>
    <x v="1"/>
    <x v="0"/>
    <x v="0"/>
    <x v="1582"/>
    <x v="1"/>
  </r>
  <r>
    <x v="1652"/>
    <x v="3"/>
    <n v="40088.980000000003"/>
    <x v="48"/>
    <n v="1"/>
    <x v="1386"/>
    <n v="0.3473"/>
    <n v="1"/>
    <n v="29677.35"/>
    <n v="22308.31"/>
    <n v="161"/>
    <x v="1"/>
    <x v="1"/>
    <x v="0"/>
    <x v="1583"/>
    <x v="1"/>
  </r>
  <r>
    <x v="1653"/>
    <x v="2"/>
    <n v="12430.01"/>
    <x v="4"/>
    <n v="0"/>
    <x v="1068"/>
    <n v="0.50339999999999996"/>
    <n v="0"/>
    <n v="500"/>
    <n v="0"/>
    <n v="179"/>
    <x v="2"/>
    <x v="0"/>
    <x v="1"/>
    <x v="1584"/>
    <x v="1"/>
  </r>
  <r>
    <x v="1654"/>
    <x v="5"/>
    <n v="122796.36"/>
    <x v="45"/>
    <n v="1"/>
    <x v="1387"/>
    <n v="0.55920000000000003"/>
    <n v="1"/>
    <n v="51539.93"/>
    <n v="28798.34"/>
    <n v="171"/>
    <x v="1"/>
    <x v="2"/>
    <x v="1"/>
    <x v="1585"/>
    <x v="1"/>
  </r>
  <r>
    <x v="1655"/>
    <x v="2"/>
    <n v="142066.35999999999"/>
    <x v="19"/>
    <n v="0"/>
    <x v="146"/>
    <n v="0.64380000000000004"/>
    <n v="2"/>
    <n v="90052.79"/>
    <n v="63170.54"/>
    <n v="173"/>
    <x v="1"/>
    <x v="0"/>
    <x v="0"/>
    <x v="1586"/>
    <x v="1"/>
  </r>
  <r>
    <x v="1656"/>
    <x v="0"/>
    <n v="94387.6"/>
    <x v="31"/>
    <n v="0"/>
    <x v="1388"/>
    <n v="0.3634"/>
    <n v="2"/>
    <n v="49863.24"/>
    <n v="39898.17"/>
    <n v="167"/>
    <x v="1"/>
    <x v="2"/>
    <x v="2"/>
    <x v="1587"/>
    <x v="1"/>
  </r>
  <r>
    <x v="1657"/>
    <x v="0"/>
    <n v="114292.92"/>
    <x v="36"/>
    <n v="1"/>
    <x v="546"/>
    <n v="6.6799999999999998E-2"/>
    <n v="0"/>
    <n v="500"/>
    <n v="2876.46"/>
    <n v="81"/>
    <x v="2"/>
    <x v="2"/>
    <x v="0"/>
    <x v="1588"/>
    <x v="1"/>
  </r>
  <r>
    <x v="1658"/>
    <x v="5"/>
    <n v="68191.73"/>
    <x v="36"/>
    <n v="0"/>
    <x v="1389"/>
    <n v="0.3624"/>
    <n v="7"/>
    <n v="16876.490000000002"/>
    <n v="14164.35"/>
    <n v="167"/>
    <x v="0"/>
    <x v="0"/>
    <x v="1"/>
    <x v="1589"/>
    <x v="1"/>
  </r>
  <r>
    <x v="1659"/>
    <x v="4"/>
    <n v="71626.58"/>
    <x v="31"/>
    <n v="1"/>
    <x v="1390"/>
    <n v="0.58440000000000003"/>
    <n v="2"/>
    <n v="62570.400000000001"/>
    <n v="50366.99"/>
    <n v="109"/>
    <x v="1"/>
    <x v="0"/>
    <x v="0"/>
    <x v="988"/>
    <x v="1"/>
  </r>
  <r>
    <x v="1660"/>
    <x v="0"/>
    <n v="96150.1"/>
    <x v="15"/>
    <n v="1"/>
    <x v="24"/>
    <n v="0.54700000000000004"/>
    <n v="5"/>
    <n v="82872.81"/>
    <n v="72169.64"/>
    <n v="73"/>
    <x v="0"/>
    <x v="0"/>
    <x v="2"/>
    <x v="1590"/>
    <x v="1"/>
  </r>
  <r>
    <x v="1661"/>
    <x v="1"/>
    <n v="52407.360000000001"/>
    <x v="33"/>
    <n v="0"/>
    <x v="1391"/>
    <n v="0.77759999999999996"/>
    <n v="4"/>
    <n v="63520.3"/>
    <n v="25140.33"/>
    <n v="26"/>
    <x v="0"/>
    <x v="2"/>
    <x v="0"/>
    <x v="1591"/>
    <x v="1"/>
  </r>
  <r>
    <x v="1662"/>
    <x v="0"/>
    <n v="33938.25"/>
    <x v="4"/>
    <n v="0"/>
    <x v="678"/>
    <n v="0.27850000000000003"/>
    <n v="0"/>
    <n v="500"/>
    <n v="4682.01"/>
    <n v="63"/>
    <x v="1"/>
    <x v="0"/>
    <x v="0"/>
    <x v="1592"/>
    <x v="1"/>
  </r>
  <r>
    <x v="1663"/>
    <x v="1"/>
    <n v="48488.81"/>
    <x v="47"/>
    <n v="0"/>
    <x v="271"/>
    <n v="0.71989999999999998"/>
    <n v="5"/>
    <n v="25204.3"/>
    <n v="9232.19"/>
    <n v="39"/>
    <x v="2"/>
    <x v="0"/>
    <x v="0"/>
    <x v="1593"/>
    <x v="1"/>
  </r>
  <r>
    <x v="1664"/>
    <x v="0"/>
    <n v="146779.68"/>
    <x v="39"/>
    <n v="1"/>
    <x v="1392"/>
    <n v="0.54210000000000003"/>
    <n v="3"/>
    <n v="68089.86"/>
    <n v="44297.01"/>
    <n v="118"/>
    <x v="2"/>
    <x v="2"/>
    <x v="0"/>
    <x v="1594"/>
    <x v="0"/>
  </r>
  <r>
    <x v="1665"/>
    <x v="5"/>
    <n v="91979.78"/>
    <x v="20"/>
    <n v="0"/>
    <x v="1393"/>
    <n v="0.32950000000000002"/>
    <n v="6"/>
    <n v="21871.89"/>
    <n v="16356.39"/>
    <n v="96"/>
    <x v="2"/>
    <x v="2"/>
    <x v="3"/>
    <x v="1595"/>
    <x v="1"/>
  </r>
  <r>
    <x v="1666"/>
    <x v="1"/>
    <n v="133214.87"/>
    <x v="37"/>
    <n v="1"/>
    <x v="1095"/>
    <n v="0.89470000000000005"/>
    <n v="6"/>
    <n v="116534.08"/>
    <n v="57611.77"/>
    <n v="124"/>
    <x v="1"/>
    <x v="2"/>
    <x v="1"/>
    <x v="1596"/>
    <x v="0"/>
  </r>
  <r>
    <x v="1667"/>
    <x v="2"/>
    <n v="128891.69"/>
    <x v="30"/>
    <n v="0"/>
    <x v="1394"/>
    <n v="0.13730000000000001"/>
    <n v="0"/>
    <n v="44306.75"/>
    <n v="22819.87"/>
    <n v="50"/>
    <x v="0"/>
    <x v="0"/>
    <x v="0"/>
    <x v="1597"/>
    <x v="1"/>
  </r>
  <r>
    <x v="1668"/>
    <x v="0"/>
    <n v="62752.68"/>
    <x v="13"/>
    <n v="0"/>
    <x v="914"/>
    <n v="0.34889999999999999"/>
    <n v="1"/>
    <n v="31971.37"/>
    <n v="39566.410000000003"/>
    <n v="151"/>
    <x v="1"/>
    <x v="0"/>
    <x v="2"/>
    <x v="1598"/>
    <x v="1"/>
  </r>
  <r>
    <x v="1669"/>
    <x v="1"/>
    <n v="188032.81"/>
    <x v="31"/>
    <n v="0"/>
    <x v="940"/>
    <n v="0.32040000000000002"/>
    <n v="1"/>
    <n v="77784.740000000005"/>
    <n v="46087.14"/>
    <n v="146"/>
    <x v="0"/>
    <x v="0"/>
    <x v="1"/>
    <x v="1599"/>
    <x v="1"/>
  </r>
  <r>
    <x v="1670"/>
    <x v="3"/>
    <n v="107032.11"/>
    <x v="15"/>
    <n v="1"/>
    <x v="1395"/>
    <n v="0.1348"/>
    <n v="3"/>
    <n v="45282.07"/>
    <n v="23613.22"/>
    <n v="69"/>
    <x v="0"/>
    <x v="0"/>
    <x v="1"/>
    <x v="1600"/>
    <x v="1"/>
  </r>
  <r>
    <x v="1671"/>
    <x v="4"/>
    <n v="89431.69"/>
    <x v="18"/>
    <n v="0"/>
    <x v="1396"/>
    <n v="0.53779999999999994"/>
    <n v="4"/>
    <n v="38519.31"/>
    <n v="29506.25"/>
    <n v="159"/>
    <x v="0"/>
    <x v="1"/>
    <x v="0"/>
    <x v="1601"/>
    <x v="1"/>
  </r>
  <r>
    <x v="1672"/>
    <x v="2"/>
    <n v="107574.94"/>
    <x v="12"/>
    <n v="1"/>
    <x v="1089"/>
    <n v="0.10050000000000001"/>
    <n v="0"/>
    <n v="13976.83"/>
    <n v="15448.11"/>
    <n v="23"/>
    <x v="3"/>
    <x v="0"/>
    <x v="1"/>
    <x v="1602"/>
    <x v="1"/>
  </r>
  <r>
    <x v="1673"/>
    <x v="1"/>
    <n v="125977.34"/>
    <x v="17"/>
    <n v="1"/>
    <x v="1397"/>
    <n v="0.59079999999999999"/>
    <n v="4"/>
    <n v="92419.7"/>
    <n v="65127.48"/>
    <n v="153"/>
    <x v="1"/>
    <x v="0"/>
    <x v="1"/>
    <x v="1603"/>
    <x v="1"/>
  </r>
  <r>
    <x v="1674"/>
    <x v="1"/>
    <n v="83517.06"/>
    <x v="49"/>
    <n v="0"/>
    <x v="1398"/>
    <n v="0.48870000000000002"/>
    <n v="2"/>
    <n v="29723.87"/>
    <n v="17695.259999999998"/>
    <n v="40"/>
    <x v="0"/>
    <x v="0"/>
    <x v="1"/>
    <x v="1604"/>
    <x v="1"/>
  </r>
  <r>
    <x v="1249"/>
    <x v="5"/>
    <n v="121613.3"/>
    <x v="5"/>
    <n v="0"/>
    <x v="1399"/>
    <n v="0.30570000000000003"/>
    <n v="3"/>
    <n v="21564.92"/>
    <n v="12428.97"/>
    <n v="115"/>
    <x v="1"/>
    <x v="1"/>
    <x v="0"/>
    <x v="1605"/>
    <x v="1"/>
  </r>
  <r>
    <x v="1675"/>
    <x v="4"/>
    <n v="69917.59"/>
    <x v="41"/>
    <n v="0"/>
    <x v="1400"/>
    <n v="0.23569999999999999"/>
    <n v="5"/>
    <n v="12699.55"/>
    <n v="29338.47"/>
    <n v="14"/>
    <x v="1"/>
    <x v="2"/>
    <x v="0"/>
    <x v="1606"/>
    <x v="1"/>
  </r>
  <r>
    <x v="1676"/>
    <x v="2"/>
    <n v="140979.76"/>
    <x v="3"/>
    <n v="0"/>
    <x v="1401"/>
    <n v="0.41470000000000001"/>
    <n v="7"/>
    <n v="43885.7"/>
    <n v="32553.439999999999"/>
    <n v="31"/>
    <x v="2"/>
    <x v="0"/>
    <x v="0"/>
    <x v="1607"/>
    <x v="1"/>
  </r>
  <r>
    <x v="1677"/>
    <x v="3"/>
    <n v="99358.64"/>
    <x v="32"/>
    <n v="1"/>
    <x v="1402"/>
    <n v="6.5799999999999997E-2"/>
    <n v="1"/>
    <n v="5125.17"/>
    <n v="3291.79"/>
    <n v="131"/>
    <x v="0"/>
    <x v="2"/>
    <x v="0"/>
    <x v="1608"/>
    <x v="1"/>
  </r>
  <r>
    <x v="1678"/>
    <x v="0"/>
    <n v="61425.52"/>
    <x v="26"/>
    <n v="1"/>
    <x v="1403"/>
    <n v="0.29780000000000001"/>
    <n v="4"/>
    <n v="35799.300000000003"/>
    <n v="22355.67"/>
    <n v="132"/>
    <x v="0"/>
    <x v="0"/>
    <x v="1"/>
    <x v="1609"/>
    <x v="1"/>
  </r>
  <r>
    <x v="1679"/>
    <x v="4"/>
    <n v="87048.15"/>
    <x v="11"/>
    <n v="0"/>
    <x v="1404"/>
    <n v="0.23130000000000001"/>
    <n v="3"/>
    <n v="18344.43"/>
    <n v="4957.34"/>
    <n v="155"/>
    <x v="1"/>
    <x v="0"/>
    <x v="0"/>
    <x v="1610"/>
    <x v="1"/>
  </r>
  <r>
    <x v="1680"/>
    <x v="0"/>
    <n v="93213.06"/>
    <x v="30"/>
    <n v="1"/>
    <x v="1405"/>
    <n v="0.34789999999999999"/>
    <n v="0"/>
    <n v="40146.17"/>
    <n v="22656.5"/>
    <n v="120"/>
    <x v="0"/>
    <x v="2"/>
    <x v="1"/>
    <x v="1611"/>
    <x v="1"/>
  </r>
  <r>
    <x v="1681"/>
    <x v="3"/>
    <n v="90426.62"/>
    <x v="49"/>
    <n v="0"/>
    <x v="1248"/>
    <n v="0.46610000000000001"/>
    <n v="4"/>
    <n v="85620.57"/>
    <n v="69841.240000000005"/>
    <n v="126"/>
    <x v="1"/>
    <x v="0"/>
    <x v="1"/>
    <x v="1612"/>
    <x v="1"/>
  </r>
  <r>
    <x v="1682"/>
    <x v="2"/>
    <n v="78336.649999999994"/>
    <x v="20"/>
    <n v="1"/>
    <x v="1406"/>
    <n v="0"/>
    <n v="0"/>
    <n v="500"/>
    <n v="7524.82"/>
    <n v="67"/>
    <x v="3"/>
    <x v="0"/>
    <x v="1"/>
    <x v="1613"/>
    <x v="1"/>
  </r>
  <r>
    <x v="1683"/>
    <x v="1"/>
    <n v="119130.31"/>
    <x v="19"/>
    <n v="0"/>
    <x v="24"/>
    <n v="0.50570000000000004"/>
    <n v="1"/>
    <n v="55222.879999999997"/>
    <n v="51554.78"/>
    <n v="26"/>
    <x v="1"/>
    <x v="2"/>
    <x v="0"/>
    <x v="1614"/>
    <x v="1"/>
  </r>
  <r>
    <x v="1684"/>
    <x v="3"/>
    <n v="85245.25"/>
    <x v="26"/>
    <n v="0"/>
    <x v="24"/>
    <n v="0.21390000000000001"/>
    <n v="3"/>
    <n v="12245.32"/>
    <n v="7404.82"/>
    <n v="107"/>
    <x v="0"/>
    <x v="0"/>
    <x v="1"/>
    <x v="1615"/>
    <x v="1"/>
  </r>
  <r>
    <x v="1685"/>
    <x v="0"/>
    <n v="92120.62"/>
    <x v="45"/>
    <n v="1"/>
    <x v="1321"/>
    <n v="0.18559999999999999"/>
    <n v="0"/>
    <n v="34393.29"/>
    <n v="48558.66"/>
    <n v="69"/>
    <x v="1"/>
    <x v="2"/>
    <x v="1"/>
    <x v="1616"/>
    <x v="1"/>
  </r>
  <r>
    <x v="1686"/>
    <x v="1"/>
    <n v="93326.53"/>
    <x v="35"/>
    <n v="0"/>
    <x v="1407"/>
    <n v="0.18770000000000001"/>
    <n v="0"/>
    <n v="36505.58"/>
    <n v="40247.51"/>
    <n v="16"/>
    <x v="0"/>
    <x v="0"/>
    <x v="2"/>
    <x v="1617"/>
    <x v="1"/>
  </r>
  <r>
    <x v="1687"/>
    <x v="1"/>
    <n v="66974.81"/>
    <x v="20"/>
    <n v="1"/>
    <x v="1408"/>
    <n v="3.3000000000000002E-2"/>
    <n v="0"/>
    <n v="1706.05"/>
    <n v="0"/>
    <n v="92"/>
    <x v="0"/>
    <x v="1"/>
    <x v="0"/>
    <x v="1618"/>
    <x v="1"/>
  </r>
  <r>
    <x v="1337"/>
    <x v="0"/>
    <n v="16983.57"/>
    <x v="32"/>
    <n v="1"/>
    <x v="564"/>
    <n v="0.43330000000000002"/>
    <n v="6"/>
    <n v="10777.82"/>
    <n v="8303.7099999999991"/>
    <n v="54"/>
    <x v="1"/>
    <x v="0"/>
    <x v="0"/>
    <x v="1619"/>
    <x v="1"/>
  </r>
  <r>
    <x v="1688"/>
    <x v="0"/>
    <n v="102724.45"/>
    <x v="11"/>
    <n v="0"/>
    <x v="1409"/>
    <n v="0.13589999999999999"/>
    <n v="4"/>
    <n v="20286.150000000001"/>
    <n v="6739.68"/>
    <n v="16"/>
    <x v="1"/>
    <x v="0"/>
    <x v="1"/>
    <x v="1620"/>
    <x v="1"/>
  </r>
  <r>
    <x v="1689"/>
    <x v="5"/>
    <n v="83783.81"/>
    <x v="32"/>
    <n v="1"/>
    <x v="138"/>
    <n v="0.55459999999999998"/>
    <n v="1"/>
    <n v="76260.31"/>
    <n v="47201.3"/>
    <n v="26"/>
    <x v="0"/>
    <x v="2"/>
    <x v="2"/>
    <x v="1621"/>
    <x v="1"/>
  </r>
  <r>
    <x v="1690"/>
    <x v="0"/>
    <n v="49265.2"/>
    <x v="49"/>
    <n v="0"/>
    <x v="1410"/>
    <n v="0.62429999999999997"/>
    <n v="5"/>
    <n v="33364.449999999997"/>
    <n v="18152.54"/>
    <n v="36"/>
    <x v="0"/>
    <x v="2"/>
    <x v="0"/>
    <x v="1622"/>
    <x v="1"/>
  </r>
  <r>
    <x v="1691"/>
    <x v="0"/>
    <n v="110255.41"/>
    <x v="44"/>
    <n v="1"/>
    <x v="1411"/>
    <n v="0.53100000000000003"/>
    <n v="5"/>
    <n v="44905.55"/>
    <n v="20089.37"/>
    <n v="7"/>
    <x v="1"/>
    <x v="1"/>
    <x v="0"/>
    <x v="1623"/>
    <x v="1"/>
  </r>
  <r>
    <x v="1692"/>
    <x v="0"/>
    <n v="140657.25"/>
    <x v="12"/>
    <n v="0"/>
    <x v="1412"/>
    <n v="0.11509999999999999"/>
    <n v="1"/>
    <n v="8824.4599999999991"/>
    <n v="3336.76"/>
    <n v="119"/>
    <x v="2"/>
    <x v="0"/>
    <x v="1"/>
    <x v="1624"/>
    <x v="1"/>
  </r>
  <r>
    <x v="1693"/>
    <x v="4"/>
    <n v="24638.58"/>
    <x v="17"/>
    <n v="0"/>
    <x v="1413"/>
    <n v="0.3286"/>
    <n v="6"/>
    <n v="500"/>
    <n v="1011.59"/>
    <n v="110"/>
    <x v="0"/>
    <x v="0"/>
    <x v="0"/>
    <x v="1625"/>
    <x v="1"/>
  </r>
  <r>
    <x v="1694"/>
    <x v="0"/>
    <n v="33572.6"/>
    <x v="3"/>
    <n v="1"/>
    <x v="1241"/>
    <n v="0.44109999999999999"/>
    <n v="3"/>
    <n v="8941.49"/>
    <n v="4671.0200000000004"/>
    <n v="101"/>
    <x v="1"/>
    <x v="2"/>
    <x v="0"/>
    <x v="1626"/>
    <x v="1"/>
  </r>
  <r>
    <x v="1695"/>
    <x v="3"/>
    <n v="55199.53"/>
    <x v="33"/>
    <n v="1"/>
    <x v="1414"/>
    <n v="0.47339999999999999"/>
    <n v="3"/>
    <n v="27407.13"/>
    <n v="28078.55"/>
    <n v="67"/>
    <x v="1"/>
    <x v="0"/>
    <x v="0"/>
    <x v="1627"/>
    <x v="1"/>
  </r>
  <r>
    <x v="1696"/>
    <x v="4"/>
    <n v="2000"/>
    <x v="24"/>
    <n v="0"/>
    <x v="1415"/>
    <n v="0.60580000000000001"/>
    <n v="2"/>
    <n v="500"/>
    <n v="5844.29"/>
    <n v="17"/>
    <x v="1"/>
    <x v="1"/>
    <x v="0"/>
    <x v="1628"/>
    <x v="1"/>
  </r>
  <r>
    <x v="1697"/>
    <x v="3"/>
    <n v="73945.41"/>
    <x v="41"/>
    <n v="0"/>
    <x v="1416"/>
    <n v="0.59289999999999998"/>
    <n v="4"/>
    <n v="49314.92"/>
    <n v="36330.230000000003"/>
    <n v="123"/>
    <x v="2"/>
    <x v="2"/>
    <x v="1"/>
    <x v="1629"/>
    <x v="1"/>
  </r>
  <r>
    <x v="1698"/>
    <x v="1"/>
    <n v="156010.51"/>
    <x v="25"/>
    <n v="1"/>
    <x v="13"/>
    <n v="0.38600000000000001"/>
    <n v="1"/>
    <n v="47259.35"/>
    <n v="48592.26"/>
    <n v="124"/>
    <x v="0"/>
    <x v="2"/>
    <x v="1"/>
    <x v="1630"/>
    <x v="1"/>
  </r>
  <r>
    <x v="1699"/>
    <x v="1"/>
    <n v="54224.45"/>
    <x v="24"/>
    <n v="1"/>
    <x v="24"/>
    <n v="0.28560000000000002"/>
    <n v="1"/>
    <n v="5035.45"/>
    <n v="16066.81"/>
    <n v="160"/>
    <x v="0"/>
    <x v="0"/>
    <x v="0"/>
    <x v="1631"/>
    <x v="1"/>
  </r>
  <r>
    <x v="1700"/>
    <x v="3"/>
    <n v="87992.44"/>
    <x v="40"/>
    <n v="1"/>
    <x v="1238"/>
    <n v="0.61680000000000001"/>
    <n v="1"/>
    <n v="67814.850000000006"/>
    <n v="44655.4"/>
    <n v="78"/>
    <x v="2"/>
    <x v="0"/>
    <x v="0"/>
    <x v="1632"/>
    <x v="1"/>
  </r>
  <r>
    <x v="1701"/>
    <x v="2"/>
    <n v="33880.85"/>
    <x v="36"/>
    <n v="0"/>
    <x v="1417"/>
    <n v="0.64729999999999999"/>
    <n v="6"/>
    <n v="43941.91"/>
    <n v="30820.62"/>
    <n v="103"/>
    <x v="0"/>
    <x v="1"/>
    <x v="0"/>
    <x v="1541"/>
    <x v="1"/>
  </r>
  <r>
    <x v="1702"/>
    <x v="3"/>
    <n v="10022.969999999999"/>
    <x v="29"/>
    <n v="1"/>
    <x v="1418"/>
    <n v="0.40689999999999998"/>
    <n v="0"/>
    <n v="10847"/>
    <n v="8340.68"/>
    <n v="109"/>
    <x v="0"/>
    <x v="0"/>
    <x v="1"/>
    <x v="1633"/>
    <x v="1"/>
  </r>
  <r>
    <x v="1703"/>
    <x v="4"/>
    <n v="79440.42"/>
    <x v="3"/>
    <n v="1"/>
    <x v="117"/>
    <n v="0.76280000000000003"/>
    <n v="3"/>
    <n v="70480.22"/>
    <n v="50287.77"/>
    <n v="168"/>
    <x v="3"/>
    <x v="0"/>
    <x v="2"/>
    <x v="1634"/>
    <x v="1"/>
  </r>
  <r>
    <x v="1704"/>
    <x v="2"/>
    <n v="103717.95"/>
    <x v="17"/>
    <n v="0"/>
    <x v="1419"/>
    <n v="0.44979999999999998"/>
    <n v="3"/>
    <n v="52570.34"/>
    <n v="38003.21"/>
    <n v="119"/>
    <x v="1"/>
    <x v="0"/>
    <x v="0"/>
    <x v="1635"/>
    <x v="1"/>
  </r>
  <r>
    <x v="1705"/>
    <x v="1"/>
    <n v="89085.77"/>
    <x v="8"/>
    <n v="0"/>
    <x v="1420"/>
    <n v="0.5454"/>
    <n v="0"/>
    <n v="65377.38"/>
    <n v="40126.629999999997"/>
    <n v="19"/>
    <x v="0"/>
    <x v="0"/>
    <x v="1"/>
    <x v="1636"/>
    <x v="1"/>
  </r>
  <r>
    <x v="1706"/>
    <x v="0"/>
    <n v="14465.76"/>
    <x v="24"/>
    <n v="0"/>
    <x v="1421"/>
    <n v="0.28489999999999999"/>
    <n v="7"/>
    <n v="500"/>
    <n v="4993.46"/>
    <n v="60"/>
    <x v="1"/>
    <x v="0"/>
    <x v="0"/>
    <x v="1637"/>
    <x v="1"/>
  </r>
  <r>
    <x v="1707"/>
    <x v="2"/>
    <n v="142203.6"/>
    <x v="7"/>
    <n v="0"/>
    <x v="1422"/>
    <n v="0.36759999999999998"/>
    <n v="5"/>
    <n v="33996.800000000003"/>
    <n v="22699.14"/>
    <n v="7"/>
    <x v="1"/>
    <x v="0"/>
    <x v="1"/>
    <x v="24"/>
    <x v="1"/>
  </r>
  <r>
    <x v="1708"/>
    <x v="2"/>
    <n v="63609.9"/>
    <x v="22"/>
    <n v="0"/>
    <x v="1423"/>
    <n v="0.29780000000000001"/>
    <n v="2"/>
    <n v="48311.87"/>
    <n v="34640.769999999997"/>
    <n v="53"/>
    <x v="0"/>
    <x v="2"/>
    <x v="0"/>
    <x v="1638"/>
    <x v="1"/>
  </r>
  <r>
    <x v="225"/>
    <x v="1"/>
    <n v="120716.38"/>
    <x v="20"/>
    <n v="1"/>
    <x v="24"/>
    <n v="0.2954"/>
    <n v="0"/>
    <n v="40938.19"/>
    <n v="44539.34"/>
    <n v="59"/>
    <x v="1"/>
    <x v="2"/>
    <x v="0"/>
    <x v="24"/>
    <x v="1"/>
  </r>
  <r>
    <x v="1709"/>
    <x v="2"/>
    <n v="112500.47"/>
    <x v="10"/>
    <n v="1"/>
    <x v="887"/>
    <n v="0.54930000000000001"/>
    <n v="0"/>
    <n v="78418.05"/>
    <n v="61132.27"/>
    <n v="157"/>
    <x v="1"/>
    <x v="0"/>
    <x v="0"/>
    <x v="1639"/>
    <x v="1"/>
  </r>
  <r>
    <x v="1710"/>
    <x v="4"/>
    <n v="39045.99"/>
    <x v="5"/>
    <n v="0"/>
    <x v="1424"/>
    <n v="0.30869999999999997"/>
    <n v="0"/>
    <n v="9366.34"/>
    <n v="3534.68"/>
    <n v="67"/>
    <x v="1"/>
    <x v="0"/>
    <x v="0"/>
    <x v="1640"/>
    <x v="1"/>
  </r>
  <r>
    <x v="1711"/>
    <x v="2"/>
    <n v="89319.77"/>
    <x v="1"/>
    <n v="0"/>
    <x v="1425"/>
    <n v="0.84309999999999996"/>
    <n v="3"/>
    <n v="74031.75"/>
    <n v="53376.11"/>
    <n v="174"/>
    <x v="0"/>
    <x v="2"/>
    <x v="0"/>
    <x v="1410"/>
    <x v="1"/>
  </r>
  <r>
    <x v="1712"/>
    <x v="5"/>
    <n v="105885.24"/>
    <x v="10"/>
    <n v="1"/>
    <x v="1426"/>
    <n v="0.54430000000000001"/>
    <n v="2"/>
    <n v="56023.95"/>
    <n v="40465.18"/>
    <n v="105"/>
    <x v="0"/>
    <x v="1"/>
    <x v="0"/>
    <x v="1641"/>
    <x v="0"/>
  </r>
  <r>
    <x v="1713"/>
    <x v="3"/>
    <n v="64294.43"/>
    <x v="40"/>
    <n v="1"/>
    <x v="186"/>
    <n v="0.36749999999999999"/>
    <n v="6"/>
    <n v="24301"/>
    <n v="23048.58"/>
    <n v="60"/>
    <x v="1"/>
    <x v="0"/>
    <x v="1"/>
    <x v="1642"/>
    <x v="1"/>
  </r>
  <r>
    <x v="1714"/>
    <x v="4"/>
    <n v="85931.81"/>
    <x v="41"/>
    <n v="0"/>
    <x v="1427"/>
    <n v="0.1197"/>
    <n v="1"/>
    <n v="17296.689999999999"/>
    <n v="29541.83"/>
    <n v="112"/>
    <x v="2"/>
    <x v="2"/>
    <x v="3"/>
    <x v="1643"/>
    <x v="1"/>
  </r>
  <r>
    <x v="1715"/>
    <x v="4"/>
    <n v="77256.7"/>
    <x v="22"/>
    <n v="0"/>
    <x v="24"/>
    <n v="0.47960000000000003"/>
    <n v="5"/>
    <n v="37467.99"/>
    <n v="37357.870000000003"/>
    <n v="14"/>
    <x v="0"/>
    <x v="0"/>
    <x v="1"/>
    <x v="1644"/>
    <x v="1"/>
  </r>
  <r>
    <x v="1716"/>
    <x v="3"/>
    <n v="114463.67999999999"/>
    <x v="32"/>
    <n v="0"/>
    <x v="1428"/>
    <n v="0.5605"/>
    <n v="1"/>
    <n v="67373.48"/>
    <n v="42648.7"/>
    <n v="19"/>
    <x v="0"/>
    <x v="0"/>
    <x v="0"/>
    <x v="1645"/>
    <x v="1"/>
  </r>
  <r>
    <x v="1717"/>
    <x v="2"/>
    <n v="51495.26"/>
    <x v="3"/>
    <n v="1"/>
    <x v="1429"/>
    <n v="0.38950000000000001"/>
    <n v="1"/>
    <n v="26997.919999999998"/>
    <n v="29810.880000000001"/>
    <n v="116"/>
    <x v="2"/>
    <x v="0"/>
    <x v="0"/>
    <x v="1187"/>
    <x v="1"/>
  </r>
  <r>
    <x v="1718"/>
    <x v="3"/>
    <n v="109454.74"/>
    <x v="21"/>
    <n v="0"/>
    <x v="1430"/>
    <n v="0.1047"/>
    <n v="0"/>
    <n v="40620.410000000003"/>
    <n v="25502.59"/>
    <n v="73"/>
    <x v="2"/>
    <x v="2"/>
    <x v="0"/>
    <x v="1646"/>
    <x v="1"/>
  </r>
  <r>
    <x v="1719"/>
    <x v="1"/>
    <n v="102607.25"/>
    <x v="16"/>
    <n v="0"/>
    <x v="1431"/>
    <n v="0.69399999999999995"/>
    <n v="5"/>
    <n v="90744.21"/>
    <n v="65480.74"/>
    <n v="153"/>
    <x v="2"/>
    <x v="2"/>
    <x v="2"/>
    <x v="1647"/>
    <x v="1"/>
  </r>
  <r>
    <x v="1720"/>
    <x v="3"/>
    <n v="143764.96"/>
    <x v="47"/>
    <n v="0"/>
    <x v="106"/>
    <n v="0.33389999999999997"/>
    <n v="2"/>
    <n v="46050.06"/>
    <n v="16907.63"/>
    <n v="86"/>
    <x v="0"/>
    <x v="0"/>
    <x v="1"/>
    <x v="1648"/>
    <x v="1"/>
  </r>
  <r>
    <x v="1721"/>
    <x v="5"/>
    <n v="68744.929999999993"/>
    <x v="29"/>
    <n v="1"/>
    <x v="414"/>
    <n v="0.52500000000000002"/>
    <n v="3"/>
    <n v="500"/>
    <n v="0"/>
    <n v="39"/>
    <x v="0"/>
    <x v="2"/>
    <x v="1"/>
    <x v="1649"/>
    <x v="1"/>
  </r>
  <r>
    <x v="1722"/>
    <x v="5"/>
    <n v="26168.27"/>
    <x v="4"/>
    <n v="1"/>
    <x v="1432"/>
    <n v="0.47870000000000001"/>
    <n v="2"/>
    <n v="500"/>
    <n v="0"/>
    <n v="92"/>
    <x v="0"/>
    <x v="0"/>
    <x v="1"/>
    <x v="1650"/>
    <x v="1"/>
  </r>
  <r>
    <x v="1723"/>
    <x v="2"/>
    <n v="134869.87"/>
    <x v="44"/>
    <n v="1"/>
    <x v="1433"/>
    <n v="0.52449999999999997"/>
    <n v="1"/>
    <n v="60695.49"/>
    <n v="59652.800000000003"/>
    <n v="82"/>
    <x v="0"/>
    <x v="2"/>
    <x v="1"/>
    <x v="1651"/>
    <x v="1"/>
  </r>
  <r>
    <x v="1724"/>
    <x v="4"/>
    <n v="73796.72"/>
    <x v="20"/>
    <n v="1"/>
    <x v="1434"/>
    <n v="0"/>
    <n v="1"/>
    <n v="2794.85"/>
    <n v="0"/>
    <n v="38"/>
    <x v="0"/>
    <x v="2"/>
    <x v="1"/>
    <x v="1652"/>
    <x v="1"/>
  </r>
  <r>
    <x v="1725"/>
    <x v="2"/>
    <n v="94272.36"/>
    <x v="34"/>
    <n v="1"/>
    <x v="1435"/>
    <n v="0.52480000000000004"/>
    <n v="3"/>
    <n v="53466.33"/>
    <n v="39644.18"/>
    <n v="71"/>
    <x v="1"/>
    <x v="0"/>
    <x v="0"/>
    <x v="1653"/>
    <x v="1"/>
  </r>
  <r>
    <x v="1726"/>
    <x v="2"/>
    <n v="40271.15"/>
    <x v="0"/>
    <n v="1"/>
    <x v="966"/>
    <n v="7.5499999999999998E-2"/>
    <n v="3"/>
    <n v="500"/>
    <n v="7866.7"/>
    <n v="119"/>
    <x v="1"/>
    <x v="2"/>
    <x v="1"/>
    <x v="1654"/>
    <x v="1"/>
  </r>
  <r>
    <x v="1727"/>
    <x v="2"/>
    <n v="153440.5"/>
    <x v="45"/>
    <n v="0"/>
    <x v="1436"/>
    <n v="1.2200000000000001E-2"/>
    <n v="0"/>
    <n v="5286.32"/>
    <n v="4970.9799999999996"/>
    <n v="145"/>
    <x v="0"/>
    <x v="2"/>
    <x v="0"/>
    <x v="1655"/>
    <x v="1"/>
  </r>
  <r>
    <x v="1728"/>
    <x v="4"/>
    <n v="103834.46"/>
    <x v="10"/>
    <n v="0"/>
    <x v="1437"/>
    <n v="0.26429999999999998"/>
    <n v="3"/>
    <n v="10503.98"/>
    <n v="10386.31"/>
    <n v="77"/>
    <x v="0"/>
    <x v="2"/>
    <x v="1"/>
    <x v="1656"/>
    <x v="1"/>
  </r>
  <r>
    <x v="1729"/>
    <x v="2"/>
    <n v="113859.04"/>
    <x v="7"/>
    <n v="0"/>
    <x v="1438"/>
    <n v="1"/>
    <n v="7"/>
    <n v="128785.14"/>
    <n v="68466.87"/>
    <n v="104"/>
    <x v="1"/>
    <x v="0"/>
    <x v="1"/>
    <x v="1657"/>
    <x v="1"/>
  </r>
  <r>
    <x v="1730"/>
    <x v="3"/>
    <n v="66431.429999999993"/>
    <x v="8"/>
    <n v="1"/>
    <x v="1439"/>
    <n v="0.4899"/>
    <n v="3"/>
    <n v="24022.63"/>
    <n v="20268.38"/>
    <n v="33"/>
    <x v="0"/>
    <x v="2"/>
    <x v="2"/>
    <x v="1658"/>
    <x v="1"/>
  </r>
  <r>
    <x v="1731"/>
    <x v="5"/>
    <n v="166979.62"/>
    <x v="22"/>
    <n v="0"/>
    <x v="1440"/>
    <n v="0.38979999999999998"/>
    <n v="4"/>
    <n v="38188.199999999997"/>
    <n v="28692.97"/>
    <n v="142"/>
    <x v="3"/>
    <x v="0"/>
    <x v="1"/>
    <x v="1659"/>
    <x v="1"/>
  </r>
  <r>
    <x v="1732"/>
    <x v="2"/>
    <n v="128804.49"/>
    <x v="32"/>
    <n v="0"/>
    <x v="718"/>
    <n v="0.44619999999999999"/>
    <n v="3"/>
    <n v="57767.83"/>
    <n v="36144.51"/>
    <n v="165"/>
    <x v="0"/>
    <x v="1"/>
    <x v="0"/>
    <x v="1660"/>
    <x v="1"/>
  </r>
  <r>
    <x v="1733"/>
    <x v="0"/>
    <n v="152769.87"/>
    <x v="39"/>
    <n v="1"/>
    <x v="1441"/>
    <n v="0.185"/>
    <n v="4"/>
    <n v="34446.879999999997"/>
    <n v="22209.29"/>
    <n v="161"/>
    <x v="2"/>
    <x v="0"/>
    <x v="0"/>
    <x v="342"/>
    <x v="1"/>
  </r>
  <r>
    <x v="1734"/>
    <x v="0"/>
    <n v="37492.410000000003"/>
    <x v="29"/>
    <n v="0"/>
    <x v="325"/>
    <n v="9.8599999999999993E-2"/>
    <n v="0"/>
    <n v="500"/>
    <n v="1720.2"/>
    <n v="153"/>
    <x v="2"/>
    <x v="0"/>
    <x v="0"/>
    <x v="1661"/>
    <x v="1"/>
  </r>
  <r>
    <x v="1735"/>
    <x v="4"/>
    <n v="86414.87"/>
    <x v="3"/>
    <n v="0"/>
    <x v="1284"/>
    <n v="0.5272"/>
    <n v="5"/>
    <n v="46646.49"/>
    <n v="34670.1"/>
    <n v="102"/>
    <x v="2"/>
    <x v="0"/>
    <x v="3"/>
    <x v="1662"/>
    <x v="1"/>
  </r>
  <r>
    <x v="1736"/>
    <x v="2"/>
    <n v="129505.11"/>
    <x v="24"/>
    <n v="0"/>
    <x v="1442"/>
    <n v="0.28610000000000002"/>
    <n v="1"/>
    <n v="37034.519999999997"/>
    <n v="26975.69"/>
    <n v="92"/>
    <x v="1"/>
    <x v="2"/>
    <x v="1"/>
    <x v="1663"/>
    <x v="0"/>
  </r>
  <r>
    <x v="1737"/>
    <x v="4"/>
    <n v="188873.03"/>
    <x v="47"/>
    <n v="1"/>
    <x v="1443"/>
    <n v="0.26690000000000003"/>
    <n v="0"/>
    <n v="28271.57"/>
    <n v="23499.39"/>
    <n v="29"/>
    <x v="1"/>
    <x v="2"/>
    <x v="3"/>
    <x v="1664"/>
    <x v="1"/>
  </r>
  <r>
    <x v="1738"/>
    <x v="3"/>
    <n v="28718.41"/>
    <x v="43"/>
    <n v="1"/>
    <x v="1444"/>
    <n v="0"/>
    <n v="1"/>
    <n v="6135.82"/>
    <n v="8808.48"/>
    <n v="150"/>
    <x v="1"/>
    <x v="2"/>
    <x v="1"/>
    <x v="1665"/>
    <x v="1"/>
  </r>
  <r>
    <x v="1739"/>
    <x v="0"/>
    <n v="79837.66"/>
    <x v="38"/>
    <n v="0"/>
    <x v="1158"/>
    <n v="0.32279999999999998"/>
    <n v="5"/>
    <n v="11260.47"/>
    <n v="19649.84"/>
    <n v="46"/>
    <x v="0"/>
    <x v="2"/>
    <x v="1"/>
    <x v="1666"/>
    <x v="1"/>
  </r>
  <r>
    <x v="1740"/>
    <x v="1"/>
    <n v="27915.51"/>
    <x v="42"/>
    <n v="0"/>
    <x v="1424"/>
    <n v="0.67079999999999995"/>
    <n v="2"/>
    <n v="22884.52"/>
    <n v="7525.31"/>
    <n v="152"/>
    <x v="1"/>
    <x v="0"/>
    <x v="1"/>
    <x v="1667"/>
    <x v="0"/>
  </r>
  <r>
    <x v="1741"/>
    <x v="1"/>
    <n v="172622.72"/>
    <x v="6"/>
    <n v="1"/>
    <x v="1445"/>
    <n v="0.64219999999999999"/>
    <n v="3"/>
    <n v="86198.24"/>
    <n v="57262.26"/>
    <n v="129"/>
    <x v="0"/>
    <x v="2"/>
    <x v="0"/>
    <x v="1668"/>
    <x v="1"/>
  </r>
  <r>
    <x v="1742"/>
    <x v="5"/>
    <n v="91123.27"/>
    <x v="37"/>
    <n v="0"/>
    <x v="1446"/>
    <n v="0.53879999999999995"/>
    <n v="6"/>
    <n v="37255.620000000003"/>
    <n v="15955.28"/>
    <n v="180"/>
    <x v="0"/>
    <x v="0"/>
    <x v="2"/>
    <x v="1669"/>
    <x v="1"/>
  </r>
  <r>
    <x v="1743"/>
    <x v="1"/>
    <n v="52693.48"/>
    <x v="49"/>
    <n v="1"/>
    <x v="1447"/>
    <n v="0.39910000000000001"/>
    <n v="4"/>
    <n v="32744.89"/>
    <n v="15365.25"/>
    <n v="85"/>
    <x v="1"/>
    <x v="2"/>
    <x v="2"/>
    <x v="1670"/>
    <x v="1"/>
  </r>
  <r>
    <x v="1744"/>
    <x v="0"/>
    <n v="119652.04"/>
    <x v="15"/>
    <n v="0"/>
    <x v="1448"/>
    <n v="0.37240000000000001"/>
    <n v="1"/>
    <n v="28365.62"/>
    <n v="19996.73"/>
    <n v="134"/>
    <x v="2"/>
    <x v="0"/>
    <x v="0"/>
    <x v="1671"/>
    <x v="1"/>
  </r>
  <r>
    <x v="1745"/>
    <x v="5"/>
    <n v="134729.04999999999"/>
    <x v="12"/>
    <n v="1"/>
    <x v="24"/>
    <n v="0.50239999999999996"/>
    <n v="3"/>
    <n v="51868.17"/>
    <n v="48773.58"/>
    <n v="144"/>
    <x v="1"/>
    <x v="0"/>
    <x v="1"/>
    <x v="1672"/>
    <x v="1"/>
  </r>
  <r>
    <x v="1746"/>
    <x v="3"/>
    <n v="137735.78"/>
    <x v="16"/>
    <n v="1"/>
    <x v="1449"/>
    <n v="0.31419999999999998"/>
    <n v="3"/>
    <n v="31924.09"/>
    <n v="8634.2199999999993"/>
    <n v="133"/>
    <x v="0"/>
    <x v="0"/>
    <x v="1"/>
    <x v="1530"/>
    <x v="1"/>
  </r>
  <r>
    <x v="1747"/>
    <x v="1"/>
    <n v="83522.12"/>
    <x v="26"/>
    <n v="0"/>
    <x v="1450"/>
    <n v="0"/>
    <n v="0"/>
    <n v="500"/>
    <n v="9987.99"/>
    <n v="88"/>
    <x v="1"/>
    <x v="0"/>
    <x v="1"/>
    <x v="1673"/>
    <x v="1"/>
  </r>
  <r>
    <x v="1748"/>
    <x v="3"/>
    <n v="166026.89000000001"/>
    <x v="24"/>
    <n v="0"/>
    <x v="1451"/>
    <n v="0.2031"/>
    <n v="3"/>
    <n v="16785.98"/>
    <n v="8306.9699999999993"/>
    <n v="146"/>
    <x v="1"/>
    <x v="0"/>
    <x v="1"/>
    <x v="1674"/>
    <x v="1"/>
  </r>
  <r>
    <x v="1749"/>
    <x v="0"/>
    <n v="2770.62"/>
    <x v="37"/>
    <n v="1"/>
    <x v="987"/>
    <n v="0.48799999999999999"/>
    <n v="2"/>
    <n v="5614.5"/>
    <n v="12611.83"/>
    <n v="176"/>
    <x v="1"/>
    <x v="2"/>
    <x v="0"/>
    <x v="1675"/>
    <x v="1"/>
  </r>
  <r>
    <x v="1750"/>
    <x v="3"/>
    <n v="130903.29"/>
    <x v="36"/>
    <n v="1"/>
    <x v="1452"/>
    <n v="0.72489999999999999"/>
    <n v="3"/>
    <n v="74022.95"/>
    <n v="42324.99"/>
    <n v="173"/>
    <x v="2"/>
    <x v="0"/>
    <x v="1"/>
    <x v="1676"/>
    <x v="1"/>
  </r>
  <r>
    <x v="1751"/>
    <x v="3"/>
    <n v="80431.210000000006"/>
    <x v="45"/>
    <n v="1"/>
    <x v="1453"/>
    <n v="0.27439999999999998"/>
    <n v="2"/>
    <n v="500"/>
    <n v="4284.79"/>
    <n v="122"/>
    <x v="1"/>
    <x v="0"/>
    <x v="1"/>
    <x v="1677"/>
    <x v="1"/>
  </r>
  <r>
    <x v="1752"/>
    <x v="0"/>
    <n v="125302.98"/>
    <x v="5"/>
    <n v="1"/>
    <x v="1454"/>
    <n v="0.48859999999999998"/>
    <n v="7"/>
    <n v="26746.74"/>
    <n v="19006.34"/>
    <n v="117"/>
    <x v="1"/>
    <x v="2"/>
    <x v="1"/>
    <x v="1678"/>
    <x v="1"/>
  </r>
  <r>
    <x v="1753"/>
    <x v="5"/>
    <n v="110383.84"/>
    <x v="7"/>
    <n v="1"/>
    <x v="966"/>
    <n v="0.66390000000000005"/>
    <n v="2"/>
    <n v="82641.03"/>
    <n v="51747.11"/>
    <n v="54"/>
    <x v="0"/>
    <x v="2"/>
    <x v="0"/>
    <x v="1679"/>
    <x v="1"/>
  </r>
  <r>
    <x v="1754"/>
    <x v="5"/>
    <n v="91813.25"/>
    <x v="44"/>
    <n v="0"/>
    <x v="1455"/>
    <n v="0.59599999999999997"/>
    <n v="1"/>
    <n v="59741.65"/>
    <n v="40309.480000000003"/>
    <n v="90"/>
    <x v="0"/>
    <x v="0"/>
    <x v="2"/>
    <x v="1680"/>
    <x v="0"/>
  </r>
  <r>
    <x v="1755"/>
    <x v="5"/>
    <n v="151445.66"/>
    <x v="41"/>
    <n v="1"/>
    <x v="686"/>
    <n v="0.16059999999999999"/>
    <n v="0"/>
    <n v="9131.56"/>
    <n v="5000.5600000000004"/>
    <n v="77"/>
    <x v="0"/>
    <x v="0"/>
    <x v="3"/>
    <x v="1681"/>
    <x v="1"/>
  </r>
  <r>
    <x v="1756"/>
    <x v="0"/>
    <n v="104194.03"/>
    <x v="28"/>
    <n v="1"/>
    <x v="1456"/>
    <n v="0.29659999999999997"/>
    <n v="4"/>
    <n v="62857.11"/>
    <n v="49671.44"/>
    <n v="32"/>
    <x v="2"/>
    <x v="1"/>
    <x v="3"/>
    <x v="1682"/>
    <x v="1"/>
  </r>
  <r>
    <x v="1757"/>
    <x v="2"/>
    <n v="5442.61"/>
    <x v="49"/>
    <n v="0"/>
    <x v="1457"/>
    <n v="0.39269999999999999"/>
    <n v="1"/>
    <n v="500"/>
    <n v="9415.36"/>
    <n v="25"/>
    <x v="1"/>
    <x v="2"/>
    <x v="0"/>
    <x v="1683"/>
    <x v="1"/>
  </r>
  <r>
    <x v="1758"/>
    <x v="3"/>
    <n v="48750.61"/>
    <x v="36"/>
    <n v="0"/>
    <x v="1458"/>
    <n v="0.47549999999999998"/>
    <n v="8"/>
    <n v="30235.91"/>
    <n v="7936.54"/>
    <n v="97"/>
    <x v="1"/>
    <x v="0"/>
    <x v="0"/>
    <x v="1684"/>
    <x v="0"/>
  </r>
  <r>
    <x v="1759"/>
    <x v="0"/>
    <n v="103836.28"/>
    <x v="11"/>
    <n v="0"/>
    <x v="24"/>
    <n v="0.37"/>
    <n v="0"/>
    <n v="52120.57"/>
    <n v="55764.1"/>
    <n v="22"/>
    <x v="1"/>
    <x v="1"/>
    <x v="1"/>
    <x v="1685"/>
    <x v="1"/>
  </r>
  <r>
    <x v="1760"/>
    <x v="1"/>
    <n v="92813.6"/>
    <x v="35"/>
    <n v="0"/>
    <x v="1459"/>
    <n v="0.55879999999999996"/>
    <n v="2"/>
    <n v="65334.54"/>
    <n v="35636.720000000001"/>
    <n v="47"/>
    <x v="1"/>
    <x v="2"/>
    <x v="0"/>
    <x v="1686"/>
    <x v="1"/>
  </r>
  <r>
    <x v="1761"/>
    <x v="1"/>
    <n v="97882.45"/>
    <x v="40"/>
    <n v="1"/>
    <x v="1460"/>
    <n v="0.23100000000000001"/>
    <n v="4"/>
    <n v="27161.31"/>
    <n v="27382.48"/>
    <n v="175"/>
    <x v="0"/>
    <x v="0"/>
    <x v="2"/>
    <x v="1687"/>
    <x v="1"/>
  </r>
  <r>
    <x v="1762"/>
    <x v="5"/>
    <n v="76474.38"/>
    <x v="23"/>
    <n v="1"/>
    <x v="1461"/>
    <n v="0.17960000000000001"/>
    <n v="3"/>
    <n v="5706.96"/>
    <n v="0"/>
    <n v="69"/>
    <x v="1"/>
    <x v="2"/>
    <x v="0"/>
    <x v="1688"/>
    <x v="1"/>
  </r>
  <r>
    <x v="1763"/>
    <x v="5"/>
    <n v="96396.82"/>
    <x v="48"/>
    <n v="1"/>
    <x v="1462"/>
    <n v="7.7299999999999994E-2"/>
    <n v="0"/>
    <n v="23002.74"/>
    <n v="10908.51"/>
    <n v="97"/>
    <x v="1"/>
    <x v="2"/>
    <x v="2"/>
    <x v="1689"/>
    <x v="1"/>
  </r>
  <r>
    <x v="1764"/>
    <x v="0"/>
    <n v="84058.77"/>
    <x v="26"/>
    <n v="1"/>
    <x v="1463"/>
    <n v="0.46800000000000003"/>
    <n v="3"/>
    <n v="41781.269999999997"/>
    <n v="20872.39"/>
    <n v="47"/>
    <x v="2"/>
    <x v="0"/>
    <x v="1"/>
    <x v="1690"/>
    <x v="1"/>
  </r>
  <r>
    <x v="1765"/>
    <x v="2"/>
    <n v="122196.2"/>
    <x v="34"/>
    <n v="0"/>
    <x v="1299"/>
    <n v="0.32800000000000001"/>
    <n v="3"/>
    <n v="27765.55"/>
    <n v="18324"/>
    <n v="20"/>
    <x v="1"/>
    <x v="0"/>
    <x v="1"/>
    <x v="1691"/>
    <x v="1"/>
  </r>
  <r>
    <x v="1766"/>
    <x v="3"/>
    <n v="103834.62"/>
    <x v="23"/>
    <n v="1"/>
    <x v="1308"/>
    <n v="0.73440000000000005"/>
    <n v="4"/>
    <n v="74754.679999999993"/>
    <n v="42199.49"/>
    <n v="109"/>
    <x v="0"/>
    <x v="2"/>
    <x v="0"/>
    <x v="1692"/>
    <x v="1"/>
  </r>
  <r>
    <x v="1767"/>
    <x v="3"/>
    <n v="190109.71"/>
    <x v="29"/>
    <n v="1"/>
    <x v="1464"/>
    <n v="0.31559999999999999"/>
    <n v="5"/>
    <n v="55202.16"/>
    <n v="33356.86"/>
    <n v="104"/>
    <x v="1"/>
    <x v="0"/>
    <x v="1"/>
    <x v="1693"/>
    <x v="1"/>
  </r>
  <r>
    <x v="1279"/>
    <x v="2"/>
    <n v="54227.8"/>
    <x v="31"/>
    <n v="0"/>
    <x v="1465"/>
    <n v="0.38219999999999998"/>
    <n v="0"/>
    <n v="500"/>
    <n v="10546.8"/>
    <n v="6"/>
    <x v="0"/>
    <x v="0"/>
    <x v="0"/>
    <x v="1694"/>
    <x v="1"/>
  </r>
  <r>
    <x v="1768"/>
    <x v="5"/>
    <n v="117765.86"/>
    <x v="39"/>
    <n v="0"/>
    <x v="1312"/>
    <n v="0.76349999999999996"/>
    <n v="6"/>
    <n v="106226.66"/>
    <n v="89479.6"/>
    <n v="156"/>
    <x v="1"/>
    <x v="0"/>
    <x v="3"/>
    <x v="1695"/>
    <x v="1"/>
  </r>
  <r>
    <x v="1769"/>
    <x v="2"/>
    <n v="146277.70000000001"/>
    <x v="13"/>
    <n v="1"/>
    <x v="1466"/>
    <n v="5.45E-2"/>
    <n v="1"/>
    <n v="24896"/>
    <n v="17404.5"/>
    <n v="121"/>
    <x v="1"/>
    <x v="0"/>
    <x v="1"/>
    <x v="1696"/>
    <x v="1"/>
  </r>
  <r>
    <x v="1770"/>
    <x v="5"/>
    <n v="135139.28"/>
    <x v="43"/>
    <n v="1"/>
    <x v="1467"/>
    <n v="0.28470000000000001"/>
    <n v="2"/>
    <n v="24731.040000000001"/>
    <n v="724.28"/>
    <n v="98"/>
    <x v="1"/>
    <x v="0"/>
    <x v="2"/>
    <x v="1697"/>
    <x v="1"/>
  </r>
  <r>
    <x v="1771"/>
    <x v="5"/>
    <n v="143765.46"/>
    <x v="18"/>
    <n v="1"/>
    <x v="1468"/>
    <n v="0.26929999999999998"/>
    <n v="2"/>
    <n v="42573.15"/>
    <n v="40497.5"/>
    <n v="97"/>
    <x v="1"/>
    <x v="2"/>
    <x v="2"/>
    <x v="1698"/>
    <x v="1"/>
  </r>
  <r>
    <x v="1772"/>
    <x v="4"/>
    <n v="58560.23"/>
    <x v="24"/>
    <n v="1"/>
    <x v="1469"/>
    <n v="0.74670000000000003"/>
    <n v="1"/>
    <n v="65515.26"/>
    <n v="50375.51"/>
    <n v="17"/>
    <x v="0"/>
    <x v="1"/>
    <x v="3"/>
    <x v="1699"/>
    <x v="1"/>
  </r>
  <r>
    <x v="1773"/>
    <x v="0"/>
    <n v="86969.34"/>
    <x v="25"/>
    <n v="1"/>
    <x v="1470"/>
    <n v="0.39"/>
    <n v="1"/>
    <n v="56032.58"/>
    <n v="42985.39"/>
    <n v="59"/>
    <x v="2"/>
    <x v="2"/>
    <x v="0"/>
    <x v="1700"/>
    <x v="1"/>
  </r>
  <r>
    <x v="1774"/>
    <x v="5"/>
    <n v="156252.29"/>
    <x v="37"/>
    <n v="0"/>
    <x v="1471"/>
    <n v="0.41870000000000002"/>
    <n v="4"/>
    <n v="59662.45"/>
    <n v="46578.21"/>
    <n v="67"/>
    <x v="3"/>
    <x v="0"/>
    <x v="2"/>
    <x v="1701"/>
    <x v="1"/>
  </r>
  <r>
    <x v="1775"/>
    <x v="3"/>
    <n v="81825.37"/>
    <x v="3"/>
    <n v="1"/>
    <x v="1472"/>
    <n v="0.31940000000000002"/>
    <n v="1"/>
    <n v="30210.799999999999"/>
    <n v="12853.76"/>
    <n v="29"/>
    <x v="0"/>
    <x v="2"/>
    <x v="1"/>
    <x v="1702"/>
    <x v="1"/>
  </r>
  <r>
    <x v="1776"/>
    <x v="1"/>
    <n v="81800.509999999995"/>
    <x v="35"/>
    <n v="1"/>
    <x v="24"/>
    <n v="0.59809999999999997"/>
    <n v="4"/>
    <n v="49051.22"/>
    <n v="36618.53"/>
    <n v="132"/>
    <x v="1"/>
    <x v="0"/>
    <x v="1"/>
    <x v="1703"/>
    <x v="1"/>
  </r>
  <r>
    <x v="1777"/>
    <x v="4"/>
    <n v="47135.25"/>
    <x v="12"/>
    <n v="1"/>
    <x v="1473"/>
    <n v="0.77270000000000005"/>
    <n v="6"/>
    <n v="500"/>
    <n v="0"/>
    <n v="27"/>
    <x v="0"/>
    <x v="2"/>
    <x v="0"/>
    <x v="1704"/>
    <x v="1"/>
  </r>
  <r>
    <x v="1778"/>
    <x v="2"/>
    <n v="77094.880000000005"/>
    <x v="49"/>
    <n v="0"/>
    <x v="1474"/>
    <n v="0.58440000000000003"/>
    <n v="4"/>
    <n v="44183.85"/>
    <n v="26750.22"/>
    <n v="122"/>
    <x v="0"/>
    <x v="2"/>
    <x v="0"/>
    <x v="1705"/>
    <x v="1"/>
  </r>
  <r>
    <x v="1779"/>
    <x v="4"/>
    <n v="69057.69"/>
    <x v="11"/>
    <n v="1"/>
    <x v="1456"/>
    <n v="0.32100000000000001"/>
    <n v="2"/>
    <n v="8525.7900000000009"/>
    <n v="0"/>
    <n v="6"/>
    <x v="0"/>
    <x v="0"/>
    <x v="1"/>
    <x v="1706"/>
    <x v="1"/>
  </r>
  <r>
    <x v="1780"/>
    <x v="1"/>
    <n v="186864.12"/>
    <x v="3"/>
    <n v="0"/>
    <x v="1475"/>
    <n v="0.34410000000000002"/>
    <n v="2"/>
    <n v="61941.33"/>
    <n v="50031.45"/>
    <n v="19"/>
    <x v="0"/>
    <x v="2"/>
    <x v="2"/>
    <x v="1707"/>
    <x v="1"/>
  </r>
  <r>
    <x v="1781"/>
    <x v="5"/>
    <n v="75361.570000000007"/>
    <x v="20"/>
    <n v="1"/>
    <x v="1476"/>
    <n v="0.62070000000000003"/>
    <n v="4"/>
    <n v="51209.38"/>
    <n v="27128.400000000001"/>
    <n v="30"/>
    <x v="0"/>
    <x v="2"/>
    <x v="0"/>
    <x v="1708"/>
    <x v="1"/>
  </r>
  <r>
    <x v="1782"/>
    <x v="0"/>
    <n v="96665.2"/>
    <x v="19"/>
    <n v="1"/>
    <x v="1477"/>
    <n v="0.70179999999999998"/>
    <n v="5"/>
    <n v="73060.899999999994"/>
    <n v="51730.62"/>
    <n v="69"/>
    <x v="0"/>
    <x v="2"/>
    <x v="0"/>
    <x v="574"/>
    <x v="1"/>
  </r>
  <r>
    <x v="1783"/>
    <x v="0"/>
    <n v="98116.15"/>
    <x v="10"/>
    <n v="1"/>
    <x v="526"/>
    <n v="0.47720000000000001"/>
    <n v="8"/>
    <n v="61951.49"/>
    <n v="51809.97"/>
    <n v="18"/>
    <x v="1"/>
    <x v="0"/>
    <x v="0"/>
    <x v="1709"/>
    <x v="1"/>
  </r>
  <r>
    <x v="1784"/>
    <x v="2"/>
    <n v="72048.679999999993"/>
    <x v="28"/>
    <n v="1"/>
    <x v="1478"/>
    <n v="0.51190000000000002"/>
    <n v="2"/>
    <n v="34693.07"/>
    <n v="20373.55"/>
    <n v="170"/>
    <x v="0"/>
    <x v="0"/>
    <x v="0"/>
    <x v="1710"/>
    <x v="1"/>
  </r>
  <r>
    <x v="1785"/>
    <x v="5"/>
    <n v="97626.98"/>
    <x v="32"/>
    <n v="0"/>
    <x v="979"/>
    <n v="0.2152"/>
    <n v="1"/>
    <n v="35422.559999999998"/>
    <n v="13194.38"/>
    <n v="91"/>
    <x v="0"/>
    <x v="0"/>
    <x v="1"/>
    <x v="1711"/>
    <x v="1"/>
  </r>
  <r>
    <x v="1786"/>
    <x v="1"/>
    <n v="167531.85999999999"/>
    <x v="29"/>
    <n v="0"/>
    <x v="1479"/>
    <n v="0.25140000000000001"/>
    <n v="0"/>
    <n v="34135.379999999997"/>
    <n v="25385.91"/>
    <n v="19"/>
    <x v="1"/>
    <x v="2"/>
    <x v="0"/>
    <x v="1712"/>
    <x v="1"/>
  </r>
  <r>
    <x v="1787"/>
    <x v="2"/>
    <n v="25791.439999999999"/>
    <x v="24"/>
    <n v="1"/>
    <x v="1480"/>
    <n v="0.78339999999999999"/>
    <n v="2"/>
    <n v="16933.84"/>
    <n v="22379.91"/>
    <n v="169"/>
    <x v="1"/>
    <x v="0"/>
    <x v="1"/>
    <x v="1713"/>
    <x v="1"/>
  </r>
  <r>
    <x v="1788"/>
    <x v="2"/>
    <n v="135547.1"/>
    <x v="33"/>
    <n v="1"/>
    <x v="1481"/>
    <n v="0"/>
    <n v="3"/>
    <n v="500"/>
    <n v="4319.63"/>
    <n v="22"/>
    <x v="0"/>
    <x v="2"/>
    <x v="0"/>
    <x v="1714"/>
    <x v="1"/>
  </r>
  <r>
    <x v="1789"/>
    <x v="1"/>
    <n v="111333.52"/>
    <x v="9"/>
    <n v="1"/>
    <x v="717"/>
    <n v="0.91679999999999995"/>
    <n v="7"/>
    <n v="95944.53"/>
    <n v="51989.74"/>
    <n v="127"/>
    <x v="2"/>
    <x v="0"/>
    <x v="0"/>
    <x v="1715"/>
    <x v="0"/>
  </r>
  <r>
    <x v="1790"/>
    <x v="1"/>
    <n v="33408.58"/>
    <x v="46"/>
    <n v="0"/>
    <x v="950"/>
    <n v="0"/>
    <n v="2"/>
    <n v="500"/>
    <n v="0"/>
    <n v="92"/>
    <x v="0"/>
    <x v="2"/>
    <x v="1"/>
    <x v="1716"/>
    <x v="1"/>
  </r>
  <r>
    <x v="1791"/>
    <x v="4"/>
    <n v="134451"/>
    <x v="27"/>
    <n v="0"/>
    <x v="1482"/>
    <n v="0"/>
    <n v="0"/>
    <n v="500"/>
    <n v="0"/>
    <n v="57"/>
    <x v="2"/>
    <x v="2"/>
    <x v="3"/>
    <x v="1717"/>
    <x v="1"/>
  </r>
  <r>
    <x v="1792"/>
    <x v="5"/>
    <n v="92327.48"/>
    <x v="33"/>
    <n v="0"/>
    <x v="1483"/>
    <n v="0.42299999999999999"/>
    <n v="0"/>
    <n v="44727.33"/>
    <n v="46329.120000000003"/>
    <n v="166"/>
    <x v="1"/>
    <x v="0"/>
    <x v="0"/>
    <x v="1718"/>
    <x v="1"/>
  </r>
  <r>
    <x v="1793"/>
    <x v="1"/>
    <n v="77057.22"/>
    <x v="9"/>
    <n v="1"/>
    <x v="1484"/>
    <n v="0.39889999999999998"/>
    <n v="1"/>
    <n v="17068.25"/>
    <n v="9407.7999999999993"/>
    <n v="31"/>
    <x v="1"/>
    <x v="2"/>
    <x v="0"/>
    <x v="1719"/>
    <x v="1"/>
  </r>
  <r>
    <x v="1794"/>
    <x v="4"/>
    <n v="101881.31"/>
    <x v="11"/>
    <n v="1"/>
    <x v="1485"/>
    <n v="0.19869999999999999"/>
    <n v="0"/>
    <n v="7272.64"/>
    <n v="2024.61"/>
    <n v="134"/>
    <x v="0"/>
    <x v="0"/>
    <x v="1"/>
    <x v="1720"/>
    <x v="1"/>
  </r>
  <r>
    <x v="1795"/>
    <x v="2"/>
    <n v="83400.95"/>
    <x v="18"/>
    <n v="1"/>
    <x v="1486"/>
    <n v="0.84830000000000005"/>
    <n v="5"/>
    <n v="56286.42"/>
    <n v="37725.620000000003"/>
    <n v="126"/>
    <x v="1"/>
    <x v="2"/>
    <x v="1"/>
    <x v="1621"/>
    <x v="1"/>
  </r>
  <r>
    <x v="1796"/>
    <x v="4"/>
    <n v="77377.05"/>
    <x v="22"/>
    <n v="0"/>
    <x v="24"/>
    <n v="0.26190000000000002"/>
    <n v="6"/>
    <n v="24088.959999999999"/>
    <n v="14415.22"/>
    <n v="59"/>
    <x v="0"/>
    <x v="1"/>
    <x v="3"/>
    <x v="1721"/>
    <x v="1"/>
  </r>
  <r>
    <x v="1797"/>
    <x v="5"/>
    <n v="115399.99"/>
    <x v="27"/>
    <n v="1"/>
    <x v="24"/>
    <n v="0.25109999999999999"/>
    <n v="2"/>
    <n v="11060.26"/>
    <n v="0"/>
    <n v="154"/>
    <x v="3"/>
    <x v="2"/>
    <x v="0"/>
    <x v="1722"/>
    <x v="1"/>
  </r>
  <r>
    <x v="1798"/>
    <x v="2"/>
    <n v="50469.16"/>
    <x v="1"/>
    <n v="0"/>
    <x v="1017"/>
    <n v="0.2399"/>
    <n v="2"/>
    <n v="500"/>
    <n v="4229.8999999999996"/>
    <n v="82"/>
    <x v="0"/>
    <x v="0"/>
    <x v="1"/>
    <x v="1723"/>
    <x v="1"/>
  </r>
  <r>
    <x v="1799"/>
    <x v="3"/>
    <n v="17285.53"/>
    <x v="38"/>
    <n v="0"/>
    <x v="1487"/>
    <n v="0.50770000000000004"/>
    <n v="5"/>
    <n v="29028.67"/>
    <n v="6643.71"/>
    <n v="151"/>
    <x v="1"/>
    <x v="2"/>
    <x v="1"/>
    <x v="1724"/>
    <x v="1"/>
  </r>
  <r>
    <x v="1800"/>
    <x v="2"/>
    <n v="49071.41"/>
    <x v="5"/>
    <n v="0"/>
    <x v="1488"/>
    <n v="0.57310000000000005"/>
    <n v="4"/>
    <n v="32654.74"/>
    <n v="18815.169999999998"/>
    <n v="152"/>
    <x v="0"/>
    <x v="0"/>
    <x v="1"/>
    <x v="1725"/>
    <x v="1"/>
  </r>
  <r>
    <x v="1801"/>
    <x v="5"/>
    <n v="81734.97"/>
    <x v="11"/>
    <n v="0"/>
    <x v="1489"/>
    <n v="0.40450000000000003"/>
    <n v="1"/>
    <n v="37684.089999999997"/>
    <n v="50842.98"/>
    <n v="61"/>
    <x v="1"/>
    <x v="2"/>
    <x v="2"/>
    <x v="1726"/>
    <x v="1"/>
  </r>
  <r>
    <x v="1802"/>
    <x v="3"/>
    <n v="64589.82"/>
    <x v="49"/>
    <n v="0"/>
    <x v="1190"/>
    <n v="0.20469999999999999"/>
    <n v="3"/>
    <n v="500"/>
    <n v="0"/>
    <n v="21"/>
    <x v="3"/>
    <x v="2"/>
    <x v="1"/>
    <x v="1727"/>
    <x v="1"/>
  </r>
  <r>
    <x v="1803"/>
    <x v="1"/>
    <n v="120592.37"/>
    <x v="49"/>
    <n v="0"/>
    <x v="1490"/>
    <n v="0.61250000000000004"/>
    <n v="5"/>
    <n v="93343.74"/>
    <n v="64393.07"/>
    <n v="157"/>
    <x v="1"/>
    <x v="0"/>
    <x v="0"/>
    <x v="1728"/>
    <x v="1"/>
  </r>
  <r>
    <x v="1804"/>
    <x v="1"/>
    <n v="36422.57"/>
    <x v="39"/>
    <n v="1"/>
    <x v="1491"/>
    <n v="0.66039999999999999"/>
    <n v="7"/>
    <n v="4169.68"/>
    <n v="10359.44"/>
    <n v="145"/>
    <x v="3"/>
    <x v="2"/>
    <x v="0"/>
    <x v="1729"/>
    <x v="1"/>
  </r>
  <r>
    <x v="1805"/>
    <x v="0"/>
    <n v="126245.98"/>
    <x v="38"/>
    <n v="0"/>
    <x v="1492"/>
    <n v="0.81120000000000003"/>
    <n v="4"/>
    <n v="100852.02"/>
    <n v="87204.43"/>
    <n v="90"/>
    <x v="0"/>
    <x v="0"/>
    <x v="0"/>
    <x v="1730"/>
    <x v="1"/>
  </r>
  <r>
    <x v="1806"/>
    <x v="3"/>
    <n v="104508.1"/>
    <x v="12"/>
    <n v="1"/>
    <x v="1493"/>
    <n v="9.6100000000000005E-2"/>
    <n v="0"/>
    <n v="500"/>
    <n v="10258.5"/>
    <n v="58"/>
    <x v="2"/>
    <x v="0"/>
    <x v="0"/>
    <x v="1731"/>
    <x v="1"/>
  </r>
  <r>
    <x v="1807"/>
    <x v="3"/>
    <n v="146928.6"/>
    <x v="14"/>
    <n v="0"/>
    <x v="1281"/>
    <n v="0.43140000000000001"/>
    <n v="2"/>
    <n v="82140.070000000007"/>
    <n v="52041.4"/>
    <n v="31"/>
    <x v="1"/>
    <x v="0"/>
    <x v="2"/>
    <x v="1732"/>
    <x v="1"/>
  </r>
  <r>
    <x v="1808"/>
    <x v="4"/>
    <n v="92469.74"/>
    <x v="4"/>
    <n v="0"/>
    <x v="1494"/>
    <n v="0.29020000000000001"/>
    <n v="4"/>
    <n v="19009.509999999998"/>
    <n v="9824.3799999999992"/>
    <n v="36"/>
    <x v="0"/>
    <x v="2"/>
    <x v="2"/>
    <x v="1733"/>
    <x v="1"/>
  </r>
  <r>
    <x v="1809"/>
    <x v="2"/>
    <n v="123840.87"/>
    <x v="20"/>
    <n v="1"/>
    <x v="1495"/>
    <n v="0.91279999999999994"/>
    <n v="7"/>
    <n v="116728.39"/>
    <n v="95851.19"/>
    <n v="136"/>
    <x v="1"/>
    <x v="0"/>
    <x v="2"/>
    <x v="1734"/>
    <x v="1"/>
  </r>
  <r>
    <x v="1810"/>
    <x v="2"/>
    <n v="106043.72"/>
    <x v="14"/>
    <n v="0"/>
    <x v="1496"/>
    <n v="0.48309999999999997"/>
    <n v="1"/>
    <n v="88993.75"/>
    <n v="66091.039999999994"/>
    <n v="153"/>
    <x v="3"/>
    <x v="0"/>
    <x v="1"/>
    <x v="1735"/>
    <x v="1"/>
  </r>
  <r>
    <x v="1811"/>
    <x v="1"/>
    <n v="87014.85"/>
    <x v="47"/>
    <n v="0"/>
    <x v="1497"/>
    <n v="0.44419999999999998"/>
    <n v="7"/>
    <n v="39631.71"/>
    <n v="30466.13"/>
    <n v="158"/>
    <x v="1"/>
    <x v="1"/>
    <x v="0"/>
    <x v="1736"/>
    <x v="1"/>
  </r>
  <r>
    <x v="1812"/>
    <x v="5"/>
    <n v="112984.4"/>
    <x v="33"/>
    <n v="1"/>
    <x v="1498"/>
    <n v="0.5917"/>
    <n v="4"/>
    <n v="49290.11"/>
    <n v="34050.720000000001"/>
    <n v="41"/>
    <x v="1"/>
    <x v="0"/>
    <x v="1"/>
    <x v="1737"/>
    <x v="1"/>
  </r>
  <r>
    <x v="1813"/>
    <x v="4"/>
    <n v="74309.929999999993"/>
    <x v="31"/>
    <n v="0"/>
    <x v="1499"/>
    <n v="0.34370000000000001"/>
    <n v="1"/>
    <n v="500"/>
    <n v="0"/>
    <n v="115"/>
    <x v="1"/>
    <x v="0"/>
    <x v="1"/>
    <x v="1738"/>
    <x v="1"/>
  </r>
  <r>
    <x v="1814"/>
    <x v="1"/>
    <n v="80105.83"/>
    <x v="3"/>
    <n v="0"/>
    <x v="24"/>
    <n v="0.87080000000000002"/>
    <n v="4"/>
    <n v="56711.839999999997"/>
    <n v="27319.01"/>
    <n v="108"/>
    <x v="0"/>
    <x v="0"/>
    <x v="1"/>
    <x v="1739"/>
    <x v="1"/>
  </r>
  <r>
    <x v="1815"/>
    <x v="5"/>
    <n v="107132.23"/>
    <x v="24"/>
    <n v="0"/>
    <x v="1500"/>
    <n v="0.35589999999999999"/>
    <n v="0"/>
    <n v="31951.51"/>
    <n v="23151.119999999999"/>
    <n v="173"/>
    <x v="1"/>
    <x v="0"/>
    <x v="0"/>
    <x v="1740"/>
    <x v="1"/>
  </r>
  <r>
    <x v="1816"/>
    <x v="2"/>
    <n v="53567.63"/>
    <x v="14"/>
    <n v="1"/>
    <x v="1501"/>
    <n v="1"/>
    <n v="6"/>
    <n v="50097.74"/>
    <n v="34063.61"/>
    <n v="102"/>
    <x v="1"/>
    <x v="1"/>
    <x v="0"/>
    <x v="1741"/>
    <x v="1"/>
  </r>
  <r>
    <x v="1817"/>
    <x v="4"/>
    <n v="157618.10999999999"/>
    <x v="46"/>
    <n v="1"/>
    <x v="1502"/>
    <n v="0.4204"/>
    <n v="2"/>
    <n v="105669.79"/>
    <n v="75841.77"/>
    <n v="111"/>
    <x v="1"/>
    <x v="2"/>
    <x v="1"/>
    <x v="1742"/>
    <x v="1"/>
  </r>
  <r>
    <x v="1818"/>
    <x v="2"/>
    <n v="84018.68"/>
    <x v="41"/>
    <n v="1"/>
    <x v="1503"/>
    <n v="0.39300000000000002"/>
    <n v="1"/>
    <n v="38389.53"/>
    <n v="24971.89"/>
    <n v="174"/>
    <x v="0"/>
    <x v="0"/>
    <x v="1"/>
    <x v="1014"/>
    <x v="1"/>
  </r>
  <r>
    <x v="1819"/>
    <x v="1"/>
    <n v="55482.25"/>
    <x v="49"/>
    <n v="0"/>
    <x v="374"/>
    <n v="0.36149999999999999"/>
    <n v="4"/>
    <n v="25542.27"/>
    <n v="21130.73"/>
    <n v="161"/>
    <x v="1"/>
    <x v="0"/>
    <x v="0"/>
    <x v="1743"/>
    <x v="1"/>
  </r>
  <r>
    <x v="1820"/>
    <x v="3"/>
    <n v="129683.36"/>
    <x v="46"/>
    <n v="1"/>
    <x v="1504"/>
    <n v="0.32379999999999998"/>
    <n v="0"/>
    <n v="60721.07"/>
    <n v="34102.480000000003"/>
    <n v="94"/>
    <x v="1"/>
    <x v="2"/>
    <x v="2"/>
    <x v="1744"/>
    <x v="1"/>
  </r>
  <r>
    <x v="1821"/>
    <x v="4"/>
    <n v="57256.07"/>
    <x v="46"/>
    <n v="0"/>
    <x v="24"/>
    <n v="0.53480000000000005"/>
    <n v="3"/>
    <n v="18121.54"/>
    <n v="6110.19"/>
    <n v="7"/>
    <x v="2"/>
    <x v="0"/>
    <x v="0"/>
    <x v="1745"/>
    <x v="1"/>
  </r>
  <r>
    <x v="1822"/>
    <x v="3"/>
    <n v="26686.5"/>
    <x v="40"/>
    <n v="1"/>
    <x v="1505"/>
    <n v="0.35880000000000001"/>
    <n v="1"/>
    <n v="12044.37"/>
    <n v="16419.47"/>
    <n v="24"/>
    <x v="0"/>
    <x v="0"/>
    <x v="1"/>
    <x v="1746"/>
    <x v="1"/>
  </r>
  <r>
    <x v="1823"/>
    <x v="0"/>
    <n v="80558.039999999994"/>
    <x v="30"/>
    <n v="1"/>
    <x v="1506"/>
    <n v="0.59899999999999998"/>
    <n v="4"/>
    <n v="49753.82"/>
    <n v="16334.55"/>
    <n v="136"/>
    <x v="2"/>
    <x v="0"/>
    <x v="1"/>
    <x v="1747"/>
    <x v="1"/>
  </r>
  <r>
    <x v="1824"/>
    <x v="1"/>
    <n v="145699.19"/>
    <x v="34"/>
    <n v="0"/>
    <x v="1507"/>
    <n v="5.0099999999999999E-2"/>
    <n v="0"/>
    <n v="4387.8100000000004"/>
    <n v="0"/>
    <n v="162"/>
    <x v="0"/>
    <x v="0"/>
    <x v="1"/>
    <x v="1748"/>
    <x v="1"/>
  </r>
  <r>
    <x v="1825"/>
    <x v="5"/>
    <n v="145078.85"/>
    <x v="43"/>
    <n v="0"/>
    <x v="1508"/>
    <n v="0.31719999999999998"/>
    <n v="1"/>
    <n v="21893.46"/>
    <n v="8641.89"/>
    <n v="176"/>
    <x v="0"/>
    <x v="0"/>
    <x v="1"/>
    <x v="1749"/>
    <x v="1"/>
  </r>
  <r>
    <x v="1826"/>
    <x v="0"/>
    <n v="19181.88"/>
    <x v="18"/>
    <n v="1"/>
    <x v="1509"/>
    <n v="0.17180000000000001"/>
    <n v="0"/>
    <n v="500"/>
    <n v="0"/>
    <n v="94"/>
    <x v="2"/>
    <x v="2"/>
    <x v="1"/>
    <x v="1750"/>
    <x v="1"/>
  </r>
  <r>
    <x v="1827"/>
    <x v="5"/>
    <n v="96425.87"/>
    <x v="0"/>
    <n v="1"/>
    <x v="1510"/>
    <n v="0.60589999999999999"/>
    <n v="7"/>
    <n v="74057.03"/>
    <n v="43009.53"/>
    <n v="116"/>
    <x v="1"/>
    <x v="0"/>
    <x v="0"/>
    <x v="1751"/>
    <x v="1"/>
  </r>
  <r>
    <x v="1828"/>
    <x v="5"/>
    <n v="56285.14"/>
    <x v="29"/>
    <n v="1"/>
    <x v="1511"/>
    <n v="0.40860000000000002"/>
    <n v="4"/>
    <n v="27035.78"/>
    <n v="13535.84"/>
    <n v="75"/>
    <x v="1"/>
    <x v="2"/>
    <x v="0"/>
    <x v="1752"/>
    <x v="1"/>
  </r>
  <r>
    <x v="1829"/>
    <x v="4"/>
    <n v="71303.740000000005"/>
    <x v="5"/>
    <n v="0"/>
    <x v="142"/>
    <n v="0.12089999999999999"/>
    <n v="2"/>
    <n v="500"/>
    <n v="16673.490000000002"/>
    <n v="20"/>
    <x v="0"/>
    <x v="0"/>
    <x v="0"/>
    <x v="1753"/>
    <x v="1"/>
  </r>
  <r>
    <x v="1830"/>
    <x v="2"/>
    <n v="140448.66"/>
    <x v="26"/>
    <n v="1"/>
    <x v="1512"/>
    <n v="0.69159999999999999"/>
    <n v="3"/>
    <n v="104259.63"/>
    <n v="62244.94"/>
    <n v="52"/>
    <x v="0"/>
    <x v="2"/>
    <x v="0"/>
    <x v="1754"/>
    <x v="1"/>
  </r>
  <r>
    <x v="1831"/>
    <x v="5"/>
    <n v="119848.76"/>
    <x v="19"/>
    <n v="0"/>
    <x v="24"/>
    <n v="0.49719999999999998"/>
    <n v="4"/>
    <n v="63407.16"/>
    <n v="50786.75"/>
    <n v="26"/>
    <x v="1"/>
    <x v="0"/>
    <x v="0"/>
    <x v="1755"/>
    <x v="1"/>
  </r>
  <r>
    <x v="1832"/>
    <x v="1"/>
    <n v="119573.12"/>
    <x v="31"/>
    <n v="0"/>
    <x v="1513"/>
    <n v="0.59409999999999996"/>
    <n v="3"/>
    <n v="82228.73"/>
    <n v="79932.59"/>
    <n v="104"/>
    <x v="0"/>
    <x v="0"/>
    <x v="2"/>
    <x v="1756"/>
    <x v="0"/>
  </r>
  <r>
    <x v="1833"/>
    <x v="5"/>
    <n v="82563"/>
    <x v="12"/>
    <n v="0"/>
    <x v="249"/>
    <n v="0.4289"/>
    <n v="6"/>
    <n v="36893.83"/>
    <n v="32274.5"/>
    <n v="92"/>
    <x v="1"/>
    <x v="0"/>
    <x v="0"/>
    <x v="16"/>
    <x v="1"/>
  </r>
  <r>
    <x v="1834"/>
    <x v="4"/>
    <n v="108398.41"/>
    <x v="41"/>
    <n v="0"/>
    <x v="1514"/>
    <n v="0.37159999999999999"/>
    <n v="2"/>
    <n v="72755.17"/>
    <n v="50813.51"/>
    <n v="53"/>
    <x v="2"/>
    <x v="2"/>
    <x v="1"/>
    <x v="1757"/>
    <x v="1"/>
  </r>
  <r>
    <x v="1835"/>
    <x v="4"/>
    <n v="120579.97"/>
    <x v="44"/>
    <n v="1"/>
    <x v="1515"/>
    <n v="2.0199999999999999E-2"/>
    <n v="0"/>
    <n v="8742.85"/>
    <n v="6851.4"/>
    <n v="124"/>
    <x v="1"/>
    <x v="2"/>
    <x v="2"/>
    <x v="1758"/>
    <x v="1"/>
  </r>
  <r>
    <x v="1836"/>
    <x v="5"/>
    <n v="115842.33"/>
    <x v="37"/>
    <n v="1"/>
    <x v="11"/>
    <n v="0.51549999999999996"/>
    <n v="5"/>
    <n v="37633.25"/>
    <n v="5452.01"/>
    <n v="96"/>
    <x v="2"/>
    <x v="1"/>
    <x v="0"/>
    <x v="1759"/>
    <x v="1"/>
  </r>
  <r>
    <x v="1837"/>
    <x v="1"/>
    <n v="97554.38"/>
    <x v="49"/>
    <n v="1"/>
    <x v="1516"/>
    <n v="0.48759999999999998"/>
    <n v="0"/>
    <n v="56148.66"/>
    <n v="39537.94"/>
    <n v="113"/>
    <x v="0"/>
    <x v="2"/>
    <x v="0"/>
    <x v="1760"/>
    <x v="1"/>
  </r>
  <r>
    <x v="1838"/>
    <x v="5"/>
    <n v="123544.28"/>
    <x v="5"/>
    <n v="1"/>
    <x v="1517"/>
    <n v="0.41920000000000002"/>
    <n v="2"/>
    <n v="51206.99"/>
    <n v="27000.13"/>
    <n v="154"/>
    <x v="1"/>
    <x v="0"/>
    <x v="0"/>
    <x v="1761"/>
    <x v="1"/>
  </r>
  <r>
    <x v="1839"/>
    <x v="5"/>
    <n v="51572.44"/>
    <x v="8"/>
    <n v="0"/>
    <x v="1518"/>
    <n v="0.34410000000000002"/>
    <n v="5"/>
    <n v="3419.97"/>
    <n v="2011.41"/>
    <n v="159"/>
    <x v="0"/>
    <x v="2"/>
    <x v="1"/>
    <x v="1762"/>
    <x v="1"/>
  </r>
  <r>
    <x v="1840"/>
    <x v="2"/>
    <n v="23382.31"/>
    <x v="34"/>
    <n v="0"/>
    <x v="1212"/>
    <n v="0.17910000000000001"/>
    <n v="2"/>
    <n v="500"/>
    <n v="201.64"/>
    <n v="104"/>
    <x v="1"/>
    <x v="0"/>
    <x v="2"/>
    <x v="1763"/>
    <x v="1"/>
  </r>
  <r>
    <x v="1841"/>
    <x v="0"/>
    <n v="125929.68"/>
    <x v="34"/>
    <n v="1"/>
    <x v="1519"/>
    <n v="0.2079"/>
    <n v="2"/>
    <n v="26258.18"/>
    <n v="20002.349999999999"/>
    <n v="36"/>
    <x v="1"/>
    <x v="1"/>
    <x v="0"/>
    <x v="1764"/>
    <x v="1"/>
  </r>
  <r>
    <x v="1124"/>
    <x v="3"/>
    <n v="27317.88"/>
    <x v="14"/>
    <n v="0"/>
    <x v="1520"/>
    <n v="0"/>
    <n v="0"/>
    <n v="6859.65"/>
    <n v="1454.31"/>
    <n v="51"/>
    <x v="1"/>
    <x v="2"/>
    <x v="1"/>
    <x v="1765"/>
    <x v="1"/>
  </r>
  <r>
    <x v="1842"/>
    <x v="4"/>
    <n v="148093.56"/>
    <x v="40"/>
    <n v="0"/>
    <x v="1521"/>
    <n v="0.73209999999999997"/>
    <n v="6"/>
    <n v="100256.86"/>
    <n v="78998.81"/>
    <n v="110"/>
    <x v="1"/>
    <x v="2"/>
    <x v="1"/>
    <x v="1766"/>
    <x v="1"/>
  </r>
  <r>
    <x v="1843"/>
    <x v="4"/>
    <n v="118067.61"/>
    <x v="37"/>
    <n v="1"/>
    <x v="1522"/>
    <n v="0.4425"/>
    <n v="3"/>
    <n v="50781.18"/>
    <n v="23188.6"/>
    <n v="115"/>
    <x v="0"/>
    <x v="0"/>
    <x v="0"/>
    <x v="1767"/>
    <x v="1"/>
  </r>
  <r>
    <x v="1844"/>
    <x v="0"/>
    <n v="120190.92"/>
    <x v="36"/>
    <n v="0"/>
    <x v="706"/>
    <n v="0.52270000000000005"/>
    <n v="4"/>
    <n v="70398.02"/>
    <n v="42797.17"/>
    <n v="78"/>
    <x v="1"/>
    <x v="0"/>
    <x v="0"/>
    <x v="1768"/>
    <x v="1"/>
  </r>
  <r>
    <x v="1845"/>
    <x v="5"/>
    <n v="90237.92"/>
    <x v="31"/>
    <n v="0"/>
    <x v="848"/>
    <n v="0.44840000000000002"/>
    <n v="6"/>
    <n v="44948.88"/>
    <n v="23340.01"/>
    <n v="68"/>
    <x v="1"/>
    <x v="2"/>
    <x v="2"/>
    <x v="1765"/>
    <x v="1"/>
  </r>
  <r>
    <x v="1846"/>
    <x v="1"/>
    <n v="92932.25"/>
    <x v="35"/>
    <n v="0"/>
    <x v="24"/>
    <n v="0.56669999999999998"/>
    <n v="5"/>
    <n v="35594.44"/>
    <n v="21909.4"/>
    <n v="103"/>
    <x v="1"/>
    <x v="0"/>
    <x v="3"/>
    <x v="1769"/>
    <x v="1"/>
  </r>
  <r>
    <x v="1847"/>
    <x v="4"/>
    <n v="34309.94"/>
    <x v="7"/>
    <n v="0"/>
    <x v="951"/>
    <n v="0.25879999999999997"/>
    <n v="1"/>
    <n v="500"/>
    <n v="0"/>
    <n v="93"/>
    <x v="2"/>
    <x v="1"/>
    <x v="0"/>
    <x v="1770"/>
    <x v="1"/>
  </r>
  <r>
    <x v="1848"/>
    <x v="0"/>
    <n v="102074.11"/>
    <x v="43"/>
    <n v="0"/>
    <x v="1523"/>
    <n v="0.57799999999999996"/>
    <n v="0"/>
    <n v="67179.45"/>
    <n v="45081.95"/>
    <n v="80"/>
    <x v="0"/>
    <x v="0"/>
    <x v="1"/>
    <x v="1771"/>
    <x v="0"/>
  </r>
  <r>
    <x v="1849"/>
    <x v="5"/>
    <n v="182433.92000000001"/>
    <x v="36"/>
    <n v="0"/>
    <x v="1524"/>
    <n v="0.46039999999999998"/>
    <n v="2"/>
    <n v="96639.79"/>
    <n v="58327.15"/>
    <n v="131"/>
    <x v="3"/>
    <x v="0"/>
    <x v="0"/>
    <x v="1772"/>
    <x v="1"/>
  </r>
  <r>
    <x v="1850"/>
    <x v="2"/>
    <n v="51816.01"/>
    <x v="13"/>
    <n v="0"/>
    <x v="790"/>
    <n v="0.38279999999999997"/>
    <n v="5"/>
    <n v="15567.33"/>
    <n v="19621.57"/>
    <n v="48"/>
    <x v="0"/>
    <x v="2"/>
    <x v="0"/>
    <x v="1773"/>
    <x v="1"/>
  </r>
  <r>
    <x v="1851"/>
    <x v="0"/>
    <n v="106842.28"/>
    <x v="24"/>
    <n v="0"/>
    <x v="1525"/>
    <n v="0.42059999999999997"/>
    <n v="2"/>
    <n v="49033.91"/>
    <n v="27127.89"/>
    <n v="142"/>
    <x v="2"/>
    <x v="2"/>
    <x v="0"/>
    <x v="1774"/>
    <x v="1"/>
  </r>
  <r>
    <x v="1852"/>
    <x v="0"/>
    <n v="141206.6"/>
    <x v="11"/>
    <n v="0"/>
    <x v="1526"/>
    <n v="0.15409999999999999"/>
    <n v="2"/>
    <n v="1546.75"/>
    <n v="1424.07"/>
    <n v="65"/>
    <x v="1"/>
    <x v="2"/>
    <x v="1"/>
    <x v="1775"/>
    <x v="1"/>
  </r>
  <r>
    <x v="1853"/>
    <x v="4"/>
    <n v="74157.59"/>
    <x v="0"/>
    <n v="0"/>
    <x v="1527"/>
    <n v="0.3276"/>
    <n v="1"/>
    <n v="18492.169999999998"/>
    <n v="20896.79"/>
    <n v="7"/>
    <x v="0"/>
    <x v="2"/>
    <x v="0"/>
    <x v="1202"/>
    <x v="1"/>
  </r>
  <r>
    <x v="1854"/>
    <x v="0"/>
    <n v="5605.24"/>
    <x v="20"/>
    <n v="1"/>
    <x v="1528"/>
    <n v="0.2094"/>
    <n v="0"/>
    <n v="500"/>
    <n v="7476.8"/>
    <n v="132"/>
    <x v="1"/>
    <x v="0"/>
    <x v="2"/>
    <x v="1776"/>
    <x v="1"/>
  </r>
  <r>
    <x v="1855"/>
    <x v="4"/>
    <n v="154128.29"/>
    <x v="6"/>
    <n v="0"/>
    <x v="1529"/>
    <n v="0.4178"/>
    <n v="3"/>
    <n v="84839.09"/>
    <n v="63549.17"/>
    <n v="148"/>
    <x v="1"/>
    <x v="1"/>
    <x v="3"/>
    <x v="1777"/>
    <x v="1"/>
  </r>
  <r>
    <x v="1856"/>
    <x v="0"/>
    <n v="92141.36"/>
    <x v="32"/>
    <n v="1"/>
    <x v="1530"/>
    <n v="0.68159999999999998"/>
    <n v="2"/>
    <n v="83602.7"/>
    <n v="58573.39"/>
    <n v="75"/>
    <x v="0"/>
    <x v="2"/>
    <x v="0"/>
    <x v="1778"/>
    <x v="0"/>
  </r>
  <r>
    <x v="1857"/>
    <x v="3"/>
    <n v="132718.82999999999"/>
    <x v="1"/>
    <n v="0"/>
    <x v="1531"/>
    <n v="0.49709999999999999"/>
    <n v="6"/>
    <n v="89095.67"/>
    <n v="66013.100000000006"/>
    <n v="57"/>
    <x v="0"/>
    <x v="0"/>
    <x v="0"/>
    <x v="1779"/>
    <x v="1"/>
  </r>
  <r>
    <x v="1858"/>
    <x v="1"/>
    <n v="138459.48000000001"/>
    <x v="12"/>
    <n v="1"/>
    <x v="24"/>
    <n v="0.70950000000000002"/>
    <n v="2"/>
    <n v="80603.929999999993"/>
    <n v="63415.38"/>
    <n v="74"/>
    <x v="0"/>
    <x v="2"/>
    <x v="1"/>
    <x v="1780"/>
    <x v="1"/>
  </r>
  <r>
    <x v="1859"/>
    <x v="2"/>
    <n v="67826.92"/>
    <x v="35"/>
    <n v="1"/>
    <x v="393"/>
    <n v="0.52759999999999996"/>
    <n v="3"/>
    <n v="34297.919999999998"/>
    <n v="21862.17"/>
    <n v="144"/>
    <x v="1"/>
    <x v="0"/>
    <x v="1"/>
    <x v="1781"/>
    <x v="1"/>
  </r>
  <r>
    <x v="1860"/>
    <x v="4"/>
    <n v="91595.82"/>
    <x v="33"/>
    <n v="1"/>
    <x v="1532"/>
    <n v="0.27829999999999999"/>
    <n v="1"/>
    <n v="52893.08"/>
    <n v="28154.51"/>
    <n v="159"/>
    <x v="0"/>
    <x v="2"/>
    <x v="0"/>
    <x v="1782"/>
    <x v="1"/>
  </r>
  <r>
    <x v="1861"/>
    <x v="0"/>
    <n v="118320.35"/>
    <x v="38"/>
    <n v="0"/>
    <x v="163"/>
    <n v="0.29599999999999999"/>
    <n v="0"/>
    <n v="17398.32"/>
    <n v="20930.740000000002"/>
    <n v="61"/>
    <x v="1"/>
    <x v="2"/>
    <x v="3"/>
    <x v="1783"/>
    <x v="1"/>
  </r>
  <r>
    <x v="1862"/>
    <x v="4"/>
    <n v="175160.45"/>
    <x v="34"/>
    <n v="0"/>
    <x v="1533"/>
    <n v="0.17960000000000001"/>
    <n v="3"/>
    <n v="35711.81"/>
    <n v="17571.21"/>
    <n v="170"/>
    <x v="0"/>
    <x v="2"/>
    <x v="0"/>
    <x v="1784"/>
    <x v="1"/>
  </r>
  <r>
    <x v="1863"/>
    <x v="3"/>
    <n v="81956.13"/>
    <x v="32"/>
    <n v="1"/>
    <x v="1359"/>
    <n v="0.19570000000000001"/>
    <n v="1"/>
    <n v="11974.37"/>
    <n v="13587"/>
    <n v="95"/>
    <x v="1"/>
    <x v="2"/>
    <x v="0"/>
    <x v="1785"/>
    <x v="1"/>
  </r>
  <r>
    <x v="1864"/>
    <x v="0"/>
    <n v="104695.03999999999"/>
    <x v="24"/>
    <n v="1"/>
    <x v="1534"/>
    <n v="0.28699999999999998"/>
    <n v="1"/>
    <n v="19631.8"/>
    <n v="5239.3"/>
    <n v="123"/>
    <x v="0"/>
    <x v="2"/>
    <x v="0"/>
    <x v="1786"/>
    <x v="1"/>
  </r>
  <r>
    <x v="1865"/>
    <x v="4"/>
    <n v="85067.65"/>
    <x v="42"/>
    <n v="1"/>
    <x v="1010"/>
    <n v="0.29759999999999998"/>
    <n v="0"/>
    <n v="30944.45"/>
    <n v="27293.07"/>
    <n v="15"/>
    <x v="0"/>
    <x v="1"/>
    <x v="0"/>
    <x v="1787"/>
    <x v="1"/>
  </r>
  <r>
    <x v="1866"/>
    <x v="0"/>
    <n v="106496.67"/>
    <x v="37"/>
    <n v="1"/>
    <x v="1094"/>
    <n v="0.64459999999999995"/>
    <n v="2"/>
    <n v="46843.18"/>
    <n v="22045.84"/>
    <n v="129"/>
    <x v="1"/>
    <x v="0"/>
    <x v="0"/>
    <x v="1788"/>
    <x v="1"/>
  </r>
  <r>
    <x v="1867"/>
    <x v="5"/>
    <n v="85527.09"/>
    <x v="42"/>
    <n v="1"/>
    <x v="1535"/>
    <n v="0.38300000000000001"/>
    <n v="0"/>
    <n v="25677.34"/>
    <n v="22672.59"/>
    <n v="154"/>
    <x v="1"/>
    <x v="2"/>
    <x v="1"/>
    <x v="1789"/>
    <x v="1"/>
  </r>
  <r>
    <x v="1868"/>
    <x v="5"/>
    <n v="173237.24"/>
    <x v="32"/>
    <n v="1"/>
    <x v="947"/>
    <n v="0.37430000000000002"/>
    <n v="3"/>
    <n v="83103.360000000001"/>
    <n v="60013.55"/>
    <n v="101"/>
    <x v="0"/>
    <x v="0"/>
    <x v="1"/>
    <x v="1790"/>
    <x v="1"/>
  </r>
  <r>
    <x v="1869"/>
    <x v="4"/>
    <n v="65239.63"/>
    <x v="36"/>
    <n v="1"/>
    <x v="1536"/>
    <n v="0.34699999999999998"/>
    <n v="8"/>
    <n v="9421.34"/>
    <n v="0"/>
    <n v="136"/>
    <x v="0"/>
    <x v="0"/>
    <x v="0"/>
    <x v="1791"/>
    <x v="1"/>
  </r>
  <r>
    <x v="1870"/>
    <x v="5"/>
    <n v="13626.32"/>
    <x v="22"/>
    <n v="0"/>
    <x v="637"/>
    <n v="0.36209999999999998"/>
    <n v="3"/>
    <n v="500"/>
    <n v="0"/>
    <n v="74"/>
    <x v="2"/>
    <x v="0"/>
    <x v="1"/>
    <x v="1792"/>
    <x v="1"/>
  </r>
  <r>
    <x v="1871"/>
    <x v="3"/>
    <n v="86936.69"/>
    <x v="1"/>
    <n v="0"/>
    <x v="24"/>
    <n v="0.41789999999999999"/>
    <n v="2"/>
    <n v="43717.95"/>
    <n v="37274.36"/>
    <n v="104"/>
    <x v="1"/>
    <x v="2"/>
    <x v="1"/>
    <x v="1793"/>
    <x v="1"/>
  </r>
  <r>
    <x v="1872"/>
    <x v="1"/>
    <n v="129248.97"/>
    <x v="23"/>
    <n v="1"/>
    <x v="1537"/>
    <n v="0.36280000000000001"/>
    <n v="1"/>
    <n v="59643.01"/>
    <n v="49370.28"/>
    <n v="82"/>
    <x v="1"/>
    <x v="1"/>
    <x v="0"/>
    <x v="1794"/>
    <x v="1"/>
  </r>
  <r>
    <x v="1873"/>
    <x v="2"/>
    <n v="67134.84"/>
    <x v="45"/>
    <n v="1"/>
    <x v="1538"/>
    <n v="0.32940000000000003"/>
    <n v="0"/>
    <n v="27602.12"/>
    <n v="22253.52"/>
    <n v="63"/>
    <x v="1"/>
    <x v="2"/>
    <x v="0"/>
    <x v="1795"/>
    <x v="1"/>
  </r>
  <r>
    <x v="1874"/>
    <x v="1"/>
    <n v="40959.089999999997"/>
    <x v="23"/>
    <n v="0"/>
    <x v="1397"/>
    <n v="0.5181"/>
    <n v="3"/>
    <n v="34027.61"/>
    <n v="17095.91"/>
    <n v="41"/>
    <x v="0"/>
    <x v="2"/>
    <x v="1"/>
    <x v="1796"/>
    <x v="0"/>
  </r>
  <r>
    <x v="1875"/>
    <x v="1"/>
    <n v="88888.57"/>
    <x v="31"/>
    <n v="1"/>
    <x v="1539"/>
    <n v="0.50180000000000002"/>
    <n v="4"/>
    <n v="47518.59"/>
    <n v="42046.67"/>
    <n v="77"/>
    <x v="0"/>
    <x v="0"/>
    <x v="0"/>
    <x v="1797"/>
    <x v="1"/>
  </r>
  <r>
    <x v="1876"/>
    <x v="1"/>
    <n v="83566.820000000007"/>
    <x v="23"/>
    <n v="1"/>
    <x v="1540"/>
    <n v="0.13619999999999999"/>
    <n v="0"/>
    <n v="5533.42"/>
    <n v="0"/>
    <n v="126"/>
    <x v="0"/>
    <x v="2"/>
    <x v="2"/>
    <x v="1798"/>
    <x v="1"/>
  </r>
  <r>
    <x v="1877"/>
    <x v="3"/>
    <n v="43856.18"/>
    <x v="16"/>
    <n v="1"/>
    <x v="1075"/>
    <n v="0.25929999999999997"/>
    <n v="0"/>
    <n v="27931.46"/>
    <n v="4185.78"/>
    <n v="109"/>
    <x v="2"/>
    <x v="0"/>
    <x v="0"/>
    <x v="1799"/>
    <x v="1"/>
  </r>
  <r>
    <x v="1878"/>
    <x v="5"/>
    <n v="67047.45"/>
    <x v="18"/>
    <n v="0"/>
    <x v="1541"/>
    <n v="0.54769999999999996"/>
    <n v="7"/>
    <n v="57343.05"/>
    <n v="35031.480000000003"/>
    <n v="99"/>
    <x v="0"/>
    <x v="1"/>
    <x v="2"/>
    <x v="1800"/>
    <x v="1"/>
  </r>
  <r>
    <x v="1879"/>
    <x v="1"/>
    <n v="45286.61"/>
    <x v="47"/>
    <n v="1"/>
    <x v="978"/>
    <n v="0.72729999999999995"/>
    <n v="1"/>
    <n v="6456.48"/>
    <n v="10094.23"/>
    <n v="154"/>
    <x v="0"/>
    <x v="0"/>
    <x v="3"/>
    <x v="1801"/>
    <x v="1"/>
  </r>
  <r>
    <x v="1880"/>
    <x v="0"/>
    <n v="48779.5"/>
    <x v="34"/>
    <n v="0"/>
    <x v="1456"/>
    <n v="0.21510000000000001"/>
    <n v="2"/>
    <n v="17510.439999999999"/>
    <n v="13466.19"/>
    <n v="132"/>
    <x v="2"/>
    <x v="2"/>
    <x v="0"/>
    <x v="1802"/>
    <x v="1"/>
  </r>
  <r>
    <x v="1881"/>
    <x v="4"/>
    <n v="85782.98"/>
    <x v="39"/>
    <n v="1"/>
    <x v="1542"/>
    <n v="0.5655"/>
    <n v="5"/>
    <n v="40096.620000000003"/>
    <n v="33859.79"/>
    <n v="108"/>
    <x v="0"/>
    <x v="2"/>
    <x v="0"/>
    <x v="1803"/>
    <x v="1"/>
  </r>
  <r>
    <x v="531"/>
    <x v="2"/>
    <n v="50041.22"/>
    <x v="15"/>
    <n v="0"/>
    <x v="1298"/>
    <n v="0.76629999999999998"/>
    <n v="1"/>
    <n v="42146.21"/>
    <n v="35963.85"/>
    <n v="135"/>
    <x v="1"/>
    <x v="0"/>
    <x v="1"/>
    <x v="1804"/>
    <x v="1"/>
  </r>
  <r>
    <x v="1882"/>
    <x v="2"/>
    <n v="105396.37"/>
    <x v="37"/>
    <n v="1"/>
    <x v="1114"/>
    <n v="0.41920000000000002"/>
    <n v="3"/>
    <n v="55354.38"/>
    <n v="43278.879999999997"/>
    <n v="111"/>
    <x v="3"/>
    <x v="0"/>
    <x v="0"/>
    <x v="1805"/>
    <x v="1"/>
  </r>
  <r>
    <x v="1883"/>
    <x v="3"/>
    <n v="93699.99"/>
    <x v="35"/>
    <n v="1"/>
    <x v="1543"/>
    <n v="1"/>
    <n v="9"/>
    <n v="85506.99"/>
    <n v="56923.67"/>
    <n v="174"/>
    <x v="1"/>
    <x v="0"/>
    <x v="1"/>
    <x v="1806"/>
    <x v="1"/>
  </r>
  <r>
    <x v="1884"/>
    <x v="1"/>
    <n v="124992.47"/>
    <x v="16"/>
    <n v="0"/>
    <x v="24"/>
    <n v="0"/>
    <n v="0"/>
    <n v="500"/>
    <n v="14997.46"/>
    <n v="178"/>
    <x v="1"/>
    <x v="0"/>
    <x v="0"/>
    <x v="1807"/>
    <x v="1"/>
  </r>
  <r>
    <x v="1885"/>
    <x v="2"/>
    <n v="65109.22"/>
    <x v="43"/>
    <n v="0"/>
    <x v="24"/>
    <n v="0.25869999999999999"/>
    <n v="4"/>
    <n v="4162.38"/>
    <n v="677.56"/>
    <n v="59"/>
    <x v="2"/>
    <x v="0"/>
    <x v="0"/>
    <x v="1808"/>
    <x v="1"/>
  </r>
  <r>
    <x v="1886"/>
    <x v="1"/>
    <n v="81427.289999999994"/>
    <x v="6"/>
    <n v="1"/>
    <x v="1306"/>
    <n v="0.24329999999999999"/>
    <n v="2"/>
    <n v="51751"/>
    <n v="44135.97"/>
    <n v="103"/>
    <x v="1"/>
    <x v="2"/>
    <x v="2"/>
    <x v="1809"/>
    <x v="1"/>
  </r>
  <r>
    <x v="1887"/>
    <x v="3"/>
    <n v="103189.99"/>
    <x v="32"/>
    <n v="0"/>
    <x v="1544"/>
    <n v="0.47970000000000002"/>
    <n v="3"/>
    <n v="58103.19"/>
    <n v="30741.119999999999"/>
    <n v="22"/>
    <x v="1"/>
    <x v="2"/>
    <x v="1"/>
    <x v="1810"/>
    <x v="1"/>
  </r>
  <r>
    <x v="1888"/>
    <x v="0"/>
    <n v="53934.879999999997"/>
    <x v="39"/>
    <n v="1"/>
    <x v="1545"/>
    <n v="0.71850000000000003"/>
    <n v="6"/>
    <n v="34422.46"/>
    <n v="28024.639999999999"/>
    <n v="145"/>
    <x v="2"/>
    <x v="2"/>
    <x v="0"/>
    <x v="1811"/>
    <x v="1"/>
  </r>
  <r>
    <x v="1889"/>
    <x v="0"/>
    <n v="66506.679999999993"/>
    <x v="19"/>
    <n v="0"/>
    <x v="1546"/>
    <n v="0.3039"/>
    <n v="0"/>
    <n v="14610.28"/>
    <n v="11062.99"/>
    <n v="112"/>
    <x v="1"/>
    <x v="2"/>
    <x v="1"/>
    <x v="1812"/>
    <x v="1"/>
  </r>
  <r>
    <x v="1890"/>
    <x v="5"/>
    <n v="83894.48"/>
    <x v="41"/>
    <n v="0"/>
    <x v="1547"/>
    <n v="0.1646"/>
    <n v="5"/>
    <n v="25778.27"/>
    <n v="23434.16"/>
    <n v="123"/>
    <x v="2"/>
    <x v="1"/>
    <x v="1"/>
    <x v="1813"/>
    <x v="1"/>
  </r>
  <r>
    <x v="1891"/>
    <x v="2"/>
    <n v="158633.74"/>
    <x v="5"/>
    <n v="0"/>
    <x v="1548"/>
    <n v="0.81989999999999996"/>
    <n v="6"/>
    <n v="134142.34"/>
    <n v="74151.58"/>
    <n v="95"/>
    <x v="1"/>
    <x v="1"/>
    <x v="1"/>
    <x v="1814"/>
    <x v="1"/>
  </r>
  <r>
    <x v="1892"/>
    <x v="3"/>
    <n v="84174.54"/>
    <x v="7"/>
    <n v="0"/>
    <x v="1549"/>
    <n v="0.25469999999999998"/>
    <n v="1"/>
    <n v="13011.94"/>
    <n v="16668.63"/>
    <n v="37"/>
    <x v="1"/>
    <x v="0"/>
    <x v="0"/>
    <x v="1815"/>
    <x v="1"/>
  </r>
  <r>
    <x v="1893"/>
    <x v="5"/>
    <n v="163174.26"/>
    <x v="21"/>
    <n v="0"/>
    <x v="1550"/>
    <n v="0.14760000000000001"/>
    <n v="0"/>
    <n v="45890.9"/>
    <n v="40041.65"/>
    <n v="115"/>
    <x v="1"/>
    <x v="2"/>
    <x v="1"/>
    <x v="1816"/>
    <x v="1"/>
  </r>
  <r>
    <x v="1894"/>
    <x v="0"/>
    <n v="102113.81"/>
    <x v="42"/>
    <n v="0"/>
    <x v="1551"/>
    <n v="0.23300000000000001"/>
    <n v="0"/>
    <n v="29745.11"/>
    <n v="0"/>
    <n v="176"/>
    <x v="1"/>
    <x v="0"/>
    <x v="1"/>
    <x v="1817"/>
    <x v="1"/>
  </r>
  <r>
    <x v="1895"/>
    <x v="5"/>
    <n v="95385.5"/>
    <x v="37"/>
    <n v="0"/>
    <x v="1552"/>
    <n v="0.46929999999999999"/>
    <n v="4"/>
    <n v="30479.41"/>
    <n v="23184.07"/>
    <n v="137"/>
    <x v="2"/>
    <x v="2"/>
    <x v="1"/>
    <x v="1818"/>
    <x v="1"/>
  </r>
  <r>
    <x v="1896"/>
    <x v="5"/>
    <n v="44675.35"/>
    <x v="37"/>
    <n v="1"/>
    <x v="1553"/>
    <n v="0.38540000000000002"/>
    <n v="4"/>
    <n v="48101.29"/>
    <n v="22597.86"/>
    <n v="143"/>
    <x v="3"/>
    <x v="0"/>
    <x v="0"/>
    <x v="1819"/>
    <x v="1"/>
  </r>
  <r>
    <x v="1897"/>
    <x v="5"/>
    <n v="110855.74"/>
    <x v="2"/>
    <n v="0"/>
    <x v="655"/>
    <n v="0.55049999999999999"/>
    <n v="5"/>
    <n v="44430.47"/>
    <n v="27237.86"/>
    <n v="117"/>
    <x v="0"/>
    <x v="2"/>
    <x v="1"/>
    <x v="19"/>
    <x v="1"/>
  </r>
  <r>
    <x v="1898"/>
    <x v="0"/>
    <n v="144397.26999999999"/>
    <x v="40"/>
    <n v="0"/>
    <x v="1554"/>
    <n v="0.70109999999999995"/>
    <n v="4"/>
    <n v="101807.41"/>
    <n v="71405.67"/>
    <n v="80"/>
    <x v="0"/>
    <x v="0"/>
    <x v="2"/>
    <x v="1820"/>
    <x v="1"/>
  </r>
  <r>
    <x v="1899"/>
    <x v="1"/>
    <n v="62655.19"/>
    <x v="1"/>
    <n v="1"/>
    <x v="1555"/>
    <n v="0"/>
    <n v="0"/>
    <n v="24177.599999999999"/>
    <n v="33993.42"/>
    <n v="96"/>
    <x v="2"/>
    <x v="0"/>
    <x v="0"/>
    <x v="1821"/>
    <x v="1"/>
  </r>
  <r>
    <x v="1900"/>
    <x v="3"/>
    <n v="86224.04"/>
    <x v="30"/>
    <n v="1"/>
    <x v="1556"/>
    <n v="0.38869999999999999"/>
    <n v="4"/>
    <n v="23349.35"/>
    <n v="27616.43"/>
    <n v="53"/>
    <x v="0"/>
    <x v="2"/>
    <x v="1"/>
    <x v="1822"/>
    <x v="1"/>
  </r>
  <r>
    <x v="1901"/>
    <x v="2"/>
    <n v="9195.73"/>
    <x v="7"/>
    <n v="0"/>
    <x v="1557"/>
    <n v="0.23669999999999999"/>
    <n v="3"/>
    <n v="12570.01"/>
    <n v="10962.52"/>
    <n v="10"/>
    <x v="2"/>
    <x v="2"/>
    <x v="0"/>
    <x v="1823"/>
    <x v="1"/>
  </r>
  <r>
    <x v="1902"/>
    <x v="5"/>
    <n v="144951.51"/>
    <x v="45"/>
    <n v="1"/>
    <x v="1558"/>
    <n v="0.5161"/>
    <n v="3"/>
    <n v="71310.009999999995"/>
    <n v="53094.35"/>
    <n v="11"/>
    <x v="1"/>
    <x v="2"/>
    <x v="0"/>
    <x v="1824"/>
    <x v="1"/>
  </r>
  <r>
    <x v="1903"/>
    <x v="3"/>
    <n v="136089.70000000001"/>
    <x v="13"/>
    <n v="1"/>
    <x v="24"/>
    <n v="3.32E-2"/>
    <n v="0"/>
    <n v="2740.86"/>
    <n v="1131.9000000000001"/>
    <n v="49"/>
    <x v="2"/>
    <x v="0"/>
    <x v="3"/>
    <x v="1825"/>
    <x v="1"/>
  </r>
  <r>
    <x v="1904"/>
    <x v="0"/>
    <n v="83101.75"/>
    <x v="19"/>
    <n v="0"/>
    <x v="540"/>
    <n v="0"/>
    <n v="0"/>
    <n v="500"/>
    <n v="0"/>
    <n v="121"/>
    <x v="1"/>
    <x v="0"/>
    <x v="1"/>
    <x v="24"/>
    <x v="1"/>
  </r>
  <r>
    <x v="1905"/>
    <x v="4"/>
    <n v="159520.25"/>
    <x v="10"/>
    <n v="0"/>
    <x v="1559"/>
    <n v="0"/>
    <n v="1"/>
    <n v="18005.28"/>
    <n v="18428.29"/>
    <n v="76"/>
    <x v="0"/>
    <x v="1"/>
    <x v="3"/>
    <x v="1826"/>
    <x v="1"/>
  </r>
  <r>
    <x v="1906"/>
    <x v="4"/>
    <n v="124085.46"/>
    <x v="7"/>
    <n v="0"/>
    <x v="1408"/>
    <n v="0.79879999999999995"/>
    <n v="2"/>
    <n v="94485.52"/>
    <n v="66804.72"/>
    <n v="70"/>
    <x v="2"/>
    <x v="0"/>
    <x v="0"/>
    <x v="1827"/>
    <x v="1"/>
  </r>
  <r>
    <x v="1907"/>
    <x v="0"/>
    <n v="55098.12"/>
    <x v="40"/>
    <n v="0"/>
    <x v="1560"/>
    <n v="0.7641"/>
    <n v="4"/>
    <n v="12110.17"/>
    <n v="17879.62"/>
    <n v="137"/>
    <x v="0"/>
    <x v="2"/>
    <x v="0"/>
    <x v="1001"/>
    <x v="1"/>
  </r>
  <r>
    <x v="1908"/>
    <x v="4"/>
    <n v="125779.07"/>
    <x v="5"/>
    <n v="0"/>
    <x v="1561"/>
    <n v="0"/>
    <n v="0"/>
    <n v="500"/>
    <n v="0"/>
    <n v="132"/>
    <x v="0"/>
    <x v="1"/>
    <x v="2"/>
    <x v="1828"/>
    <x v="1"/>
  </r>
  <r>
    <x v="1909"/>
    <x v="2"/>
    <n v="90665.84"/>
    <x v="4"/>
    <n v="1"/>
    <x v="1456"/>
    <n v="0.50639999999999996"/>
    <n v="1"/>
    <n v="44497.82"/>
    <n v="31007.46"/>
    <n v="136"/>
    <x v="2"/>
    <x v="0"/>
    <x v="0"/>
    <x v="1829"/>
    <x v="1"/>
  </r>
  <r>
    <x v="1910"/>
    <x v="4"/>
    <n v="59247.45"/>
    <x v="40"/>
    <n v="1"/>
    <x v="1562"/>
    <n v="0.86070000000000002"/>
    <n v="5"/>
    <n v="62211.24"/>
    <n v="52535.92"/>
    <n v="158"/>
    <x v="1"/>
    <x v="2"/>
    <x v="0"/>
    <x v="1830"/>
    <x v="0"/>
  </r>
  <r>
    <x v="1221"/>
    <x v="4"/>
    <n v="83763.64"/>
    <x v="12"/>
    <n v="0"/>
    <x v="1563"/>
    <n v="0.14319999999999999"/>
    <n v="4"/>
    <n v="500"/>
    <n v="0"/>
    <n v="108"/>
    <x v="1"/>
    <x v="2"/>
    <x v="0"/>
    <x v="1831"/>
    <x v="1"/>
  </r>
  <r>
    <x v="1911"/>
    <x v="3"/>
    <n v="99546.89"/>
    <x v="11"/>
    <n v="0"/>
    <x v="1564"/>
    <n v="0.3"/>
    <n v="4"/>
    <n v="34627.89"/>
    <n v="23953.95"/>
    <n v="42"/>
    <x v="2"/>
    <x v="2"/>
    <x v="0"/>
    <x v="1832"/>
    <x v="1"/>
  </r>
  <r>
    <x v="1912"/>
    <x v="3"/>
    <n v="54267.839999999997"/>
    <x v="8"/>
    <n v="1"/>
    <x v="1565"/>
    <n v="0.72119999999999995"/>
    <n v="4"/>
    <n v="54584.01"/>
    <n v="43689.84"/>
    <n v="91"/>
    <x v="1"/>
    <x v="0"/>
    <x v="0"/>
    <x v="1833"/>
    <x v="1"/>
  </r>
  <r>
    <x v="1913"/>
    <x v="3"/>
    <n v="28400.880000000001"/>
    <x v="30"/>
    <n v="0"/>
    <x v="1566"/>
    <n v="0.39739999999999998"/>
    <n v="4"/>
    <n v="28984.02"/>
    <n v="17438.46"/>
    <n v="22"/>
    <x v="0"/>
    <x v="0"/>
    <x v="0"/>
    <x v="1834"/>
    <x v="1"/>
  </r>
  <r>
    <x v="1914"/>
    <x v="1"/>
    <n v="74650.080000000002"/>
    <x v="5"/>
    <n v="0"/>
    <x v="1567"/>
    <n v="0.40129999999999999"/>
    <n v="0"/>
    <n v="36611.550000000003"/>
    <n v="16785.96"/>
    <n v="26"/>
    <x v="2"/>
    <x v="2"/>
    <x v="0"/>
    <x v="1835"/>
    <x v="1"/>
  </r>
  <r>
    <x v="1915"/>
    <x v="3"/>
    <n v="141294.96"/>
    <x v="0"/>
    <n v="1"/>
    <x v="1568"/>
    <n v="0.39410000000000001"/>
    <n v="0"/>
    <n v="79966.850000000006"/>
    <n v="60100.14"/>
    <n v="117"/>
    <x v="2"/>
    <x v="0"/>
    <x v="0"/>
    <x v="895"/>
    <x v="1"/>
  </r>
  <r>
    <x v="1916"/>
    <x v="0"/>
    <n v="101172.47"/>
    <x v="3"/>
    <n v="0"/>
    <x v="1569"/>
    <n v="9.35E-2"/>
    <n v="1"/>
    <n v="500"/>
    <n v="0"/>
    <n v="95"/>
    <x v="0"/>
    <x v="1"/>
    <x v="0"/>
    <x v="1836"/>
    <x v="1"/>
  </r>
  <r>
    <x v="1917"/>
    <x v="4"/>
    <n v="2000"/>
    <x v="24"/>
    <n v="1"/>
    <x v="373"/>
    <n v="0.4884"/>
    <n v="5"/>
    <n v="10461.51"/>
    <n v="13207.13"/>
    <n v="97"/>
    <x v="0"/>
    <x v="2"/>
    <x v="1"/>
    <x v="894"/>
    <x v="1"/>
  </r>
  <r>
    <x v="1918"/>
    <x v="4"/>
    <n v="131549.21"/>
    <x v="22"/>
    <n v="1"/>
    <x v="1570"/>
    <n v="0.5877"/>
    <n v="7"/>
    <n v="68663.31"/>
    <n v="46756.47"/>
    <n v="119"/>
    <x v="0"/>
    <x v="0"/>
    <x v="2"/>
    <x v="1185"/>
    <x v="1"/>
  </r>
  <r>
    <x v="1919"/>
    <x v="1"/>
    <n v="34947.96"/>
    <x v="3"/>
    <n v="1"/>
    <x v="24"/>
    <n v="0.309"/>
    <n v="2"/>
    <n v="500"/>
    <n v="828.12"/>
    <n v="31"/>
    <x v="0"/>
    <x v="0"/>
    <x v="1"/>
    <x v="1837"/>
    <x v="1"/>
  </r>
  <r>
    <x v="1920"/>
    <x v="5"/>
    <n v="11467.22"/>
    <x v="46"/>
    <n v="1"/>
    <x v="1007"/>
    <n v="0.36709999999999998"/>
    <n v="3"/>
    <n v="500"/>
    <n v="0"/>
    <n v="152"/>
    <x v="0"/>
    <x v="2"/>
    <x v="0"/>
    <x v="1838"/>
    <x v="1"/>
  </r>
  <r>
    <x v="1921"/>
    <x v="0"/>
    <n v="100969.48"/>
    <x v="31"/>
    <n v="1"/>
    <x v="1571"/>
    <n v="0.4839"/>
    <n v="3"/>
    <n v="13189.55"/>
    <n v="7990.3"/>
    <n v="90"/>
    <x v="1"/>
    <x v="2"/>
    <x v="1"/>
    <x v="1839"/>
    <x v="1"/>
  </r>
  <r>
    <x v="1922"/>
    <x v="5"/>
    <n v="137836.76999999999"/>
    <x v="32"/>
    <n v="0"/>
    <x v="1572"/>
    <n v="0.2432"/>
    <n v="2"/>
    <n v="45615.97"/>
    <n v="16570.240000000002"/>
    <n v="61"/>
    <x v="0"/>
    <x v="0"/>
    <x v="1"/>
    <x v="1840"/>
    <x v="1"/>
  </r>
  <r>
    <x v="1923"/>
    <x v="1"/>
    <n v="63264.09"/>
    <x v="9"/>
    <n v="1"/>
    <x v="1573"/>
    <n v="0.88619999999999999"/>
    <n v="3"/>
    <n v="37889.379999999997"/>
    <n v="28994.37"/>
    <n v="68"/>
    <x v="1"/>
    <x v="0"/>
    <x v="2"/>
    <x v="1841"/>
    <x v="1"/>
  </r>
  <r>
    <x v="1924"/>
    <x v="2"/>
    <n v="122420.85"/>
    <x v="2"/>
    <n v="1"/>
    <x v="1574"/>
    <n v="0.40310000000000001"/>
    <n v="4"/>
    <n v="40011.54"/>
    <n v="37664.080000000002"/>
    <n v="102"/>
    <x v="1"/>
    <x v="2"/>
    <x v="0"/>
    <x v="1842"/>
    <x v="1"/>
  </r>
  <r>
    <x v="1925"/>
    <x v="3"/>
    <n v="53280.72"/>
    <x v="34"/>
    <n v="1"/>
    <x v="1248"/>
    <n v="0.28120000000000001"/>
    <n v="5"/>
    <n v="29890.36"/>
    <n v="21199.03"/>
    <n v="117"/>
    <x v="2"/>
    <x v="0"/>
    <x v="2"/>
    <x v="1843"/>
    <x v="1"/>
  </r>
  <r>
    <x v="1926"/>
    <x v="3"/>
    <n v="153617.04999999999"/>
    <x v="44"/>
    <n v="0"/>
    <x v="187"/>
    <n v="0.23019999999999999"/>
    <n v="0"/>
    <n v="12896.04"/>
    <n v="10361.48"/>
    <n v="33"/>
    <x v="0"/>
    <x v="0"/>
    <x v="1"/>
    <x v="1844"/>
    <x v="1"/>
  </r>
  <r>
    <x v="1927"/>
    <x v="2"/>
    <n v="134406.62"/>
    <x v="41"/>
    <n v="0"/>
    <x v="1575"/>
    <n v="0.67859999999999998"/>
    <n v="4"/>
    <n v="95830.66"/>
    <n v="39789.94"/>
    <n v="136"/>
    <x v="0"/>
    <x v="0"/>
    <x v="1"/>
    <x v="1845"/>
    <x v="0"/>
  </r>
  <r>
    <x v="1928"/>
    <x v="5"/>
    <n v="140256.75"/>
    <x v="5"/>
    <n v="0"/>
    <x v="1502"/>
    <n v="0.46200000000000002"/>
    <n v="2"/>
    <n v="80274.320000000007"/>
    <n v="62932.51"/>
    <n v="107"/>
    <x v="1"/>
    <x v="0"/>
    <x v="0"/>
    <x v="1846"/>
    <x v="1"/>
  </r>
  <r>
    <x v="1929"/>
    <x v="4"/>
    <n v="138976.01999999999"/>
    <x v="38"/>
    <n v="0"/>
    <x v="1576"/>
    <n v="0.16669999999999999"/>
    <n v="0"/>
    <n v="14154.37"/>
    <n v="1162.94"/>
    <n v="80"/>
    <x v="0"/>
    <x v="2"/>
    <x v="1"/>
    <x v="1847"/>
    <x v="1"/>
  </r>
  <r>
    <x v="1930"/>
    <x v="5"/>
    <n v="69196.740000000005"/>
    <x v="19"/>
    <n v="1"/>
    <x v="1577"/>
    <n v="0.38779999999999998"/>
    <n v="3"/>
    <n v="30221.69"/>
    <n v="17030.39"/>
    <n v="39"/>
    <x v="2"/>
    <x v="0"/>
    <x v="2"/>
    <x v="1848"/>
    <x v="1"/>
  </r>
  <r>
    <x v="1931"/>
    <x v="1"/>
    <n v="142516.66"/>
    <x v="35"/>
    <n v="1"/>
    <x v="1578"/>
    <n v="0.18490000000000001"/>
    <n v="1"/>
    <n v="30511.45"/>
    <n v="12836.1"/>
    <n v="121"/>
    <x v="2"/>
    <x v="0"/>
    <x v="1"/>
    <x v="1849"/>
    <x v="1"/>
  </r>
  <r>
    <x v="1932"/>
    <x v="4"/>
    <n v="168298.97"/>
    <x v="35"/>
    <n v="1"/>
    <x v="1579"/>
    <n v="0.34499999999999997"/>
    <n v="5"/>
    <n v="44634.49"/>
    <n v="32558.25"/>
    <n v="166"/>
    <x v="0"/>
    <x v="2"/>
    <x v="0"/>
    <x v="1850"/>
    <x v="1"/>
  </r>
  <r>
    <x v="1933"/>
    <x v="2"/>
    <n v="35449.26"/>
    <x v="28"/>
    <n v="0"/>
    <x v="1580"/>
    <n v="9.69E-2"/>
    <n v="0"/>
    <n v="500"/>
    <n v="14983.77"/>
    <n v="86"/>
    <x v="0"/>
    <x v="0"/>
    <x v="0"/>
    <x v="1851"/>
    <x v="1"/>
  </r>
  <r>
    <x v="1934"/>
    <x v="0"/>
    <n v="80518.100000000006"/>
    <x v="2"/>
    <n v="1"/>
    <x v="1581"/>
    <n v="0.43440000000000001"/>
    <n v="6"/>
    <n v="48001.66"/>
    <n v="47126.99"/>
    <n v="50"/>
    <x v="0"/>
    <x v="2"/>
    <x v="0"/>
    <x v="334"/>
    <x v="1"/>
  </r>
  <r>
    <x v="1935"/>
    <x v="4"/>
    <n v="2000"/>
    <x v="42"/>
    <n v="1"/>
    <x v="877"/>
    <n v="0.70079999999999998"/>
    <n v="2"/>
    <n v="9640.06"/>
    <n v="17442.59"/>
    <n v="179"/>
    <x v="1"/>
    <x v="0"/>
    <x v="2"/>
    <x v="1852"/>
    <x v="1"/>
  </r>
  <r>
    <x v="1936"/>
    <x v="5"/>
    <n v="91235.58"/>
    <x v="45"/>
    <n v="1"/>
    <x v="1582"/>
    <n v="0.1081"/>
    <n v="2"/>
    <n v="4003.88"/>
    <n v="0"/>
    <n v="115"/>
    <x v="1"/>
    <x v="0"/>
    <x v="0"/>
    <x v="1853"/>
    <x v="1"/>
  </r>
  <r>
    <x v="1937"/>
    <x v="4"/>
    <n v="115194.06"/>
    <x v="27"/>
    <n v="1"/>
    <x v="1583"/>
    <n v="0.48820000000000002"/>
    <n v="4"/>
    <n v="56642.37"/>
    <n v="43948.86"/>
    <n v="13"/>
    <x v="2"/>
    <x v="2"/>
    <x v="2"/>
    <x v="1854"/>
    <x v="1"/>
  </r>
  <r>
    <x v="1938"/>
    <x v="3"/>
    <n v="111144.93"/>
    <x v="42"/>
    <n v="1"/>
    <x v="1584"/>
    <n v="0.10630000000000001"/>
    <n v="3"/>
    <n v="26482.91"/>
    <n v="12985.09"/>
    <n v="26"/>
    <x v="1"/>
    <x v="2"/>
    <x v="0"/>
    <x v="977"/>
    <x v="1"/>
  </r>
  <r>
    <x v="1939"/>
    <x v="2"/>
    <n v="132688.06"/>
    <x v="36"/>
    <n v="0"/>
    <x v="1585"/>
    <n v="0.2462"/>
    <n v="1"/>
    <n v="37407.11"/>
    <n v="26701.42"/>
    <n v="26"/>
    <x v="0"/>
    <x v="0"/>
    <x v="1"/>
    <x v="1855"/>
    <x v="1"/>
  </r>
  <r>
    <x v="1940"/>
    <x v="4"/>
    <n v="91749.6"/>
    <x v="13"/>
    <n v="0"/>
    <x v="1586"/>
    <n v="0.40029999999999999"/>
    <n v="0"/>
    <n v="37558.660000000003"/>
    <n v="29469.18"/>
    <n v="33"/>
    <x v="0"/>
    <x v="0"/>
    <x v="2"/>
    <x v="1856"/>
    <x v="1"/>
  </r>
  <r>
    <x v="1941"/>
    <x v="4"/>
    <n v="67617.83"/>
    <x v="43"/>
    <n v="1"/>
    <x v="1587"/>
    <n v="0.61"/>
    <n v="2"/>
    <n v="43781.98"/>
    <n v="32468.34"/>
    <n v="79"/>
    <x v="2"/>
    <x v="0"/>
    <x v="1"/>
    <x v="1857"/>
    <x v="1"/>
  </r>
  <r>
    <x v="1942"/>
    <x v="2"/>
    <n v="49891.76"/>
    <x v="34"/>
    <n v="1"/>
    <x v="1588"/>
    <n v="8.3000000000000004E-2"/>
    <n v="0"/>
    <n v="500"/>
    <n v="13623.81"/>
    <n v="103"/>
    <x v="0"/>
    <x v="0"/>
    <x v="1"/>
    <x v="1858"/>
    <x v="1"/>
  </r>
  <r>
    <x v="1943"/>
    <x v="3"/>
    <n v="90590.05"/>
    <x v="15"/>
    <n v="0"/>
    <x v="77"/>
    <n v="0.45669999999999999"/>
    <n v="2"/>
    <n v="61462.62"/>
    <n v="43981"/>
    <n v="136"/>
    <x v="0"/>
    <x v="2"/>
    <x v="3"/>
    <x v="1859"/>
    <x v="1"/>
  </r>
  <r>
    <x v="1944"/>
    <x v="2"/>
    <n v="117074.48"/>
    <x v="19"/>
    <n v="1"/>
    <x v="24"/>
    <n v="0"/>
    <n v="1"/>
    <n v="500"/>
    <n v="5425.65"/>
    <n v="150"/>
    <x v="1"/>
    <x v="2"/>
    <x v="1"/>
    <x v="1860"/>
    <x v="1"/>
  </r>
  <r>
    <x v="1945"/>
    <x v="3"/>
    <n v="95994.71"/>
    <x v="5"/>
    <n v="0"/>
    <x v="1589"/>
    <n v="0.40379999999999999"/>
    <n v="3"/>
    <n v="61090.85"/>
    <n v="50538.86"/>
    <n v="64"/>
    <x v="1"/>
    <x v="0"/>
    <x v="0"/>
    <x v="1861"/>
    <x v="1"/>
  </r>
  <r>
    <x v="1946"/>
    <x v="3"/>
    <n v="89496.82"/>
    <x v="47"/>
    <n v="0"/>
    <x v="211"/>
    <n v="0.73460000000000003"/>
    <n v="4"/>
    <n v="60941.15"/>
    <n v="34598.32"/>
    <n v="20"/>
    <x v="1"/>
    <x v="2"/>
    <x v="0"/>
    <x v="1862"/>
    <x v="1"/>
  </r>
  <r>
    <x v="1947"/>
    <x v="4"/>
    <n v="99553.91"/>
    <x v="8"/>
    <n v="1"/>
    <x v="1590"/>
    <n v="0.4879"/>
    <n v="2"/>
    <n v="46116.78"/>
    <n v="25892.54"/>
    <n v="37"/>
    <x v="1"/>
    <x v="0"/>
    <x v="1"/>
    <x v="1863"/>
    <x v="1"/>
  </r>
  <r>
    <x v="1948"/>
    <x v="5"/>
    <n v="2000"/>
    <x v="37"/>
    <n v="0"/>
    <x v="1591"/>
    <n v="0.1197"/>
    <n v="0"/>
    <n v="500"/>
    <n v="1753.28"/>
    <n v="140"/>
    <x v="1"/>
    <x v="2"/>
    <x v="1"/>
    <x v="1864"/>
    <x v="1"/>
  </r>
  <r>
    <x v="1949"/>
    <x v="1"/>
    <n v="19277.86"/>
    <x v="34"/>
    <n v="0"/>
    <x v="1592"/>
    <n v="0.2661"/>
    <n v="0"/>
    <n v="500"/>
    <n v="4196.0200000000004"/>
    <n v="131"/>
    <x v="0"/>
    <x v="0"/>
    <x v="2"/>
    <x v="1865"/>
    <x v="1"/>
  </r>
  <r>
    <x v="1950"/>
    <x v="3"/>
    <n v="132089.39000000001"/>
    <x v="23"/>
    <n v="1"/>
    <x v="1593"/>
    <n v="0.68769999999999998"/>
    <n v="6"/>
    <n v="65474.239999999998"/>
    <n v="21949.439999999999"/>
    <n v="8"/>
    <x v="1"/>
    <x v="0"/>
    <x v="1"/>
    <x v="1866"/>
    <x v="1"/>
  </r>
  <r>
    <x v="1951"/>
    <x v="0"/>
    <n v="2000"/>
    <x v="13"/>
    <n v="0"/>
    <x v="1594"/>
    <n v="0.31480000000000002"/>
    <n v="0"/>
    <n v="16045.04"/>
    <n v="15654.51"/>
    <n v="99"/>
    <x v="2"/>
    <x v="0"/>
    <x v="0"/>
    <x v="1867"/>
    <x v="1"/>
  </r>
  <r>
    <x v="1952"/>
    <x v="3"/>
    <n v="49751.43"/>
    <x v="30"/>
    <n v="1"/>
    <x v="1595"/>
    <n v="0.2641"/>
    <n v="1"/>
    <n v="28431.97"/>
    <n v="15644.06"/>
    <n v="28"/>
    <x v="1"/>
    <x v="2"/>
    <x v="1"/>
    <x v="1868"/>
    <x v="1"/>
  </r>
  <r>
    <x v="1953"/>
    <x v="4"/>
    <n v="34166.19"/>
    <x v="16"/>
    <n v="0"/>
    <x v="1596"/>
    <n v="0.50149999999999995"/>
    <n v="6"/>
    <n v="9654.0499999999993"/>
    <n v="11576.6"/>
    <n v="9"/>
    <x v="1"/>
    <x v="0"/>
    <x v="1"/>
    <x v="1869"/>
    <x v="1"/>
  </r>
  <r>
    <x v="1954"/>
    <x v="1"/>
    <n v="78753.539999999994"/>
    <x v="48"/>
    <n v="0"/>
    <x v="1597"/>
    <n v="0.52639999999999998"/>
    <n v="9"/>
    <n v="53007.38"/>
    <n v="50603.05"/>
    <n v="67"/>
    <x v="0"/>
    <x v="2"/>
    <x v="1"/>
    <x v="1870"/>
    <x v="1"/>
  </r>
  <r>
    <x v="1955"/>
    <x v="1"/>
    <n v="102217.46"/>
    <x v="30"/>
    <n v="1"/>
    <x v="1598"/>
    <n v="0"/>
    <n v="1"/>
    <n v="22390.45"/>
    <n v="3254.66"/>
    <n v="101"/>
    <x v="1"/>
    <x v="0"/>
    <x v="0"/>
    <x v="1871"/>
    <x v="1"/>
  </r>
  <r>
    <x v="1956"/>
    <x v="2"/>
    <n v="158608.82999999999"/>
    <x v="18"/>
    <n v="0"/>
    <x v="1599"/>
    <n v="0.16270000000000001"/>
    <n v="0"/>
    <n v="500"/>
    <n v="0"/>
    <n v="45"/>
    <x v="1"/>
    <x v="0"/>
    <x v="1"/>
    <x v="1872"/>
    <x v="1"/>
  </r>
  <r>
    <x v="1957"/>
    <x v="1"/>
    <n v="74203.08"/>
    <x v="27"/>
    <n v="1"/>
    <x v="1600"/>
    <n v="0.34460000000000002"/>
    <n v="1"/>
    <n v="30117.360000000001"/>
    <n v="28850.43"/>
    <n v="53"/>
    <x v="0"/>
    <x v="2"/>
    <x v="0"/>
    <x v="1873"/>
    <x v="1"/>
  </r>
  <r>
    <x v="1958"/>
    <x v="5"/>
    <n v="198924.88"/>
    <x v="19"/>
    <n v="0"/>
    <x v="1601"/>
    <n v="0.64790000000000003"/>
    <n v="0"/>
    <n v="154957.51"/>
    <n v="91492.2"/>
    <n v="33"/>
    <x v="2"/>
    <x v="1"/>
    <x v="1"/>
    <x v="1874"/>
    <x v="1"/>
  </r>
  <r>
    <x v="1959"/>
    <x v="5"/>
    <n v="96923.67"/>
    <x v="37"/>
    <n v="0"/>
    <x v="212"/>
    <n v="0.73580000000000001"/>
    <n v="4"/>
    <n v="76605.789999999994"/>
    <n v="56559.06"/>
    <n v="70"/>
    <x v="0"/>
    <x v="0"/>
    <x v="0"/>
    <x v="1875"/>
    <x v="1"/>
  </r>
  <r>
    <x v="1960"/>
    <x v="0"/>
    <n v="85262.76"/>
    <x v="27"/>
    <n v="0"/>
    <x v="372"/>
    <n v="0.50619999999999998"/>
    <n v="0"/>
    <n v="18871.77"/>
    <n v="10966.84"/>
    <n v="165"/>
    <x v="0"/>
    <x v="2"/>
    <x v="1"/>
    <x v="1876"/>
    <x v="1"/>
  </r>
  <r>
    <x v="1961"/>
    <x v="0"/>
    <n v="177350.37"/>
    <x v="15"/>
    <n v="1"/>
    <x v="867"/>
    <n v="0.55169999999999997"/>
    <n v="3"/>
    <n v="78726.37"/>
    <n v="56827.040000000001"/>
    <n v="51"/>
    <x v="1"/>
    <x v="0"/>
    <x v="1"/>
    <x v="1877"/>
    <x v="1"/>
  </r>
  <r>
    <x v="1962"/>
    <x v="2"/>
    <n v="38496.050000000003"/>
    <x v="14"/>
    <n v="0"/>
    <x v="24"/>
    <n v="0.14030000000000001"/>
    <n v="2"/>
    <n v="14717.48"/>
    <n v="13981.41"/>
    <n v="165"/>
    <x v="1"/>
    <x v="1"/>
    <x v="1"/>
    <x v="1878"/>
    <x v="1"/>
  </r>
  <r>
    <x v="753"/>
    <x v="2"/>
    <n v="93320.639999999999"/>
    <x v="5"/>
    <n v="0"/>
    <x v="1602"/>
    <n v="0"/>
    <n v="0"/>
    <n v="500"/>
    <n v="3612.71"/>
    <n v="49"/>
    <x v="1"/>
    <x v="1"/>
    <x v="0"/>
    <x v="1879"/>
    <x v="1"/>
  </r>
  <r>
    <x v="1963"/>
    <x v="5"/>
    <n v="152582.72"/>
    <x v="5"/>
    <n v="0"/>
    <x v="1603"/>
    <n v="0.43309999999999998"/>
    <n v="2"/>
    <n v="60894.96"/>
    <n v="29681.25"/>
    <n v="66"/>
    <x v="1"/>
    <x v="0"/>
    <x v="0"/>
    <x v="1880"/>
    <x v="1"/>
  </r>
  <r>
    <x v="1964"/>
    <x v="2"/>
    <n v="76997.77"/>
    <x v="34"/>
    <n v="0"/>
    <x v="631"/>
    <n v="0.60829999999999995"/>
    <n v="8"/>
    <n v="41510.660000000003"/>
    <n v="26357.45"/>
    <n v="177"/>
    <x v="0"/>
    <x v="2"/>
    <x v="0"/>
    <x v="1881"/>
    <x v="1"/>
  </r>
  <r>
    <x v="1965"/>
    <x v="4"/>
    <n v="43038.12"/>
    <x v="30"/>
    <n v="1"/>
    <x v="1604"/>
    <n v="0.18429999999999999"/>
    <n v="2"/>
    <n v="13089.82"/>
    <n v="7946.94"/>
    <n v="177"/>
    <x v="1"/>
    <x v="0"/>
    <x v="0"/>
    <x v="1882"/>
    <x v="0"/>
  </r>
  <r>
    <x v="1966"/>
    <x v="1"/>
    <n v="206566.41"/>
    <x v="17"/>
    <n v="0"/>
    <x v="985"/>
    <n v="0.60970000000000002"/>
    <n v="2"/>
    <n v="142735.17000000001"/>
    <n v="92781.32"/>
    <n v="55"/>
    <x v="1"/>
    <x v="0"/>
    <x v="2"/>
    <x v="1883"/>
    <x v="1"/>
  </r>
  <r>
    <x v="1967"/>
    <x v="3"/>
    <n v="162377.54999999999"/>
    <x v="8"/>
    <n v="1"/>
    <x v="1605"/>
    <n v="0.34339999999999998"/>
    <n v="2"/>
    <n v="63686.83"/>
    <n v="27459.51"/>
    <n v="25"/>
    <x v="1"/>
    <x v="2"/>
    <x v="0"/>
    <x v="1884"/>
    <x v="1"/>
  </r>
  <r>
    <x v="1968"/>
    <x v="3"/>
    <n v="59178.14"/>
    <x v="0"/>
    <n v="0"/>
    <x v="1606"/>
    <n v="0.69820000000000004"/>
    <n v="5"/>
    <n v="41066.81"/>
    <n v="35467.68"/>
    <n v="103"/>
    <x v="1"/>
    <x v="0"/>
    <x v="1"/>
    <x v="1885"/>
    <x v="1"/>
  </r>
  <r>
    <x v="1969"/>
    <x v="3"/>
    <n v="27069.73"/>
    <x v="17"/>
    <n v="0"/>
    <x v="1607"/>
    <n v="0.29609999999999997"/>
    <n v="3"/>
    <n v="500"/>
    <n v="7222.56"/>
    <n v="29"/>
    <x v="2"/>
    <x v="2"/>
    <x v="1"/>
    <x v="1886"/>
    <x v="0"/>
  </r>
  <r>
    <x v="1038"/>
    <x v="2"/>
    <n v="28369.25"/>
    <x v="26"/>
    <n v="1"/>
    <x v="1608"/>
    <n v="0"/>
    <n v="0"/>
    <n v="11436.16"/>
    <n v="5114.95"/>
    <n v="6"/>
    <x v="1"/>
    <x v="2"/>
    <x v="1"/>
    <x v="1887"/>
    <x v="1"/>
  </r>
  <r>
    <x v="1970"/>
    <x v="4"/>
    <n v="64494.77"/>
    <x v="30"/>
    <n v="0"/>
    <x v="1609"/>
    <n v="0.25800000000000001"/>
    <n v="0"/>
    <n v="18021.560000000001"/>
    <n v="18626.53"/>
    <n v="59"/>
    <x v="1"/>
    <x v="0"/>
    <x v="3"/>
    <x v="1888"/>
    <x v="1"/>
  </r>
  <r>
    <x v="1971"/>
    <x v="3"/>
    <n v="81923.27"/>
    <x v="32"/>
    <n v="1"/>
    <x v="1610"/>
    <n v="0.46200000000000002"/>
    <n v="4"/>
    <n v="12248.87"/>
    <n v="12071.6"/>
    <n v="149"/>
    <x v="0"/>
    <x v="1"/>
    <x v="2"/>
    <x v="188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79C81-3E05-4F47-8798-C84DAD867539}" name="PivotTable1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0:K31" firstHeaderRow="0" firstDataRow="1" firstDataCol="0"/>
  <pivotFields count="16">
    <pivotField showAll="0">
      <items count="1973">
        <item x="1235"/>
        <item x="1629"/>
        <item x="1457"/>
        <item x="457"/>
        <item x="1331"/>
        <item x="726"/>
        <item x="820"/>
        <item x="96"/>
        <item x="1822"/>
        <item x="1851"/>
        <item x="6"/>
        <item x="1415"/>
        <item x="385"/>
        <item x="704"/>
        <item x="791"/>
        <item x="198"/>
        <item x="1661"/>
        <item x="891"/>
        <item x="89"/>
        <item x="383"/>
        <item x="1533"/>
        <item x="1043"/>
        <item x="1381"/>
        <item x="175"/>
        <item x="1044"/>
        <item x="451"/>
        <item x="180"/>
        <item x="1759"/>
        <item x="1624"/>
        <item x="729"/>
        <item x="1648"/>
        <item x="837"/>
        <item x="1747"/>
        <item x="1525"/>
        <item x="647"/>
        <item x="1568"/>
        <item x="1734"/>
        <item x="1814"/>
        <item x="453"/>
        <item x="1535"/>
        <item x="695"/>
        <item x="1023"/>
        <item x="924"/>
        <item x="1490"/>
        <item x="1284"/>
        <item x="775"/>
        <item x="195"/>
        <item x="369"/>
        <item x="0"/>
        <item x="339"/>
        <item x="511"/>
        <item x="1402"/>
        <item x="167"/>
        <item x="948"/>
        <item x="166"/>
        <item x="1577"/>
        <item x="967"/>
        <item x="1749"/>
        <item x="931"/>
        <item x="1019"/>
        <item x="279"/>
        <item x="1605"/>
        <item x="1257"/>
        <item x="1438"/>
        <item x="918"/>
        <item x="759"/>
        <item x="1799"/>
        <item x="1607"/>
        <item x="632"/>
        <item x="1604"/>
        <item x="65"/>
        <item x="1155"/>
        <item x="298"/>
        <item x="1097"/>
        <item x="1141"/>
        <item x="144"/>
        <item x="649"/>
        <item x="1867"/>
        <item x="778"/>
        <item x="651"/>
        <item x="624"/>
        <item x="1729"/>
        <item x="519"/>
        <item x="868"/>
        <item x="933"/>
        <item x="1430"/>
        <item x="74"/>
        <item x="349"/>
        <item x="1640"/>
        <item x="1036"/>
        <item x="1570"/>
        <item x="334"/>
        <item x="240"/>
        <item x="1324"/>
        <item x="1505"/>
        <item x="648"/>
        <item x="1521"/>
        <item x="1301"/>
        <item x="236"/>
        <item x="1115"/>
        <item x="549"/>
        <item x="528"/>
        <item x="1656"/>
        <item x="139"/>
        <item x="1226"/>
        <item x="1500"/>
        <item x="1866"/>
        <item x="981"/>
        <item x="409"/>
        <item x="76"/>
        <item x="1710"/>
        <item x="182"/>
        <item x="1923"/>
        <item x="193"/>
        <item x="513"/>
        <item x="44"/>
        <item x="1846"/>
        <item x="2"/>
        <item x="1919"/>
        <item x="1721"/>
        <item x="1692"/>
        <item x="1120"/>
        <item x="811"/>
        <item x="1611"/>
        <item x="95"/>
        <item x="1495"/>
        <item x="1204"/>
        <item x="983"/>
        <item x="1475"/>
        <item x="1971"/>
        <item x="1025"/>
        <item x="989"/>
        <item x="215"/>
        <item x="1795"/>
        <item x="533"/>
        <item x="341"/>
        <item x="43"/>
        <item x="708"/>
        <item x="1730"/>
        <item x="377"/>
        <item x="1802"/>
        <item x="1199"/>
        <item x="29"/>
        <item x="407"/>
        <item x="1667"/>
        <item x="414"/>
        <item x="861"/>
        <item x="1146"/>
        <item x="1781"/>
        <item x="122"/>
        <item x="1654"/>
        <item x="328"/>
        <item x="1537"/>
        <item x="942"/>
        <item x="735"/>
        <item x="1053"/>
        <item x="1876"/>
        <item x="183"/>
        <item x="1616"/>
        <item x="1523"/>
        <item x="840"/>
        <item x="316"/>
        <item x="397"/>
        <item x="1152"/>
        <item x="1463"/>
        <item x="899"/>
        <item x="1184"/>
        <item x="568"/>
        <item x="1955"/>
        <item x="117"/>
        <item x="433"/>
        <item x="1743"/>
        <item x="860"/>
        <item x="495"/>
        <item x="1345"/>
        <item x="1323"/>
        <item x="1597"/>
        <item x="219"/>
        <item x="1556"/>
        <item x="253"/>
        <item x="551"/>
        <item x="1939"/>
        <item x="1589"/>
        <item x="1774"/>
        <item x="839"/>
        <item x="225"/>
        <item x="1256"/>
        <item x="813"/>
        <item x="1448"/>
        <item x="1680"/>
        <item x="1129"/>
        <item x="536"/>
        <item x="1003"/>
        <item x="487"/>
        <item x="830"/>
        <item x="857"/>
        <item x="1510"/>
        <item x="794"/>
        <item x="842"/>
        <item x="243"/>
        <item x="1221"/>
        <item x="505"/>
        <item x="1068"/>
        <item x="1334"/>
        <item x="1445"/>
        <item x="1699"/>
        <item x="322"/>
        <item x="1553"/>
        <item x="1230"/>
        <item x="841"/>
        <item x="1928"/>
        <item x="1103"/>
        <item x="1808"/>
        <item x="1583"/>
        <item x="1075"/>
        <item x="1529"/>
        <item x="154"/>
        <item x="715"/>
        <item x="1961"/>
        <item x="1909"/>
        <item x="920"/>
        <item x="456"/>
        <item x="445"/>
        <item x="1757"/>
        <item x="697"/>
        <item x="58"/>
        <item x="1836"/>
        <item x="325"/>
        <item x="1752"/>
        <item x="1243"/>
        <item x="1396"/>
        <item x="1690"/>
        <item x="1441"/>
        <item x="500"/>
        <item x="1105"/>
        <item x="986"/>
        <item x="1050"/>
        <item x="209"/>
        <item x="604"/>
        <item x="1872"/>
        <item x="855"/>
        <item x="15"/>
        <item x="91"/>
        <item x="391"/>
        <item x="288"/>
        <item x="1554"/>
        <item x="1111"/>
        <item x="39"/>
        <item x="845"/>
        <item x="449"/>
        <item x="1594"/>
        <item x="1798"/>
        <item x="1220"/>
        <item x="990"/>
        <item x="1897"/>
        <item x="1198"/>
        <item x="910"/>
        <item x="72"/>
        <item x="1355"/>
        <item x="1660"/>
        <item x="1796"/>
        <item x="361"/>
        <item x="206"/>
        <item x="1965"/>
        <item x="913"/>
        <item x="614"/>
        <item x="1810"/>
        <item x="1125"/>
        <item x="128"/>
        <item x="101"/>
        <item x="1181"/>
        <item x="1285"/>
        <item x="19"/>
        <item x="979"/>
        <item x="1891"/>
        <item x="1962"/>
        <item x="306"/>
        <item x="771"/>
        <item x="985"/>
        <item x="833"/>
        <item x="806"/>
        <item x="67"/>
        <item x="1845"/>
        <item x="1291"/>
        <item x="286"/>
        <item x="1497"/>
        <item x="1274"/>
        <item x="416"/>
        <item x="1689"/>
        <item x="1733"/>
        <item x="607"/>
        <item x="598"/>
        <item x="618"/>
        <item x="1253"/>
        <item x="836"/>
        <item x="904"/>
        <item x="37"/>
        <item x="1037"/>
        <item x="1771"/>
        <item x="1787"/>
        <item x="888"/>
        <item x="1065"/>
        <item x="1067"/>
        <item x="1422"/>
        <item x="1968"/>
        <item x="207"/>
        <item x="784"/>
        <item x="1840"/>
        <item x="432"/>
        <item x="1451"/>
        <item x="384"/>
        <item x="1663"/>
        <item x="1322"/>
        <item x="1373"/>
        <item x="1694"/>
        <item x="336"/>
        <item x="373"/>
        <item x="320"/>
        <item x="734"/>
        <item x="668"/>
        <item x="1028"/>
        <item x="779"/>
        <item x="1424"/>
        <item x="1476"/>
        <item x="1649"/>
        <item x="140"/>
        <item x="883"/>
        <item x="724"/>
        <item x="357"/>
        <item x="569"/>
        <item x="894"/>
        <item x="1514"/>
        <item x="992"/>
        <item x="93"/>
        <item x="1465"/>
        <item x="1173"/>
        <item x="1662"/>
        <item x="777"/>
        <item x="1280"/>
        <item x="912"/>
        <item x="1148"/>
        <item x="103"/>
        <item x="1871"/>
        <item x="1370"/>
        <item x="87"/>
        <item x="1531"/>
        <item x="1815"/>
        <item x="436"/>
        <item x="1712"/>
        <item x="1442"/>
        <item x="1330"/>
        <item x="1279"/>
        <item x="1240"/>
        <item x="772"/>
        <item x="520"/>
        <item x="1287"/>
        <item x="1942"/>
        <item x="232"/>
        <item x="1399"/>
        <item x="1389"/>
        <item x="1820"/>
        <item x="1631"/>
        <item x="143"/>
        <item x="210"/>
        <item x="1679"/>
        <item x="1485"/>
        <item x="543"/>
        <item x="823"/>
        <item x="785"/>
        <item x="1453"/>
        <item x="774"/>
        <item x="1561"/>
        <item x="1899"/>
        <item x="930"/>
        <item x="787"/>
        <item x="1458"/>
        <item x="1307"/>
        <item x="267"/>
        <item x="621"/>
        <item x="330"/>
        <item x="318"/>
        <item x="5"/>
        <item x="655"/>
        <item x="1788"/>
        <item x="62"/>
        <item x="1791"/>
        <item x="1567"/>
        <item x="1450"/>
        <item x="1032"/>
        <item x="1826"/>
        <item x="963"/>
        <item x="137"/>
        <item x="450"/>
        <item x="220"/>
        <item x="1062"/>
        <item x="365"/>
        <item x="641"/>
        <item x="400"/>
        <item x="4"/>
        <item x="1548"/>
        <item x="1295"/>
        <item x="1371"/>
        <item x="1427"/>
        <item x="1536"/>
        <item x="113"/>
        <item x="690"/>
        <item x="1887"/>
        <item x="52"/>
        <item x="1627"/>
        <item x="510"/>
        <item x="1084"/>
        <item x="934"/>
        <item x="477"/>
        <item x="1687"/>
        <item x="906"/>
        <item x="970"/>
        <item x="254"/>
        <item x="340"/>
        <item x="1186"/>
        <item x="268"/>
        <item x="1715"/>
        <item x="452"/>
        <item x="909"/>
        <item x="1296"/>
        <item x="586"/>
        <item x="1354"/>
        <item x="745"/>
        <item x="394"/>
        <item x="752"/>
        <item x="333"/>
        <item x="882"/>
        <item x="85"/>
        <item x="807"/>
        <item x="579"/>
        <item x="1758"/>
        <item x="1239"/>
        <item x="952"/>
        <item x="1268"/>
        <item x="335"/>
        <item x="133"/>
        <item x="1952"/>
        <item x="169"/>
        <item x="572"/>
        <item x="196"/>
        <item x="3"/>
        <item x="1202"/>
        <item x="1033"/>
        <item x="1348"/>
        <item x="1515"/>
        <item x="919"/>
        <item x="895"/>
        <item x="832"/>
        <item x="1935"/>
        <item x="51"/>
        <item x="171"/>
        <item x="1093"/>
        <item x="138"/>
        <item x="1070"/>
        <item x="713"/>
        <item x="237"/>
        <item x="141"/>
        <item x="577"/>
        <item x="664"/>
        <item x="1113"/>
        <item x="1223"/>
        <item x="1664"/>
        <item x="916"/>
        <item x="605"/>
        <item x="205"/>
        <item x="1563"/>
        <item x="611"/>
        <item x="1540"/>
        <item x="1190"/>
        <item x="896"/>
        <item x="1372"/>
        <item x="650"/>
        <item x="974"/>
        <item x="289"/>
        <item x="1066"/>
        <item x="1572"/>
        <item x="338"/>
        <item x="1410"/>
        <item x="1249"/>
        <item x="1892"/>
        <item x="150"/>
        <item x="1439"/>
        <item x="479"/>
        <item x="1486"/>
        <item x="1315"/>
        <item x="1197"/>
        <item x="308"/>
        <item x="1311"/>
        <item x="680"/>
        <item x="1528"/>
        <item x="1366"/>
        <item x="988"/>
        <item x="97"/>
        <item x="1777"/>
        <item x="1255"/>
        <item x="1473"/>
        <item x="1562"/>
        <item x="1027"/>
        <item x="192"/>
        <item x="34"/>
        <item x="190"/>
        <item x="816"/>
        <item x="1351"/>
        <item x="370"/>
        <item x="876"/>
        <item x="258"/>
        <item x="1454"/>
        <item x="92"/>
        <item x="152"/>
        <item x="581"/>
        <item x="1560"/>
        <item x="211"/>
        <item x="1391"/>
        <item x="1932"/>
        <item x="1418"/>
        <item x="780"/>
        <item x="997"/>
        <item x="1106"/>
        <item x="1875"/>
        <item x="973"/>
        <item x="17"/>
        <item x="727"/>
        <item x="998"/>
        <item x="824"/>
        <item x="1426"/>
        <item x="1491"/>
        <item x="261"/>
        <item x="1336"/>
        <item x="153"/>
        <item x="550"/>
        <item x="1546"/>
        <item x="1912"/>
        <item x="115"/>
        <item x="263"/>
        <item x="1306"/>
        <item x="1829"/>
        <item x="1659"/>
        <item x="795"/>
        <item x="849"/>
        <item x="1882"/>
        <item x="63"/>
        <item x="1187"/>
        <item x="1178"/>
        <item x="531"/>
        <item x="1727"/>
        <item x="245"/>
        <item x="1154"/>
        <item x="1886"/>
        <item x="381"/>
        <item x="808"/>
        <item x="1024"/>
        <item x="889"/>
        <item x="185"/>
        <item x="1720"/>
        <item x="1571"/>
        <item x="514"/>
        <item x="532"/>
        <item x="1449"/>
        <item x="309"/>
        <item x="1007"/>
        <item x="1375"/>
        <item x="1385"/>
        <item x="208"/>
        <item x="455"/>
        <item x="131"/>
        <item x="584"/>
        <item x="1509"/>
        <item x="14"/>
        <item x="1390"/>
        <item x="1580"/>
        <item x="731"/>
        <item x="993"/>
        <item x="1339"/>
        <item x="1456"/>
        <item x="305"/>
        <item x="932"/>
        <item x="991"/>
        <item x="1074"/>
        <item x="642"/>
        <item x="284"/>
        <item x="1499"/>
        <item x="892"/>
        <item x="1793"/>
        <item x="980"/>
        <item x="38"/>
        <item x="1069"/>
        <item x="1376"/>
        <item x="852"/>
        <item x="1628"/>
        <item x="130"/>
        <item x="617"/>
        <item x="1171"/>
        <item x="222"/>
        <item x="202"/>
        <item x="994"/>
        <item x="612"/>
        <item x="371"/>
        <item x="1552"/>
        <item x="1400"/>
        <item x="1189"/>
        <item x="426"/>
        <item x="1555"/>
        <item x="1637"/>
        <item x="1657"/>
        <item x="1437"/>
        <item x="908"/>
        <item x="1408"/>
        <item x="1116"/>
        <item x="616"/>
        <item x="659"/>
        <item x="537"/>
        <item x="506"/>
        <item x="964"/>
        <item x="1474"/>
        <item x="49"/>
        <item x="1957"/>
        <item x="951"/>
        <item x="1519"/>
        <item x="1030"/>
        <item x="769"/>
        <item x="1744"/>
        <item x="1646"/>
        <item x="738"/>
        <item x="959"/>
        <item x="654"/>
        <item x="1489"/>
        <item x="1858"/>
        <item x="460"/>
        <item x="413"/>
        <item x="1516"/>
        <item x="955"/>
        <item x="1210"/>
        <item x="1176"/>
        <item x="1403"/>
        <item x="1807"/>
        <item x="1834"/>
        <item x="1835"/>
        <item x="125"/>
        <item x="1109"/>
        <item x="204"/>
        <item x="1889"/>
        <item x="1131"/>
        <item x="22"/>
        <item x="1482"/>
        <item x="1077"/>
        <item x="1898"/>
        <item x="1248"/>
        <item x="1900"/>
        <item x="108"/>
        <item x="481"/>
        <item x="472"/>
        <item x="423"/>
        <item x="670"/>
        <item x="939"/>
        <item x="1941"/>
        <item x="247"/>
        <item x="1518"/>
        <item x="1085"/>
        <item x="610"/>
        <item x="41"/>
        <item x="8"/>
        <item x="114"/>
        <item x="1849"/>
        <item x="396"/>
        <item x="1205"/>
        <item x="555"/>
        <item x="419"/>
        <item x="740"/>
        <item x="61"/>
        <item x="7"/>
        <item x="1665"/>
        <item x="375"/>
        <item x="1428"/>
        <item x="1153"/>
        <item x="1959"/>
        <item x="1294"/>
        <item x="1738"/>
        <item x="1724"/>
        <item x="1843"/>
        <item x="1174"/>
        <item x="644"/>
        <item x="1048"/>
        <item x="1918"/>
        <item x="580"/>
        <item x="424"/>
        <item x="1885"/>
        <item x="415"/>
        <item x="764"/>
        <item x="1742"/>
        <item x="521"/>
        <item x="398"/>
        <item x="1038"/>
        <item x="1501"/>
        <item x="1542"/>
        <item x="490"/>
        <item x="1201"/>
        <item x="822"/>
        <item x="1479"/>
        <item x="300"/>
        <item x="1916"/>
        <item x="1783"/>
        <item x="1639"/>
        <item x="1384"/>
        <item x="805"/>
        <item x="1277"/>
        <item x="489"/>
        <item x="756"/>
        <item x="1149"/>
        <item x="1392"/>
        <item x="124"/>
        <item x="1493"/>
        <item x="366"/>
        <item x="879"/>
        <item x="442"/>
        <item x="858"/>
        <item x="16"/>
        <item x="480"/>
        <item x="878"/>
        <item x="1252"/>
        <item x="250"/>
        <item x="1590"/>
        <item x="1310"/>
        <item x="430"/>
        <item x="819"/>
        <item x="1917"/>
        <item x="1483"/>
        <item x="1472"/>
        <item x="1312"/>
        <item x="1468"/>
        <item x="1095"/>
        <item x="1269"/>
        <item x="1444"/>
        <item x="1369"/>
        <item x="922"/>
        <item x="1837"/>
        <item x="418"/>
        <item x="887"/>
        <item x="1487"/>
        <item x="496"/>
        <item x="68"/>
        <item x="1087"/>
        <item x="31"/>
        <item x="1705"/>
        <item x="538"/>
        <item x="1127"/>
        <item x="1122"/>
        <item x="1060"/>
        <item x="1612"/>
        <item x="1040"/>
        <item x="1511"/>
        <item x="1541"/>
        <item x="1319"/>
        <item x="1011"/>
        <item x="975"/>
        <item x="386"/>
        <item x="347"/>
        <item x="1910"/>
        <item x="1121"/>
        <item x="1522"/>
        <item x="703"/>
        <item x="1018"/>
        <item x="699"/>
        <item x="660"/>
        <item x="682"/>
        <item x="11"/>
        <item x="582"/>
        <item x="1592"/>
        <item x="159"/>
        <item x="1691"/>
        <item x="1276"/>
        <item x="170"/>
        <item x="1768"/>
        <item x="637"/>
        <item x="1211"/>
        <item x="1167"/>
        <item x="270"/>
        <item x="483"/>
        <item x="1188"/>
        <item x="465"/>
        <item x="1644"/>
        <item x="1170"/>
        <item x="1585"/>
        <item x="1014"/>
        <item x="911"/>
        <item x="590"/>
        <item x="765"/>
        <item x="1683"/>
        <item x="127"/>
        <item x="438"/>
        <item x="1926"/>
        <item x="1338"/>
        <item x="157"/>
        <item x="1130"/>
        <item x="1695"/>
        <item x="468"/>
        <item x="1864"/>
        <item x="356"/>
        <item x="1414"/>
        <item x="119"/>
        <item x="35"/>
        <item x="1119"/>
        <item x="163"/>
        <item x="464"/>
        <item x="417"/>
        <item x="717"/>
        <item x="1158"/>
        <item x="966"/>
        <item x="425"/>
        <item x="746"/>
        <item x="161"/>
        <item x="499"/>
        <item x="395"/>
        <item x="1888"/>
        <item x="1704"/>
        <item x="1478"/>
        <item x="760"/>
        <item x="681"/>
        <item x="1099"/>
        <item x="1558"/>
        <item x="712"/>
        <item x="646"/>
        <item x="885"/>
        <item x="1578"/>
        <item x="1001"/>
        <item x="1362"/>
        <item x="751"/>
        <item x="599"/>
        <item x="786"/>
        <item x="1934"/>
        <item x="1377"/>
        <item x="1393"/>
        <item x="1142"/>
        <item x="1726"/>
        <item x="221"/>
        <item x="439"/>
        <item x="1775"/>
        <item x="291"/>
        <item x="327"/>
        <item x="585"/>
        <item x="406"/>
        <item x="790"/>
        <item x="1290"/>
        <item x="1246"/>
        <item x="1526"/>
        <item x="728"/>
        <item x="408"/>
        <item x="1150"/>
        <item x="767"/>
        <item x="869"/>
        <item x="354"/>
        <item x="355"/>
        <item x="1610"/>
        <item x="1645"/>
        <item x="1271"/>
        <item x="1587"/>
        <item x="844"/>
        <item x="64"/>
        <item x="1686"/>
        <item x="281"/>
        <item x="189"/>
        <item x="1698"/>
        <item x="1327"/>
        <item x="50"/>
        <item x="546"/>
        <item x="1250"/>
        <item x="1434"/>
        <item x="98"/>
        <item x="230"/>
        <item x="1894"/>
        <item x="925"/>
        <item x="1208"/>
        <item x="1913"/>
        <item x="1144"/>
        <item x="796"/>
        <item x="1012"/>
        <item x="440"/>
        <item x="1794"/>
        <item x="403"/>
        <item x="1379"/>
        <item x="1713"/>
        <item x="412"/>
        <item x="504"/>
        <item x="1786"/>
        <item x="927"/>
        <item x="168"/>
        <item x="1435"/>
        <item x="1140"/>
        <item x="165"/>
        <item x="1367"/>
        <item x="1678"/>
        <item x="194"/>
        <item x="563"/>
        <item x="59"/>
        <item x="1262"/>
        <item x="1177"/>
        <item x="1114"/>
        <item x="1305"/>
        <item x="1431"/>
        <item x="1666"/>
        <item x="1852"/>
        <item x="1765"/>
        <item x="1770"/>
        <item x="1297"/>
        <item x="1358"/>
        <item x="46"/>
        <item x="1412"/>
        <item x="1718"/>
        <item x="94"/>
        <item x="294"/>
        <item x="1838"/>
        <item x="900"/>
        <item x="321"/>
        <item x="544"/>
        <item x="1108"/>
        <item x="1263"/>
        <item x="691"/>
        <item x="1368"/>
        <item x="484"/>
        <item x="615"/>
        <item x="272"/>
        <item x="1203"/>
        <item x="186"/>
        <item x="1506"/>
        <item x="1732"/>
        <item x="331"/>
        <item x="314"/>
        <item x="70"/>
        <item x="881"/>
        <item x="864"/>
        <item x="1914"/>
        <item x="761"/>
        <item x="463"/>
        <item x="1195"/>
        <item x="676"/>
        <item x="1265"/>
        <item x="1725"/>
        <item x="818"/>
        <item x="135"/>
        <item x="248"/>
        <item x="203"/>
        <item x="1017"/>
        <item x="1823"/>
        <item x="1134"/>
        <item x="694"/>
        <item x="675"/>
        <item x="1461"/>
        <item x="285"/>
        <item x="1425"/>
        <item x="1944"/>
        <item x="1853"/>
        <item x="698"/>
        <item x="524"/>
        <item x="843"/>
        <item x="1950"/>
        <item x="706"/>
        <item x="626"/>
        <item x="1785"/>
        <item x="999"/>
        <item x="48"/>
        <item x="1701"/>
        <item x="1613"/>
        <item x="1550"/>
        <item x="172"/>
        <item x="977"/>
        <item x="1527"/>
        <item x="1901"/>
        <item x="1551"/>
        <item x="156"/>
        <item x="265"/>
        <item x="640"/>
        <item x="1716"/>
        <item x="507"/>
        <item x="937"/>
        <item x="1803"/>
        <item x="274"/>
        <item x="629"/>
        <item x="145"/>
        <item x="476"/>
        <item x="1539"/>
        <item x="1881"/>
        <item x="25"/>
        <item x="1797"/>
        <item x="1242"/>
        <item x="1653"/>
        <item x="112"/>
        <item x="411"/>
        <item x="1929"/>
        <item x="214"/>
        <item x="1672"/>
        <item x="1071"/>
        <item x="474"/>
        <item x="545"/>
        <item x="1931"/>
        <item x="1196"/>
        <item x="26"/>
        <item x="1416"/>
        <item x="1380"/>
        <item x="1513"/>
        <item x="1471"/>
        <item x="1870"/>
        <item x="1927"/>
        <item x="1855"/>
        <item x="1621"/>
        <item x="218"/>
        <item x="679"/>
        <item x="1800"/>
        <item x="620"/>
        <item x="1933"/>
        <item x="1100"/>
        <item x="1905"/>
        <item x="1151"/>
        <item x="1782"/>
        <item x="1361"/>
        <item x="1350"/>
        <item x="191"/>
        <item x="984"/>
        <item x="1002"/>
        <item x="1706"/>
        <item x="754"/>
        <item x="1601"/>
        <item x="1746"/>
        <item x="1314"/>
        <item x="1737"/>
        <item x="700"/>
        <item x="379"/>
        <item x="1709"/>
        <item x="1792"/>
        <item x="1081"/>
        <item x="1779"/>
        <item x="503"/>
        <item x="213"/>
        <item x="686"/>
        <item x="789"/>
        <item x="1078"/>
        <item x="1622"/>
        <item x="257"/>
        <item x="541"/>
        <item x="402"/>
        <item x="1073"/>
        <item x="1004"/>
        <item x="716"/>
        <item x="938"/>
        <item x="235"/>
        <item x="554"/>
        <item x="1035"/>
        <item x="148"/>
        <item x="467"/>
        <item x="260"/>
        <item x="343"/>
        <item x="478"/>
        <item x="905"/>
        <item x="297"/>
        <item x="1076"/>
        <item x="1907"/>
        <item x="601"/>
        <item x="1579"/>
        <item x="1347"/>
        <item x="1615"/>
        <item x="80"/>
        <item x="573"/>
        <item x="1576"/>
        <item x="902"/>
        <item x="1179"/>
        <item x="548"/>
        <item x="1575"/>
        <item x="1333"/>
        <item x="1467"/>
        <item x="1650"/>
        <item x="459"/>
        <item x="941"/>
        <item x="1286"/>
        <item x="540"/>
        <item x="1466"/>
        <item x="825"/>
        <item x="364"/>
        <item x="121"/>
        <item x="880"/>
        <item x="351"/>
        <item x="1530"/>
        <item x="1247"/>
        <item x="627"/>
        <item x="1258"/>
        <item x="1303"/>
        <item x="1494"/>
        <item x="1735"/>
        <item x="1344"/>
        <item x="1586"/>
        <item x="1949"/>
        <item x="1365"/>
        <item x="304"/>
        <item x="776"/>
        <item x="893"/>
        <item x="242"/>
        <item x="589"/>
        <item x="307"/>
        <item x="1954"/>
        <item x="1671"/>
        <item x="1878"/>
        <item x="559"/>
        <item x="1745"/>
        <item x="1538"/>
        <item x="643"/>
        <item x="1231"/>
        <item x="800"/>
        <item x="266"/>
        <item x="249"/>
        <item x="1397"/>
        <item x="1259"/>
        <item x="1224"/>
        <item x="1193"/>
        <item x="865"/>
        <item x="1404"/>
        <item x="350"/>
        <item x="1865"/>
        <item x="596"/>
        <item x="1216"/>
        <item x="226"/>
        <item x="748"/>
        <item x="246"/>
        <item x="523"/>
        <item x="797"/>
        <item x="255"/>
        <item x="1455"/>
        <item x="1234"/>
        <item x="1000"/>
        <item x="674"/>
        <item x="884"/>
        <item x="1222"/>
        <item x="1137"/>
        <item x="669"/>
        <item x="1342"/>
        <item x="1016"/>
        <item x="527"/>
        <item x="949"/>
        <item x="1407"/>
        <item x="1288"/>
        <item x="1642"/>
        <item x="1508"/>
        <item x="1166"/>
        <item x="1329"/>
        <item x="653"/>
        <item x="730"/>
        <item x="1602"/>
        <item x="1668"/>
        <item x="1406"/>
        <item x="488"/>
        <item x="120"/>
        <item x="1915"/>
        <item x="673"/>
        <item x="1714"/>
        <item x="556"/>
        <item x="1341"/>
        <item x="1717"/>
        <item x="762"/>
        <item x="295"/>
        <item x="625"/>
        <item x="733"/>
        <item x="877"/>
        <item x="1061"/>
        <item x="390"/>
        <item x="233"/>
        <item x="1778"/>
        <item x="1388"/>
        <item x="1498"/>
        <item x="1308"/>
        <item x="315"/>
        <item x="1937"/>
        <item x="73"/>
        <item x="923"/>
        <item x="1873"/>
        <item x="565"/>
        <item x="1911"/>
        <item x="782"/>
        <item x="711"/>
        <item x="360"/>
        <item x="588"/>
        <item x="178"/>
        <item x="494"/>
        <item x="1754"/>
        <item x="1020"/>
        <item x="1619"/>
        <item x="747"/>
        <item x="1850"/>
        <item x="1157"/>
        <item x="1609"/>
        <item x="737"/>
        <item x="1655"/>
        <item x="332"/>
        <item x="850"/>
        <item x="184"/>
        <item x="1045"/>
        <item x="162"/>
        <item x="287"/>
        <item x="88"/>
        <item x="79"/>
        <item x="1532"/>
        <item x="783"/>
        <item x="1675"/>
        <item x="1052"/>
        <item x="1603"/>
        <item x="1953"/>
        <item x="1209"/>
        <item x="12"/>
        <item x="410"/>
        <item x="18"/>
        <item x="1565"/>
        <item x="1013"/>
        <item x="1462"/>
        <item x="1423"/>
        <item x="619"/>
        <item x="863"/>
        <item x="566"/>
        <item x="1147"/>
        <item x="1574"/>
        <item x="1938"/>
        <item x="1009"/>
        <item x="229"/>
        <item x="405"/>
        <item x="471"/>
        <item x="1544"/>
        <item x="862"/>
        <item x="1731"/>
        <item x="1821"/>
        <item x="657"/>
        <item x="1101"/>
        <item x="1582"/>
        <item x="557"/>
        <item x="1082"/>
        <item x="1789"/>
        <item x="935"/>
        <item x="188"/>
        <item x="404"/>
        <item x="739"/>
        <item x="1869"/>
        <item x="1245"/>
        <item x="105"/>
        <item x="1598"/>
        <item x="292"/>
        <item x="1761"/>
        <item x="781"/>
        <item x="20"/>
        <item x="757"/>
        <item x="972"/>
        <item x="687"/>
        <item x="1219"/>
        <item x="1047"/>
        <item x="788"/>
        <item x="636"/>
        <item x="429"/>
        <item x="684"/>
        <item x="420"/>
        <item x="1633"/>
        <item x="303"/>
        <item x="1123"/>
        <item x="1383"/>
        <item x="1300"/>
        <item x="276"/>
        <item x="454"/>
        <item x="961"/>
        <item x="529"/>
        <item x="1477"/>
        <item x="1401"/>
        <item x="817"/>
        <item x="1784"/>
        <item x="217"/>
        <item x="1741"/>
        <item x="492"/>
        <item x="1862"/>
        <item x="530"/>
        <item x="1818"/>
        <item x="1790"/>
        <item x="53"/>
        <item x="1079"/>
        <item x="1386"/>
        <item x="639"/>
        <item x="1098"/>
        <item x="1776"/>
        <item x="1317"/>
        <item x="1289"/>
        <item x="422"/>
        <item x="1200"/>
        <item x="1760"/>
        <item x="1118"/>
        <item x="692"/>
        <item x="758"/>
        <item x="132"/>
        <item x="722"/>
        <item x="1102"/>
        <item x="1460"/>
        <item x="401"/>
        <item x="1138"/>
        <item x="1293"/>
        <item x="1857"/>
        <item x="995"/>
        <item x="24"/>
        <item x="1145"/>
        <item x="1503"/>
        <item x="173"/>
        <item x="1275"/>
        <item x="1238"/>
        <item x="90"/>
        <item x="1447"/>
        <item x="241"/>
        <item x="224"/>
        <item x="613"/>
        <item x="898"/>
        <item x="1309"/>
        <item x="1229"/>
        <item x="1135"/>
        <item x="1042"/>
        <item x="1356"/>
        <item x="1652"/>
        <item x="815"/>
        <item x="1756"/>
        <item x="917"/>
        <item x="1346"/>
        <item x="301"/>
        <item x="378"/>
        <item x="1005"/>
        <item x="129"/>
        <item x="77"/>
        <item x="493"/>
        <item x="497"/>
        <item x="1058"/>
        <item x="1420"/>
        <item x="851"/>
        <item x="576"/>
        <item x="200"/>
        <item x="1304"/>
        <item x="158"/>
        <item x="1669"/>
        <item x="1320"/>
        <item x="212"/>
        <item x="962"/>
        <item x="755"/>
        <item x="587"/>
        <item x="1395"/>
        <item x="701"/>
        <item x="1801"/>
        <item x="1217"/>
        <item x="1948"/>
        <item x="1595"/>
        <item x="867"/>
        <item x="987"/>
        <item x="228"/>
        <item x="1124"/>
        <item x="1608"/>
        <item x="516"/>
        <item x="1136"/>
        <item x="1908"/>
        <item x="176"/>
        <item x="82"/>
        <item x="352"/>
        <item x="1316"/>
        <item x="750"/>
        <item x="749"/>
        <item x="1180"/>
        <item x="1517"/>
        <item x="1632"/>
        <item x="744"/>
        <item x="1614"/>
        <item x="1049"/>
        <item x="567"/>
        <item x="55"/>
        <item x="609"/>
        <item x="234"/>
        <item x="1638"/>
        <item x="1318"/>
        <item x="1674"/>
        <item x="871"/>
        <item x="623"/>
        <item x="421"/>
        <item x="667"/>
        <item x="1748"/>
        <item x="1676"/>
        <item x="793"/>
        <item x="1107"/>
        <item x="814"/>
        <item x="164"/>
        <item x="1128"/>
        <item x="809"/>
        <item x="1086"/>
        <item x="1232"/>
        <item x="1364"/>
        <item x="638"/>
        <item x="1696"/>
        <item x="929"/>
        <item x="1811"/>
        <item x="177"/>
        <item x="227"/>
        <item x="1966"/>
        <item x="1755"/>
        <item x="1828"/>
        <item x="1564"/>
        <item x="834"/>
        <item x="1218"/>
        <item x="1643"/>
        <item x="1034"/>
        <item x="1192"/>
        <item x="835"/>
        <item x="13"/>
        <item x="155"/>
        <item x="901"/>
        <item x="126"/>
        <item x="123"/>
        <item x="508"/>
        <item x="873"/>
        <item x="526"/>
        <item x="1623"/>
        <item x="1895"/>
        <item x="1159"/>
        <item x="1172"/>
        <item x="81"/>
        <item x="1325"/>
        <item x="1175"/>
        <item x="1112"/>
        <item x="1156"/>
        <item x="954"/>
        <item x="1281"/>
        <item x="645"/>
        <item x="562"/>
        <item x="1970"/>
        <item x="1165"/>
        <item x="1233"/>
        <item x="1557"/>
        <item x="821"/>
        <item x="10"/>
        <item x="485"/>
        <item x="1496"/>
        <item x="535"/>
        <item x="693"/>
        <item x="542"/>
        <item x="382"/>
        <item x="1163"/>
        <item x="1877"/>
        <item x="1244"/>
        <item x="1283"/>
        <item x="736"/>
        <item x="1452"/>
        <item x="768"/>
        <item x="1903"/>
        <item x="1688"/>
        <item x="501"/>
        <item x="1278"/>
        <item x="534"/>
        <item x="683"/>
        <item x="826"/>
        <item x="705"/>
        <item x="1951"/>
        <item x="1164"/>
        <item x="1700"/>
        <item x="443"/>
        <item x="1626"/>
        <item x="259"/>
        <item x="1272"/>
        <item x="1429"/>
        <item x="602"/>
        <item x="1488"/>
        <item x="571"/>
        <item x="558"/>
        <item x="428"/>
        <item x="725"/>
        <item x="1267"/>
        <item x="323"/>
        <item x="1029"/>
        <item x="199"/>
        <item x="33"/>
        <item x="278"/>
        <item x="886"/>
        <item x="1104"/>
        <item x="1630"/>
        <item x="666"/>
        <item x="1089"/>
        <item x="1848"/>
        <item x="1484"/>
        <item x="1251"/>
        <item x="1094"/>
        <item x="1507"/>
        <item x="982"/>
        <item x="965"/>
        <item x="1394"/>
        <item x="1719"/>
        <item x="342"/>
        <item x="1573"/>
        <item x="1353"/>
        <item x="1728"/>
        <item x="1039"/>
        <item x="553"/>
        <item x="1313"/>
        <item x="174"/>
        <item x="1859"/>
        <item x="362"/>
        <item x="853"/>
        <item x="1225"/>
        <item x="1963"/>
        <item x="1"/>
        <item x="1015"/>
        <item x="251"/>
        <item x="1417"/>
        <item x="151"/>
        <item x="547"/>
        <item x="689"/>
        <item x="1168"/>
        <item x="1809"/>
        <item x="1357"/>
        <item x="1945"/>
        <item x="359"/>
        <item x="1512"/>
        <item x="1161"/>
        <item x="875"/>
        <item x="353"/>
        <item x="1132"/>
        <item x="142"/>
        <item x="1817"/>
        <item x="1893"/>
        <item x="804"/>
        <item x="1831"/>
        <item x="1022"/>
        <item x="1569"/>
        <item x="324"/>
        <item x="1874"/>
        <item x="269"/>
        <item x="870"/>
        <item x="1459"/>
        <item x="21"/>
        <item x="160"/>
        <item x="1183"/>
        <item x="83"/>
        <item x="847"/>
        <item x="374"/>
        <item x="1206"/>
        <item x="1946"/>
        <item x="380"/>
        <item x="376"/>
        <item x="940"/>
        <item x="1647"/>
        <item x="564"/>
        <item x="40"/>
        <item x="517"/>
        <item x="1332"/>
        <item x="1006"/>
        <item x="1117"/>
        <item x="45"/>
        <item x="1824"/>
        <item x="1080"/>
        <item x="498"/>
        <item x="1419"/>
        <item x="1398"/>
        <item x="448"/>
        <item x="1228"/>
        <item x="1780"/>
        <item x="606"/>
        <item x="753"/>
        <item x="1844"/>
        <item x="435"/>
        <item x="1056"/>
        <item x="635"/>
        <item x="718"/>
        <item x="1596"/>
        <item x="1825"/>
        <item x="1772"/>
        <item x="591"/>
        <item x="1433"/>
        <item x="763"/>
        <item x="1753"/>
        <item x="719"/>
        <item x="575"/>
        <item x="1261"/>
        <item x="1860"/>
        <item x="1879"/>
        <item x="1723"/>
        <item x="30"/>
        <item x="509"/>
        <item x="1292"/>
        <item x="134"/>
        <item x="945"/>
        <item x="723"/>
        <item x="1681"/>
        <item x="1682"/>
        <item x="102"/>
        <item x="1057"/>
        <item x="1126"/>
        <item x="1328"/>
        <item x="1409"/>
        <item x="1260"/>
        <item x="570"/>
        <item x="798"/>
        <item x="696"/>
        <item x="367"/>
        <item x="662"/>
        <item x="1264"/>
        <item x="947"/>
        <item x="628"/>
        <item x="1421"/>
        <item x="437"/>
        <item x="874"/>
        <item x="57"/>
        <item x="1443"/>
        <item x="470"/>
        <item x="1298"/>
        <item x="1635"/>
        <item x="104"/>
        <item x="1591"/>
        <item x="1711"/>
        <item x="1504"/>
        <item x="110"/>
        <item x="313"/>
        <item x="827"/>
        <item x="1227"/>
        <item x="1832"/>
        <item x="1861"/>
        <item x="201"/>
        <item x="1964"/>
        <item x="461"/>
        <item x="512"/>
        <item x="1830"/>
        <item x="1411"/>
        <item x="1302"/>
        <item x="1282"/>
        <item x="630"/>
        <item x="652"/>
        <item x="1685"/>
        <item x="803"/>
        <item x="1736"/>
        <item x="1213"/>
        <item x="441"/>
        <item x="907"/>
        <item x="1806"/>
        <item x="685"/>
        <item x="1670"/>
        <item x="1956"/>
        <item x="392"/>
        <item x="552"/>
        <item x="179"/>
        <item x="136"/>
        <item x="631"/>
        <item x="560"/>
        <item x="1387"/>
        <item x="943"/>
        <item x="1374"/>
        <item x="1046"/>
        <item x="1960"/>
        <item x="1805"/>
        <item x="1921"/>
        <item x="1143"/>
        <item x="1378"/>
        <item x="475"/>
        <item x="1545"/>
        <item x="427"/>
        <item x="473"/>
        <item x="399"/>
        <item x="1088"/>
        <item x="216"/>
        <item x="799"/>
        <item x="358"/>
        <item x="1581"/>
        <item x="801"/>
        <item x="458"/>
        <item x="1464"/>
        <item x="915"/>
        <item x="1432"/>
        <item x="293"/>
        <item x="688"/>
        <item x="1625"/>
        <item x="1969"/>
        <item x="9"/>
        <item x="890"/>
        <item x="447"/>
        <item x="1813"/>
        <item x="1182"/>
        <item x="368"/>
        <item x="1804"/>
        <item x="1854"/>
        <item x="1947"/>
        <item x="928"/>
        <item x="187"/>
        <item x="486"/>
        <item x="1702"/>
        <item x="1349"/>
        <item x="1299"/>
        <item x="608"/>
        <item x="914"/>
        <item x="1207"/>
        <item x="1842"/>
        <item x="1566"/>
        <item x="1534"/>
        <item x="1031"/>
        <item x="661"/>
        <item x="770"/>
        <item x="100"/>
        <item x="866"/>
        <item x="387"/>
        <item x="926"/>
        <item x="1930"/>
        <item x="1273"/>
        <item x="1636"/>
        <item x="1606"/>
        <item x="302"/>
        <item x="238"/>
        <item x="1896"/>
        <item x="1139"/>
        <item x="1051"/>
        <item x="1641"/>
        <item x="522"/>
        <item x="1940"/>
        <item x="75"/>
        <item x="1064"/>
        <item x="1241"/>
        <item x="946"/>
        <item x="1890"/>
        <item x="828"/>
        <item x="1762"/>
        <item x="810"/>
        <item x="1599"/>
        <item x="337"/>
        <item x="388"/>
        <item x="707"/>
        <item x="978"/>
        <item x="1924"/>
        <item x="1502"/>
        <item x="539"/>
        <item x="372"/>
        <item x="47"/>
        <item x="1651"/>
        <item x="1054"/>
        <item x="277"/>
        <item x="54"/>
        <item x="702"/>
        <item x="846"/>
        <item x="311"/>
        <item x="244"/>
        <item x="1751"/>
        <item x="1254"/>
        <item x="111"/>
        <item x="957"/>
        <item x="345"/>
        <item x="106"/>
        <item x="109"/>
        <item x="1185"/>
        <item x="1703"/>
        <item x="1883"/>
        <item x="1096"/>
        <item x="1191"/>
        <item x="282"/>
        <item x="622"/>
        <item x="273"/>
        <item x="446"/>
        <item x="36"/>
        <item x="42"/>
        <item x="897"/>
        <item x="593"/>
        <item x="86"/>
        <item x="107"/>
        <item x="1677"/>
        <item x="1480"/>
        <item x="434"/>
        <item x="197"/>
        <item x="976"/>
        <item x="1816"/>
        <item x="1958"/>
        <item x="1868"/>
        <item x="290"/>
        <item x="1237"/>
        <item x="1764"/>
        <item x="709"/>
        <item x="1055"/>
        <item x="1693"/>
        <item x="1634"/>
        <item x="1763"/>
        <item x="149"/>
        <item x="27"/>
        <item x="147"/>
        <item x="283"/>
        <item x="1440"/>
        <item x="1090"/>
        <item x="971"/>
        <item x="317"/>
        <item x="99"/>
        <item x="996"/>
        <item x="1600"/>
        <item x="1470"/>
        <item x="482"/>
        <item x="1021"/>
        <item x="78"/>
        <item x="854"/>
        <item x="1767"/>
        <item x="1863"/>
        <item x="1658"/>
        <item x="1833"/>
        <item x="1091"/>
        <item x="1214"/>
        <item x="714"/>
        <item x="732"/>
        <item x="1922"/>
        <item x="1773"/>
        <item x="1110"/>
        <item x="1593"/>
        <item x="595"/>
        <item x="1588"/>
        <item x="256"/>
        <item x="1352"/>
        <item x="1063"/>
        <item x="231"/>
        <item x="597"/>
        <item x="1697"/>
        <item x="319"/>
        <item x="1335"/>
        <item x="1010"/>
        <item x="678"/>
        <item x="956"/>
        <item x="393"/>
        <item x="1967"/>
        <item x="1673"/>
        <item x="812"/>
        <item x="280"/>
        <item x="665"/>
        <item x="1766"/>
        <item x="600"/>
        <item x="1524"/>
        <item x="1492"/>
        <item x="299"/>
        <item x="252"/>
        <item x="592"/>
        <item x="1618"/>
        <item x="462"/>
        <item x="969"/>
        <item x="1584"/>
        <item x="1880"/>
        <item x="1072"/>
        <item x="1270"/>
        <item x="348"/>
        <item x="223"/>
        <item x="1236"/>
        <item x="1326"/>
        <item x="344"/>
        <item x="1413"/>
        <item x="389"/>
        <item x="953"/>
        <item x="1943"/>
        <item x="574"/>
        <item x="1212"/>
        <item x="1902"/>
        <item x="1856"/>
        <item x="1215"/>
        <item x="859"/>
        <item x="1707"/>
        <item x="1337"/>
        <item x="1469"/>
        <item x="56"/>
        <item x="710"/>
        <item x="1839"/>
        <item x="671"/>
        <item x="831"/>
        <item x="634"/>
        <item x="1160"/>
        <item x="1739"/>
        <item x="262"/>
        <item x="1559"/>
        <item x="1812"/>
        <item x="583"/>
        <item x="773"/>
        <item x="1750"/>
        <item x="181"/>
        <item x="1162"/>
        <item x="1340"/>
        <item x="1819"/>
        <item x="525"/>
        <item x="721"/>
        <item x="603"/>
        <item x="766"/>
        <item x="958"/>
        <item x="23"/>
        <item x="1722"/>
        <item x="1343"/>
        <item x="1382"/>
        <item x="1194"/>
        <item x="792"/>
        <item x="1041"/>
        <item x="312"/>
        <item x="363"/>
        <item x="1169"/>
        <item x="663"/>
        <item x="66"/>
        <item x="444"/>
        <item x="968"/>
        <item x="1827"/>
        <item x="960"/>
        <item x="742"/>
        <item x="656"/>
        <item x="1266"/>
        <item x="1092"/>
        <item x="431"/>
        <item x="326"/>
        <item x="32"/>
        <item x="872"/>
        <item x="1925"/>
        <item x="1769"/>
        <item x="829"/>
        <item x="1547"/>
        <item x="1684"/>
        <item x="741"/>
        <item x="1841"/>
        <item x="856"/>
        <item x="329"/>
        <item x="1904"/>
        <item x="1133"/>
        <item x="1906"/>
        <item x="469"/>
        <item x="561"/>
        <item x="271"/>
        <item x="921"/>
        <item x="1436"/>
        <item x="118"/>
        <item x="346"/>
        <item x="848"/>
        <item x="594"/>
        <item x="310"/>
        <item x="60"/>
        <item x="146"/>
        <item x="1617"/>
        <item x="743"/>
        <item x="1083"/>
        <item x="518"/>
        <item x="1321"/>
        <item x="936"/>
        <item x="838"/>
        <item x="1520"/>
        <item x="275"/>
        <item x="1884"/>
        <item x="1405"/>
        <item x="1549"/>
        <item x="1620"/>
        <item x="71"/>
        <item x="69"/>
        <item x="296"/>
        <item x="658"/>
        <item x="515"/>
        <item x="578"/>
        <item x="491"/>
        <item x="1008"/>
        <item x="677"/>
        <item x="116"/>
        <item x="466"/>
        <item x="950"/>
        <item x="1543"/>
        <item x="903"/>
        <item x="1360"/>
        <item x="1359"/>
        <item x="1026"/>
        <item x="1363"/>
        <item x="720"/>
        <item x="1920"/>
        <item x="1740"/>
        <item x="1446"/>
        <item x="1059"/>
        <item x="264"/>
        <item x="239"/>
        <item x="802"/>
        <item x="84"/>
        <item x="28"/>
        <item x="1936"/>
        <item x="672"/>
        <item x="633"/>
        <item x="502"/>
        <item x="1481"/>
        <item x="944"/>
        <item x="1708"/>
        <item x="184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items count="1891">
        <item x="1385"/>
        <item x="1020"/>
        <item x="802"/>
        <item x="1244"/>
        <item x="1341"/>
        <item x="445"/>
        <item x="1182"/>
        <item x="812"/>
        <item x="1444"/>
        <item x="1553"/>
        <item x="442"/>
        <item x="147"/>
        <item x="1162"/>
        <item x="768"/>
        <item x="1402"/>
        <item x="1127"/>
        <item x="559"/>
        <item x="1255"/>
        <item x="932"/>
        <item x="1366"/>
        <item x="1445"/>
        <item x="194"/>
        <item x="1008"/>
        <item x="321"/>
        <item x="615"/>
        <item x="1117"/>
        <item x="229"/>
        <item x="499"/>
        <item x="435"/>
        <item x="799"/>
        <item x="1455"/>
        <item x="1197"/>
        <item x="573"/>
        <item x="1599"/>
        <item x="456"/>
        <item x="601"/>
        <item x="1642"/>
        <item x="1193"/>
        <item x="127"/>
        <item x="183"/>
        <item x="157"/>
        <item x="373"/>
        <item x="804"/>
        <item x="180"/>
        <item x="417"/>
        <item x="507"/>
        <item x="511"/>
        <item x="1467"/>
        <item x="103"/>
        <item x="609"/>
        <item x="721"/>
        <item x="1744"/>
        <item x="1572"/>
        <item x="1528"/>
        <item x="1234"/>
        <item x="935"/>
        <item x="576"/>
        <item x="945"/>
        <item x="1684"/>
        <item x="362"/>
        <item x="21"/>
        <item x="56"/>
        <item x="1220"/>
        <item x="1390"/>
        <item x="112"/>
        <item x="135"/>
        <item x="173"/>
        <item x="1102"/>
        <item x="1352"/>
        <item x="1461"/>
        <item x="99"/>
        <item x="461"/>
        <item x="457"/>
        <item x="1389"/>
        <item x="206"/>
        <item x="1195"/>
        <item x="1633"/>
        <item x="850"/>
        <item x="189"/>
        <item x="179"/>
        <item x="667"/>
        <item x="391"/>
        <item x="1582"/>
        <item x="323"/>
        <item x="536"/>
        <item x="1690"/>
        <item x="584"/>
        <item x="1063"/>
        <item x="901"/>
        <item x="596"/>
        <item x="786"/>
        <item x="731"/>
        <item x="1084"/>
        <item x="96"/>
        <item x="130"/>
        <item x="480"/>
        <item x="118"/>
        <item x="530"/>
        <item x="1604"/>
        <item x="1175"/>
        <item x="1075"/>
        <item x="1594"/>
        <item x="1346"/>
        <item x="1812"/>
        <item x="888"/>
        <item x="1788"/>
        <item x="692"/>
        <item x="1641"/>
        <item x="215"/>
        <item x="1508"/>
        <item x="597"/>
        <item x="1772"/>
        <item x="489"/>
        <item x="369"/>
        <item x="762"/>
        <item x="702"/>
        <item x="1042"/>
        <item x="145"/>
        <item x="221"/>
        <item x="273"/>
        <item x="842"/>
        <item x="722"/>
        <item x="919"/>
        <item x="598"/>
        <item x="1207"/>
        <item x="868"/>
        <item x="1647"/>
        <item x="1141"/>
        <item x="1288"/>
        <item x="241"/>
        <item x="1210"/>
        <item x="925"/>
        <item x="1629"/>
        <item x="1591"/>
        <item x="300"/>
        <item x="1136"/>
        <item x="73"/>
        <item x="1192"/>
        <item x="202"/>
        <item x="1724"/>
        <item x="843"/>
        <item x="1283"/>
        <item x="681"/>
        <item x="1809"/>
        <item x="256"/>
        <item x="1571"/>
        <item x="755"/>
        <item x="1596"/>
        <item x="475"/>
        <item x="1607"/>
        <item x="1017"/>
        <item x="1816"/>
        <item x="1083"/>
        <item x="332"/>
        <item x="984"/>
        <item x="1098"/>
        <item x="1054"/>
        <item x="344"/>
        <item x="17"/>
        <item x="666"/>
        <item x="312"/>
        <item x="652"/>
        <item x="1702"/>
        <item x="1511"/>
        <item x="1857"/>
        <item x="1795"/>
        <item x="1483"/>
        <item x="800"/>
        <item x="1133"/>
        <item x="1494"/>
        <item x="1196"/>
        <item x="126"/>
        <item x="203"/>
        <item x="1294"/>
        <item x="1794"/>
        <item x="679"/>
        <item x="1103"/>
        <item x="437"/>
        <item x="326"/>
        <item x="1130"/>
        <item x="877"/>
        <item x="1155"/>
        <item x="395"/>
        <item x="6"/>
        <item x="1479"/>
        <item x="1884"/>
        <item x="85"/>
        <item x="685"/>
        <item x="604"/>
        <item x="1340"/>
        <item x="870"/>
        <item x="1215"/>
        <item x="891"/>
        <item x="646"/>
        <item x="1723"/>
        <item x="728"/>
        <item x="204"/>
        <item x="541"/>
        <item x="1469"/>
        <item x="733"/>
        <item x="641"/>
        <item x="1120"/>
        <item x="1297"/>
        <item x="279"/>
        <item x="101"/>
        <item x="574"/>
        <item x="2"/>
        <item x="1148"/>
        <item x="1338"/>
        <item x="831"/>
        <item x="1308"/>
        <item x="719"/>
        <item x="676"/>
        <item x="1257"/>
        <item x="1657"/>
        <item x="1088"/>
        <item x="631"/>
        <item x="1866"/>
        <item x="365"/>
        <item x="1550"/>
        <item x="547"/>
        <item x="473"/>
        <item x="769"/>
        <item x="63"/>
        <item x="586"/>
        <item x="950"/>
        <item x="166"/>
        <item x="270"/>
        <item x="1776"/>
        <item x="317"/>
        <item x="1198"/>
        <item x="1767"/>
        <item x="1828"/>
        <item x="336"/>
        <item x="1877"/>
        <item x="1817"/>
        <item x="1672"/>
        <item x="104"/>
        <item x="1547"/>
        <item x="162"/>
        <item x="1333"/>
        <item x="1585"/>
        <item x="650"/>
        <item x="1365"/>
        <item x="169"/>
        <item x="671"/>
        <item x="116"/>
        <item x="392"/>
        <item x="1238"/>
        <item x="482"/>
        <item x="954"/>
        <item x="998"/>
        <item x="1094"/>
        <item x="158"/>
        <item x="1602"/>
        <item x="1679"/>
        <item x="1241"/>
        <item x="1864"/>
        <item x="838"/>
        <item x="1105"/>
        <item x="600"/>
        <item x="1187"/>
        <item x="1250"/>
        <item x="1447"/>
        <item x="1425"/>
        <item x="1653"/>
        <item x="1527"/>
        <item x="1180"/>
        <item x="1778"/>
        <item x="23"/>
        <item x="1718"/>
        <item x="1551"/>
        <item x="1055"/>
        <item x="1157"/>
        <item x="394"/>
        <item x="1612"/>
        <item x="150"/>
        <item x="525"/>
        <item x="1617"/>
        <item x="1060"/>
        <item x="20"/>
        <item x="1068"/>
        <item x="405"/>
        <item x="610"/>
        <item x="1123"/>
        <item x="807"/>
        <item x="1258"/>
        <item x="544"/>
        <item x="1392"/>
        <item x="488"/>
        <item x="1814"/>
        <item x="1569"/>
        <item x="360"/>
        <item x="605"/>
        <item x="581"/>
        <item x="1651"/>
        <item x="1435"/>
        <item x="1271"/>
        <item x="992"/>
        <item x="1681"/>
        <item x="1463"/>
        <item x="1004"/>
        <item x="825"/>
        <item x="1521"/>
        <item x="254"/>
        <item x="1387"/>
        <item x="1714"/>
        <item x="1115"/>
        <item x="27"/>
        <item x="1249"/>
        <item x="1357"/>
        <item x="1268"/>
        <item x="1144"/>
        <item x="900"/>
        <item x="875"/>
        <item x="1401"/>
        <item x="460"/>
        <item x="986"/>
        <item x="1373"/>
        <item x="234"/>
        <item x="1781"/>
        <item x="613"/>
        <item x="772"/>
        <item x="1797"/>
        <item x="994"/>
        <item x="1031"/>
        <item x="213"/>
        <item x="1439"/>
        <item x="415"/>
        <item x="88"/>
        <item x="673"/>
        <item x="382"/>
        <item x="1686"/>
        <item x="1239"/>
        <item x="402"/>
        <item x="716"/>
        <item x="1339"/>
        <item x="1705"/>
        <item x="1128"/>
        <item x="219"/>
        <item x="268"/>
        <item x="324"/>
        <item x="590"/>
        <item x="469"/>
        <item x="330"/>
        <item x="1796"/>
        <item x="1026"/>
        <item x="296"/>
        <item x="454"/>
        <item x="1578"/>
        <item x="355"/>
        <item x="1362"/>
        <item x="354"/>
        <item x="1208"/>
        <item x="54"/>
        <item x="503"/>
        <item x="80"/>
        <item x="40"/>
        <item x="618"/>
        <item x="1214"/>
        <item x="19"/>
        <item x="858"/>
        <item x="258"/>
        <item x="1637"/>
        <item x="1013"/>
        <item x="1296"/>
        <item x="620"/>
        <item x="840"/>
        <item x="734"/>
        <item x="264"/>
        <item x="78"/>
        <item x="372"/>
        <item x="490"/>
        <item x="137"/>
        <item x="1172"/>
        <item x="1652"/>
        <item x="379"/>
        <item x="121"/>
        <item x="1761"/>
        <item x="1699"/>
        <item x="756"/>
        <item x="616"/>
        <item x="31"/>
        <item x="585"/>
        <item x="423"/>
        <item x="398"/>
        <item x="611"/>
        <item x="1540"/>
        <item x="1430"/>
        <item x="869"/>
        <item x="7"/>
        <item x="1203"/>
        <item x="537"/>
        <item x="717"/>
        <item x="448"/>
        <item x="1531"/>
        <item x="856"/>
        <item x="1623"/>
        <item x="1331"/>
        <item x="143"/>
        <item x="931"/>
        <item x="320"/>
        <item x="556"/>
        <item x="1762"/>
        <item x="343"/>
        <item x="75"/>
        <item x="295"/>
        <item x="1246"/>
        <item x="1378"/>
        <item x="1782"/>
        <item x="1416"/>
        <item x="1805"/>
        <item x="1873"/>
        <item x="1628"/>
        <item x="1747"/>
        <item x="1361"/>
        <item x="937"/>
        <item x="1079"/>
        <item x="892"/>
        <item x="1719"/>
        <item x="1021"/>
        <item x="242"/>
        <item x="297"/>
        <item x="139"/>
        <item x="1819"/>
        <item x="1074"/>
        <item x="746"/>
        <item x="542"/>
        <item x="487"/>
        <item x="744"/>
        <item x="1876"/>
        <item x="968"/>
        <item x="1146"/>
        <item x="1202"/>
        <item x="789"/>
        <item x="1016"/>
        <item x="407"/>
        <item x="1349"/>
        <item x="1359"/>
        <item x="698"/>
        <item x="1708"/>
        <item x="255"/>
        <item x="1813"/>
        <item x="1791"/>
        <item x="432"/>
        <item x="25"/>
        <item x="568"/>
        <item x="182"/>
        <item x="1544"/>
        <item x="494"/>
        <item x="154"/>
        <item x="1770"/>
        <item x="1372"/>
        <item x="873"/>
        <item x="329"/>
        <item x="1841"/>
        <item x="1350"/>
        <item x="1221"/>
        <item x="280"/>
        <item x="1573"/>
        <item x="1529"/>
        <item x="278"/>
        <item x="1882"/>
        <item x="1160"/>
        <item x="1252"/>
        <item x="1408"/>
        <item x="1256"/>
        <item x="421"/>
        <item x="46"/>
        <item x="1320"/>
        <item x="236"/>
        <item x="1368"/>
        <item x="808"/>
        <item x="404"/>
        <item x="570"/>
        <item x="637"/>
        <item x="1269"/>
        <item x="787"/>
        <item x="466"/>
        <item x="227"/>
        <item x="155"/>
        <item x="1173"/>
        <item x="687"/>
        <item x="1775"/>
        <item x="1360"/>
        <item x="1831"/>
        <item x="1190"/>
        <item x="1036"/>
        <item x="272"/>
        <item x="1454"/>
        <item x="107"/>
        <item x="306"/>
        <item x="406"/>
        <item x="897"/>
        <item x="288"/>
        <item x="1072"/>
        <item x="1748"/>
        <item x="335"/>
        <item x="1716"/>
        <item x="520"/>
        <item x="209"/>
        <item x="1156"/>
        <item x="814"/>
        <item x="736"/>
        <item x="1818"/>
        <item x="1871"/>
        <item x="212"/>
        <item x="134"/>
        <item x="1477"/>
        <item x="1254"/>
        <item x="117"/>
        <item x="1557"/>
        <item x="1242"/>
        <item x="1285"/>
        <item x="1309"/>
        <item x="1078"/>
        <item x="1888"/>
        <item x="1789"/>
        <item x="159"/>
        <item x="267"/>
        <item x="301"/>
        <item x="1680"/>
        <item x="793"/>
        <item x="1603"/>
        <item x="517"/>
        <item x="422"/>
        <item x="1676"/>
        <item x="1407"/>
        <item x="1225"/>
        <item x="554"/>
        <item x="1305"/>
        <item x="914"/>
        <item x="664"/>
        <item x="409"/>
        <item x="1046"/>
        <item x="153"/>
        <item x="193"/>
        <item x="1874"/>
        <item x="26"/>
        <item x="1278"/>
        <item x="1787"/>
        <item x="614"/>
        <item x="1311"/>
        <item x="1218"/>
        <item x="1606"/>
        <item x="1191"/>
        <item x="211"/>
        <item x="1077"/>
        <item x="1457"/>
        <item x="1415"/>
        <item x="725"/>
        <item x="493"/>
        <item x="148"/>
        <item x="713"/>
        <item x="1833"/>
        <item x="753"/>
        <item x="551"/>
        <item x="580"/>
        <item x="1598"/>
        <item x="677"/>
        <item x="124"/>
        <item x="801"/>
        <item x="1830"/>
        <item x="128"/>
        <item x="439"/>
        <item x="1636"/>
        <item x="58"/>
        <item x="1665"/>
        <item x="1634"/>
        <item x="985"/>
        <item x="706"/>
        <item x="827"/>
        <item x="1121"/>
        <item x="1574"/>
        <item x="1883"/>
        <item x="1645"/>
        <item x="624"/>
        <item x="887"/>
        <item x="940"/>
        <item x="123"/>
        <item x="474"/>
        <item x="644"/>
        <item x="376"/>
        <item x="459"/>
        <item x="1217"/>
        <item x="703"/>
        <item x="246"/>
        <item x="133"/>
        <item x="36"/>
        <item x="686"/>
        <item x="1715"/>
        <item x="683"/>
        <item x="514"/>
        <item x="978"/>
        <item x="217"/>
        <item x="1625"/>
        <item x="1566"/>
        <item x="1253"/>
        <item x="9"/>
        <item x="1265"/>
        <item x="1872"/>
        <item x="224"/>
        <item x="833"/>
        <item x="1129"/>
        <item x="866"/>
        <item x="920"/>
        <item x="349"/>
        <item x="1012"/>
        <item x="636"/>
        <item x="953"/>
        <item x="1548"/>
        <item x="948"/>
        <item x="792"/>
        <item x="522"/>
        <item x="1014"/>
        <item x="424"/>
        <item x="178"/>
        <item x="1299"/>
        <item x="1790"/>
        <item x="1137"/>
        <item x="1404"/>
        <item x="1554"/>
        <item x="1161"/>
        <item x="251"/>
        <item x="74"/>
        <item x="1779"/>
        <item x="1711"/>
        <item x="665"/>
        <item x="929"/>
        <item x="1533"/>
        <item x="464"/>
        <item x="1420"/>
        <item x="776"/>
        <item x="583"/>
        <item x="1729"/>
        <item x="1147"/>
        <item x="1306"/>
        <item x="53"/>
        <item x="1354"/>
        <item x="864"/>
        <item x="1152"/>
        <item x="77"/>
        <item x="1756"/>
        <item x="1784"/>
        <item x="1149"/>
        <item x="472"/>
        <item x="483"/>
        <item x="1106"/>
        <item x="43"/>
        <item x="759"/>
        <item x="357"/>
        <item x="1304"/>
        <item x="1488"/>
        <item x="788"/>
        <item x="192"/>
        <item x="447"/>
        <item x="1379"/>
        <item x="794"/>
        <item x="1660"/>
        <item x="91"/>
        <item x="860"/>
        <item x="694"/>
        <item x="1230"/>
        <item x="623"/>
        <item x="1011"/>
        <item x="1263"/>
        <item x="1749"/>
        <item x="1771"/>
        <item x="1865"/>
        <item x="175"/>
        <item x="853"/>
        <item x="1870"/>
        <item x="534"/>
        <item x="718"/>
        <item x="1151"/>
        <item x="947"/>
        <item x="908"/>
        <item x="969"/>
        <item x="1448"/>
        <item x="414"/>
        <item x="1222"/>
        <item x="190"/>
        <item x="303"/>
        <item x="1516"/>
        <item x="966"/>
        <item x="184"/>
        <item x="396"/>
        <item x="1639"/>
        <item x="1029"/>
        <item x="1656"/>
        <item x="1717"/>
        <item x="481"/>
        <item x="1110"/>
        <item x="235"/>
        <item x="963"/>
        <item x="223"/>
        <item x="1849"/>
        <item x="663"/>
        <item x="643"/>
        <item x="815"/>
        <item x="1005"/>
        <item x="1733"/>
        <item x="1885"/>
        <item x="830"/>
        <item x="1101"/>
        <item x="1735"/>
        <item x="1097"/>
        <item x="1270"/>
        <item x="1774"/>
        <item x="1542"/>
        <item x="655"/>
        <item x="1485"/>
        <item x="1231"/>
        <item x="1700"/>
        <item x="521"/>
        <item x="894"/>
        <item x="113"/>
        <item x="386"/>
        <item x="1264"/>
        <item x="1519"/>
        <item x="1178"/>
        <item x="1400"/>
        <item x="1375"/>
        <item x="1453"/>
        <item x="60"/>
        <item x="732"/>
        <item x="818"/>
        <item x="122"/>
        <item x="1035"/>
        <item x="1080"/>
        <item x="187"/>
        <item x="852"/>
        <item x="81"/>
        <item x="1067"/>
        <item x="1134"/>
        <item x="1150"/>
        <item x="1276"/>
        <item x="1543"/>
        <item x="903"/>
        <item x="1845"/>
        <item x="1640"/>
        <item x="1768"/>
        <item x="363"/>
        <item x="829"/>
        <item x="250"/>
        <item x="593"/>
        <item x="709"/>
        <item x="310"/>
        <item x="228"/>
        <item x="1235"/>
        <item x="905"/>
        <item x="747"/>
        <item x="1620"/>
        <item x="1114"/>
        <item x="1337"/>
        <item x="287"/>
        <item x="1138"/>
        <item x="854"/>
        <item x="878"/>
        <item x="163"/>
        <item x="1009"/>
        <item x="819"/>
        <item x="553"/>
        <item x="285"/>
        <item x="1683"/>
        <item x="1370"/>
        <item x="1698"/>
        <item x="754"/>
        <item x="524"/>
        <item x="132"/>
        <item x="1322"/>
        <item x="783"/>
        <item x="1053"/>
        <item x="136"/>
        <item x="367"/>
        <item x="837"/>
        <item x="1066"/>
        <item x="1701"/>
        <item x="1658"/>
        <item x="895"/>
        <item x="863"/>
        <item x="1586"/>
        <item x="1811"/>
        <item x="1731"/>
        <item x="729"/>
        <item x="191"/>
        <item x="1764"/>
        <item x="1597"/>
        <item x="114"/>
        <item x="375"/>
        <item x="1287"/>
        <item x="37"/>
        <item x="1806"/>
        <item x="820"/>
        <item x="327"/>
        <item x="1022"/>
        <item x="401"/>
        <item x="1499"/>
        <item x="1710"/>
        <item x="1638"/>
        <item x="160"/>
        <item x="129"/>
        <item x="649"/>
        <item x="1662"/>
        <item x="1048"/>
        <item x="313"/>
        <item x="988"/>
        <item x="1886"/>
        <item x="1523"/>
        <item x="188"/>
        <item x="695"/>
        <item x="1713"/>
        <item x="1206"/>
        <item x="55"/>
        <item x="662"/>
        <item x="1510"/>
        <item x="57"/>
        <item x="1471"/>
        <item x="775"/>
        <item x="639"/>
        <item x="1356"/>
        <item x="1880"/>
        <item x="710"/>
        <item x="1113"/>
        <item x="240"/>
        <item x="724"/>
        <item x="699"/>
        <item x="497"/>
        <item x="821"/>
        <item x="571"/>
        <item x="773"/>
        <item x="1237"/>
        <item x="328"/>
        <item x="1734"/>
        <item x="803"/>
        <item x="1064"/>
        <item x="1786"/>
        <item x="961"/>
        <item x="871"/>
        <item x="455"/>
        <item x="999"/>
        <item x="318"/>
        <item x="1826"/>
        <item x="720"/>
        <item x="471"/>
        <item x="602"/>
        <item x="1351"/>
        <item x="109"/>
        <item x="1335"/>
        <item x="1413"/>
        <item x="208"/>
        <item x="1820"/>
        <item x="890"/>
        <item x="1520"/>
        <item x="451"/>
        <item x="120"/>
        <item x="906"/>
        <item x="782"/>
        <item x="1395"/>
        <item x="1045"/>
        <item x="678"/>
        <item x="939"/>
        <item x="1314"/>
        <item x="1087"/>
        <item x="577"/>
        <item x="443"/>
        <item x="1581"/>
        <item x="625"/>
        <item x="441"/>
        <item x="176"/>
        <item x="249"/>
        <item x="151"/>
        <item x="302"/>
        <item x="1466"/>
        <item x="1414"/>
        <item x="723"/>
        <item x="781"/>
        <item x="548"/>
        <item x="513"/>
        <item x="510"/>
        <item x="346"/>
        <item x="1201"/>
        <item x="1240"/>
        <item x="1537"/>
        <item x="1380"/>
        <item x="599"/>
        <item x="1171"/>
        <item x="1868"/>
        <item x="119"/>
        <item x="816"/>
        <item x="1616"/>
        <item x="253"/>
        <item x="557"/>
        <item x="647"/>
        <item x="957"/>
        <item x="958"/>
        <item x="1428"/>
        <item x="1626"/>
        <item x="1627"/>
        <item x="260"/>
        <item x="859"/>
        <item x="1348"/>
        <item x="594"/>
        <item x="1154"/>
        <item x="412"/>
        <item x="1534"/>
        <item x="1177"/>
        <item x="334"/>
        <item x="1403"/>
        <item x="1863"/>
        <item x="200"/>
        <item x="1260"/>
        <item x="653"/>
        <item x="1632"/>
        <item x="1695"/>
        <item x="651"/>
        <item x="1200"/>
        <item x="1184"/>
        <item x="504"/>
        <item x="1450"/>
        <item x="1562"/>
        <item x="427"/>
        <item x="59"/>
        <item x="779"/>
        <item x="370"/>
        <item x="701"/>
        <item x="1727"/>
        <item x="244"/>
        <item x="512"/>
        <item x="1692"/>
        <item x="1837"/>
        <item x="1611"/>
        <item x="97"/>
        <item x="465"/>
        <item x="1666"/>
        <item x="1491"/>
        <item x="797"/>
        <item x="1424"/>
        <item x="1281"/>
        <item x="1745"/>
        <item x="1104"/>
        <item x="108"/>
        <item x="1247"/>
        <item x="1487"/>
        <item x="1028"/>
        <item x="347"/>
        <item x="1310"/>
        <item x="657"/>
        <item x="1861"/>
        <item x="289"/>
        <item x="881"/>
        <item x="479"/>
        <item x="1773"/>
        <item x="1763"/>
        <item x="1798"/>
        <item x="1058"/>
        <item x="889"/>
        <item x="1092"/>
        <item x="87"/>
        <item x="1007"/>
        <item x="1621"/>
        <item x="607"/>
        <item x="515"/>
        <item x="1319"/>
        <item x="790"/>
        <item x="1470"/>
        <item x="741"/>
        <item x="161"/>
        <item x="257"/>
        <item x="603"/>
        <item x="1688"/>
        <item x="886"/>
        <item x="222"/>
        <item x="298"/>
        <item x="748"/>
        <item x="974"/>
        <item x="358"/>
        <item x="1693"/>
        <item x="259"/>
        <item x="1564"/>
        <item x="902"/>
        <item x="1228"/>
        <item x="171"/>
        <item x="824"/>
        <item x="1646"/>
        <item x="452"/>
        <item x="835"/>
        <item x="967"/>
        <item x="1442"/>
        <item x="921"/>
        <item x="1793"/>
        <item x="1622"/>
        <item x="907"/>
        <item x="770"/>
        <item x="1111"/>
        <item x="1496"/>
        <item x="1343"/>
        <item x="1760"/>
        <item x="523"/>
        <item x="1541"/>
        <item x="1839"/>
        <item x="371"/>
        <item x="1648"/>
        <item x="1047"/>
        <item x="823"/>
        <item x="1043"/>
        <item x="383"/>
        <item x="39"/>
        <item x="1766"/>
        <item x="18"/>
        <item x="1512"/>
        <item x="674"/>
        <item x="1421"/>
        <item x="305"/>
        <item x="1001"/>
        <item x="1522"/>
        <item x="425"/>
        <item x="165"/>
        <item x="1205"/>
        <item x="71"/>
        <item x="1862"/>
        <item x="633"/>
        <item x="3"/>
        <item x="505"/>
        <item x="764"/>
        <item x="1142"/>
        <item x="1044"/>
        <item x="496"/>
        <item x="1613"/>
        <item x="98"/>
        <item x="1183"/>
        <item x="1755"/>
        <item x="495"/>
        <item x="1032"/>
        <item x="1609"/>
        <item x="1170"/>
        <item x="680"/>
        <item x="68"/>
        <item x="1685"/>
        <item x="1549"/>
        <item x="912"/>
        <item x="230"/>
        <item x="1199"/>
        <item x="1224"/>
        <item x="4"/>
        <item x="805"/>
        <item x="498"/>
        <item x="861"/>
        <item x="1381"/>
        <item x="857"/>
        <item x="380"/>
        <item x="1804"/>
        <item x="1446"/>
        <item x="1093"/>
        <item x="1145"/>
        <item x="83"/>
        <item x="1704"/>
        <item x="993"/>
        <item x="1664"/>
        <item x="1592"/>
        <item x="1002"/>
        <item x="434"/>
        <item x="1726"/>
        <item x="1153"/>
        <item x="1859"/>
        <item x="0"/>
        <item x="688"/>
        <item x="1245"/>
        <item x="739"/>
        <item x="1765"/>
        <item x="1059"/>
        <item x="438"/>
        <item x="660"/>
        <item x="942"/>
        <item x="1852"/>
        <item x="275"/>
        <item x="262"/>
        <item x="1509"/>
        <item x="1751"/>
        <item x="14"/>
        <item x="1391"/>
        <item x="884"/>
        <item x="1429"/>
        <item x="207"/>
        <item x="311"/>
        <item x="545"/>
        <item x="629"/>
        <item x="841"/>
        <item x="316"/>
        <item x="569"/>
        <item x="1131"/>
        <item x="216"/>
        <item x="1580"/>
        <item x="1696"/>
        <item x="971"/>
        <item x="763"/>
        <item x="1725"/>
        <item x="1753"/>
        <item x="1518"/>
        <item x="972"/>
        <item x="1163"/>
        <item x="1211"/>
        <item x="1176"/>
        <item x="1650"/>
        <item x="1119"/>
        <item x="52"/>
        <item x="1233"/>
        <item x="928"/>
        <item x="131"/>
        <item x="1758"/>
        <item x="1500"/>
        <item x="845"/>
        <item x="1393"/>
        <item x="915"/>
        <item x="1076"/>
        <item x="1738"/>
        <item x="635"/>
        <item x="1667"/>
        <item x="874"/>
        <item x="30"/>
        <item x="1631"/>
        <item x="440"/>
        <item x="526"/>
        <item x="430"/>
        <item x="669"/>
        <item x="587"/>
        <item x="1848"/>
        <item x="1792"/>
        <item x="1301"/>
        <item x="1668"/>
        <item x="1383"/>
        <item x="1624"/>
        <item x="351"/>
        <item x="1332"/>
        <item x="1563"/>
        <item x="1480"/>
        <item x="533"/>
        <item x="832"/>
        <item x="761"/>
        <item x="50"/>
        <item x="549"/>
        <item x="1394"/>
        <item x="1525"/>
        <item x="528"/>
        <item x="738"/>
        <item x="1810"/>
        <item x="1302"/>
        <item x="1737"/>
        <item x="626"/>
        <item x="426"/>
        <item x="1524"/>
        <item x="220"/>
        <item x="1071"/>
        <item x="1456"/>
        <item x="1025"/>
        <item x="737"/>
        <item x="1236"/>
        <item x="572"/>
        <item x="1344"/>
        <item x="1846"/>
        <item x="749"/>
        <item x="1227"/>
        <item x="1212"/>
        <item x="684"/>
        <item x="1536"/>
        <item x="1887"/>
        <item x="79"/>
        <item x="293"/>
        <item x="283"/>
        <item x="774"/>
        <item x="809"/>
        <item x="771"/>
        <item x="588"/>
        <item x="519"/>
        <item x="777"/>
        <item x="1752"/>
        <item x="393"/>
        <item x="1132"/>
        <item x="1514"/>
        <item x="1006"/>
        <item x="1410"/>
        <item x="1822"/>
        <item x="1261"/>
        <item x="214"/>
        <item x="930"/>
        <item x="342"/>
        <item x="1280"/>
        <item x="760"/>
        <item x="353"/>
        <item x="1229"/>
        <item x="1472"/>
        <item x="1409"/>
        <item x="1568"/>
        <item x="1730"/>
        <item x="899"/>
        <item x="1412"/>
        <item x="389"/>
        <item x="1449"/>
        <item x="575"/>
        <item x="304"/>
        <item x="1670"/>
        <item x="745"/>
        <item x="1100"/>
        <item x="233"/>
        <item x="516"/>
        <item x="1049"/>
        <item x="742"/>
        <item x="1694"/>
        <item x="822"/>
        <item x="48"/>
        <item x="69"/>
        <item x="292"/>
        <item x="1754"/>
        <item x="589"/>
        <item x="1451"/>
        <item x="429"/>
        <item x="248"/>
        <item x="1358"/>
        <item x="1497"/>
        <item x="740"/>
        <item x="366"/>
        <item x="1803"/>
        <item x="1185"/>
        <item x="5"/>
        <item x="1539"/>
        <item x="361"/>
        <item x="1842"/>
        <item x="751"/>
        <item x="1023"/>
        <item x="506"/>
        <item x="1015"/>
        <item x="1431"/>
        <item x="1482"/>
        <item x="752"/>
        <item x="1878"/>
        <item x="416"/>
        <item x="16"/>
        <item x="1850"/>
        <item x="1091"/>
        <item x="922"/>
        <item x="341"/>
        <item x="1769"/>
        <item x="628"/>
        <item x="1567"/>
        <item x="486"/>
        <item x="923"/>
        <item x="509"/>
        <item x="1056"/>
        <item x="630"/>
        <item x="1165"/>
        <item x="1418"/>
        <item x="1027"/>
        <item x="12"/>
        <item x="35"/>
        <item x="1452"/>
        <item x="531"/>
        <item x="1707"/>
        <item x="502"/>
        <item x="1560"/>
        <item x="28"/>
        <item x="707"/>
        <item x="1671"/>
        <item x="1167"/>
        <item x="933"/>
        <item x="478"/>
        <item x="1426"/>
        <item x="1847"/>
        <item x="1327"/>
        <item x="1697"/>
        <item x="174"/>
        <item x="276"/>
        <item x="1614"/>
        <item x="476"/>
        <item x="1216"/>
        <item x="880"/>
        <item x="1166"/>
        <item x="45"/>
        <item x="1532"/>
        <item x="1799"/>
        <item x="1503"/>
        <item x="632"/>
        <item x="1856"/>
        <item x="1143"/>
        <item x="1345"/>
        <item x="1174"/>
        <item x="263"/>
        <item x="1476"/>
        <item x="315"/>
        <item x="1502"/>
        <item x="543"/>
        <item x="1324"/>
        <item x="444"/>
        <item x="309"/>
        <item x="1443"/>
        <item x="1316"/>
        <item x="368"/>
        <item x="1595"/>
        <item x="1168"/>
        <item x="591"/>
        <item x="1272"/>
        <item x="1315"/>
        <item x="917"/>
        <item x="564"/>
        <item x="1493"/>
        <item x="704"/>
        <item x="1785"/>
        <item x="885"/>
        <item x="1722"/>
        <item x="1587"/>
        <item x="15"/>
        <item x="1273"/>
        <item x="308"/>
        <item x="1061"/>
        <item x="784"/>
        <item x="265"/>
        <item x="1292"/>
        <item x="936"/>
        <item x="1593"/>
        <item x="1219"/>
        <item x="642"/>
        <item x="1334"/>
        <item x="247"/>
        <item x="1282"/>
        <item x="115"/>
        <item x="356"/>
        <item x="144"/>
        <item x="141"/>
        <item x="42"/>
        <item x="693"/>
        <item x="1484"/>
        <item x="910"/>
        <item x="491"/>
        <item x="420"/>
        <item x="1559"/>
        <item x="1821"/>
        <item x="949"/>
        <item x="1757"/>
        <item x="428"/>
        <item x="1284"/>
        <item x="518"/>
        <item x="1459"/>
        <item x="659"/>
        <item x="1600"/>
        <item x="1033"/>
        <item x="89"/>
        <item x="1262"/>
        <item x="896"/>
        <item x="1295"/>
        <item x="1086"/>
        <item x="617"/>
        <item x="700"/>
        <item x="1802"/>
        <item x="1836"/>
        <item x="539"/>
        <item x="1164"/>
        <item x="1399"/>
        <item x="1321"/>
        <item x="225"/>
        <item x="1468"/>
        <item x="1003"/>
        <item x="1040"/>
        <item x="561"/>
        <item x="1328"/>
        <item x="918"/>
        <item x="1677"/>
        <item x="1018"/>
        <item x="1577"/>
        <item x="1169"/>
        <item x="758"/>
        <item x="1259"/>
        <item x="49"/>
        <item x="397"/>
        <item x="595"/>
        <item x="70"/>
        <item x="1051"/>
        <item x="658"/>
        <item x="100"/>
        <item x="1116"/>
        <item x="125"/>
        <item x="172"/>
        <item x="621"/>
        <item x="1780"/>
        <item x="705"/>
        <item x="1436"/>
        <item x="106"/>
        <item x="1740"/>
        <item x="1326"/>
        <item x="846"/>
        <item x="1835"/>
        <item x="1515"/>
        <item x="1526"/>
        <item x="1419"/>
        <item x="1630"/>
        <item x="281"/>
        <item x="1109"/>
        <item x="976"/>
        <item x="1584"/>
        <item x="1248"/>
        <item x="1552"/>
        <item x="1405"/>
        <item x="325"/>
        <item x="1576"/>
        <item x="1777"/>
        <item x="791"/>
        <item x="239"/>
        <item x="1739"/>
        <item x="167"/>
        <item x="951"/>
        <item x="1492"/>
        <item x="1879"/>
        <item x="828"/>
        <item x="1376"/>
        <item x="780"/>
        <item x="1728"/>
        <item x="562"/>
        <item x="1655"/>
        <item x="508"/>
        <item x="1495"/>
        <item x="849"/>
        <item x="1034"/>
        <item x="387"/>
        <item x="34"/>
        <item x="1829"/>
        <item x="1038"/>
        <item x="555"/>
        <item x="656"/>
        <item x="941"/>
        <item x="977"/>
        <item x="436"/>
        <item x="1654"/>
        <item x="92"/>
        <item x="364"/>
        <item x="1089"/>
        <item x="1095"/>
        <item x="237"/>
        <item x="51"/>
        <item x="558"/>
        <item x="1440"/>
        <item x="462"/>
        <item x="1649"/>
        <item x="1565"/>
        <item x="1682"/>
        <item x="708"/>
        <item x="1673"/>
        <item x="105"/>
        <item x="1869"/>
        <item x="390"/>
        <item x="566"/>
        <item x="872"/>
        <item x="1843"/>
        <item x="1125"/>
        <item x="970"/>
        <item x="199"/>
        <item x="1441"/>
        <item x="1589"/>
        <item x="374"/>
        <item x="1286"/>
        <item x="1279"/>
        <item x="867"/>
        <item x="72"/>
        <item x="468"/>
        <item x="1579"/>
        <item x="403"/>
        <item x="1535"/>
        <item x="1293"/>
        <item x="1644"/>
        <item x="1065"/>
        <item x="500"/>
        <item x="1099"/>
        <item x="975"/>
        <item x="282"/>
        <item x="1030"/>
        <item x="485"/>
        <item x="348"/>
        <item x="261"/>
        <item x="855"/>
        <item x="385"/>
        <item x="1618"/>
        <item x="893"/>
        <item x="982"/>
        <item x="1204"/>
        <item x="1827"/>
        <item x="1377"/>
        <item x="94"/>
        <item x="1090"/>
        <item x="1801"/>
        <item x="1583"/>
        <item x="1266"/>
        <item x="1712"/>
        <item x="32"/>
        <item x="1434"/>
        <item x="388"/>
        <item x="431"/>
        <item x="847"/>
        <item x="767"/>
        <item x="340"/>
        <item x="1732"/>
        <item x="1474"/>
        <item x="156"/>
        <item x="1126"/>
        <item x="904"/>
        <item x="210"/>
        <item x="41"/>
        <item x="956"/>
        <item x="13"/>
        <item x="1473"/>
        <item x="670"/>
        <item x="339"/>
        <item x="11"/>
        <item x="638"/>
        <item x="307"/>
        <item x="1037"/>
        <item x="1504"/>
        <item x="563"/>
        <item x="1855"/>
        <item x="1610"/>
        <item x="1330"/>
        <item x="567"/>
        <item x="1188"/>
        <item x="691"/>
        <item x="619"/>
        <item x="1575"/>
        <item x="1556"/>
        <item x="1194"/>
        <item x="1371"/>
        <item x="1706"/>
        <item x="111"/>
        <item x="1834"/>
        <item x="47"/>
        <item x="1546"/>
        <item x="1687"/>
        <item x="186"/>
        <item x="266"/>
        <item x="979"/>
        <item x="453"/>
        <item x="231"/>
        <item x="965"/>
        <item x="185"/>
        <item x="1433"/>
        <item x="467"/>
        <item x="1825"/>
        <item x="1427"/>
        <item x="290"/>
        <item x="197"/>
        <item x="198"/>
        <item x="418"/>
        <item x="477"/>
        <item x="177"/>
        <item x="813"/>
        <item x="980"/>
        <item x="1513"/>
        <item x="844"/>
        <item x="218"/>
        <item x="76"/>
        <item x="839"/>
        <item x="1615"/>
        <item x="811"/>
        <item x="170"/>
        <item x="413"/>
        <item x="552"/>
        <item x="1096"/>
        <item x="826"/>
        <item x="1783"/>
        <item x="1300"/>
        <item x="1703"/>
        <item x="1889"/>
        <item x="1635"/>
        <item x="991"/>
        <item x="1659"/>
        <item x="750"/>
        <item x="1369"/>
        <item x="672"/>
        <item x="882"/>
        <item x="61"/>
        <item x="851"/>
        <item x="1213"/>
        <item x="470"/>
        <item x="1423"/>
        <item x="1052"/>
        <item x="712"/>
        <item x="987"/>
        <item x="1364"/>
        <item x="876"/>
        <item x="1517"/>
        <item x="1675"/>
        <item x="1458"/>
        <item x="796"/>
        <item x="727"/>
        <item x="527"/>
        <item x="201"/>
        <item x="294"/>
        <item x="352"/>
        <item x="927"/>
        <item x="1530"/>
        <item x="252"/>
        <item x="22"/>
        <item x="1490"/>
        <item x="1507"/>
        <item x="540"/>
        <item x="29"/>
        <item x="627"/>
        <item x="1555"/>
        <item x="1039"/>
        <item x="359"/>
        <item x="973"/>
        <item x="1643"/>
        <item x="299"/>
        <item x="532"/>
        <item x="997"/>
        <item x="1223"/>
        <item x="834"/>
        <item x="1347"/>
        <item x="345"/>
        <item x="960"/>
        <item x="377"/>
        <item x="938"/>
        <item x="715"/>
        <item x="1438"/>
        <item x="608"/>
        <item x="1010"/>
        <item x="810"/>
        <item x="195"/>
        <item x="1118"/>
        <item x="1881"/>
        <item x="1019"/>
        <item x="1486"/>
        <item x="1807"/>
        <item x="1505"/>
        <item x="1506"/>
        <item x="243"/>
        <item x="337"/>
        <item x="484"/>
        <item x="1460"/>
        <item x="1082"/>
        <item x="492"/>
        <item x="284"/>
        <item x="1000"/>
        <item x="1867"/>
        <item x="446"/>
        <item x="1561"/>
        <item x="795"/>
        <item x="1462"/>
        <item x="274"/>
        <item x="1291"/>
        <item x="943"/>
        <item x="964"/>
        <item x="1736"/>
        <item x="1243"/>
        <item x="152"/>
        <item x="1720"/>
        <item x="996"/>
        <item x="1432"/>
        <item x="1384"/>
        <item x="862"/>
        <item x="1159"/>
        <item x="1750"/>
        <item x="668"/>
        <item x="711"/>
        <item x="1024"/>
        <item x="1070"/>
        <item x="697"/>
        <item x="798"/>
        <item x="1875"/>
        <item x="1179"/>
        <item x="378"/>
        <item x="1267"/>
        <item x="983"/>
        <item x="622"/>
        <item x="1743"/>
        <item x="546"/>
        <item x="648"/>
        <item x="410"/>
        <item x="286"/>
        <item x="926"/>
        <item x="865"/>
        <item x="634"/>
        <item x="1721"/>
        <item x="1853"/>
        <item x="1108"/>
        <item x="1374"/>
        <item x="612"/>
        <item x="449"/>
        <item x="757"/>
        <item x="1336"/>
        <item x="1226"/>
        <item x="550"/>
        <item x="696"/>
        <item x="1386"/>
        <item x="82"/>
        <item x="1251"/>
        <item x="1363"/>
        <item x="1062"/>
        <item x="785"/>
        <item x="1041"/>
        <item x="1417"/>
        <item x="1691"/>
        <item x="1478"/>
        <item x="93"/>
        <item x="1317"/>
        <item x="314"/>
        <item x="1057"/>
        <item x="8"/>
        <item x="848"/>
        <item x="1388"/>
        <item x="661"/>
        <item x="959"/>
        <item x="836"/>
        <item x="675"/>
        <item x="654"/>
        <item x="606"/>
        <item x="149"/>
        <item x="765"/>
        <item x="164"/>
        <item x="408"/>
        <item x="1353"/>
        <item x="1085"/>
        <item x="1274"/>
        <item x="538"/>
        <item x="962"/>
        <item x="1759"/>
        <item x="1661"/>
        <item x="1669"/>
        <item x="1135"/>
        <item x="1808"/>
        <item x="1139"/>
        <item x="579"/>
        <item x="319"/>
        <item x="743"/>
        <item x="578"/>
        <item x="582"/>
        <item x="817"/>
        <item x="322"/>
        <item x="102"/>
        <item x="86"/>
        <item x="535"/>
        <item x="726"/>
        <item x="1746"/>
        <item x="331"/>
        <item x="1844"/>
        <item x="981"/>
        <item x="205"/>
        <item x="1298"/>
        <item x="565"/>
        <item x="419"/>
        <item x="1069"/>
        <item x="1570"/>
        <item x="146"/>
        <item x="65"/>
        <item x="689"/>
        <item x="1397"/>
        <item x="1122"/>
        <item x="90"/>
        <item x="400"/>
        <item x="1396"/>
        <item x="399"/>
        <item x="450"/>
        <item x="955"/>
        <item x="95"/>
        <item x="1832"/>
        <item x="1073"/>
        <item x="682"/>
        <item x="168"/>
        <item x="1824"/>
        <item x="1709"/>
        <item x="142"/>
        <item x="10"/>
        <item x="778"/>
        <item x="1854"/>
        <item x="730"/>
        <item x="140"/>
        <item x="1158"/>
        <item x="913"/>
        <item x="1558"/>
        <item x="1307"/>
        <item x="458"/>
        <item x="463"/>
        <item x="433"/>
        <item x="640"/>
        <item x="990"/>
        <item x="909"/>
        <item x="501"/>
        <item x="1619"/>
        <item x="989"/>
        <item x="1501"/>
        <item x="33"/>
        <item x="560"/>
        <item x="1815"/>
        <item x="1422"/>
        <item x="1275"/>
        <item x="1313"/>
        <item x="1398"/>
        <item x="1741"/>
        <item x="1382"/>
        <item x="277"/>
        <item x="138"/>
        <item x="67"/>
        <item x="232"/>
        <item x="1840"/>
        <item x="110"/>
        <item x="1465"/>
        <item x="38"/>
        <item x="1605"/>
        <item x="269"/>
        <item x="995"/>
        <item x="338"/>
        <item x="1538"/>
        <item x="411"/>
        <item x="1209"/>
        <item x="384"/>
        <item x="291"/>
        <item x="1189"/>
        <item x="946"/>
        <item x="1545"/>
        <item x="1050"/>
        <item x="1318"/>
        <item x="1678"/>
        <item x="66"/>
        <item x="1342"/>
        <item x="84"/>
        <item x="1411"/>
        <item x="952"/>
        <item x="245"/>
        <item x="1289"/>
        <item x="1674"/>
        <item x="1475"/>
        <item x="350"/>
        <item x="1489"/>
        <item x="1851"/>
        <item x="1107"/>
        <item x="883"/>
        <item x="944"/>
        <item x="1838"/>
        <item x="1124"/>
        <item x="1186"/>
        <item x="1325"/>
        <item x="1481"/>
        <item x="1232"/>
        <item x="1588"/>
        <item x="1742"/>
        <item x="934"/>
        <item x="911"/>
        <item x="1689"/>
        <item x="1140"/>
        <item x="381"/>
        <item x="645"/>
        <item x="879"/>
        <item x="62"/>
        <item x="1663"/>
        <item x="690"/>
        <item x="238"/>
        <item x="1303"/>
        <item x="1181"/>
        <item x="1112"/>
        <item x="1498"/>
        <item x="333"/>
        <item x="1860"/>
        <item x="181"/>
        <item x="1823"/>
        <item x="1800"/>
        <item x="1355"/>
        <item x="806"/>
        <item x="1290"/>
        <item x="1081"/>
        <item x="271"/>
        <item x="196"/>
        <item x="1406"/>
        <item x="592"/>
        <item x="1323"/>
        <item x="1464"/>
        <item x="898"/>
        <item x="766"/>
        <item x="1277"/>
        <item x="1312"/>
        <item x="714"/>
        <item x="64"/>
        <item x="1858"/>
        <item x="1"/>
        <item x="1608"/>
        <item x="1367"/>
        <item x="916"/>
        <item x="44"/>
        <item x="529"/>
        <item x="1329"/>
        <item x="1590"/>
        <item x="226"/>
        <item x="735"/>
        <item x="1437"/>
        <item x="924"/>
        <item x="1601"/>
        <item x="24"/>
        <item t="default"/>
      </items>
    </pivotField>
    <pivotField showAll="0"/>
  </pivotFields>
  <rowItems count="1">
    <i/>
  </rowItems>
  <colFields count="1">
    <field x="-2"/>
  </colFields>
  <colItems count="2">
    <i>
      <x/>
    </i>
    <i i="1">
      <x v="1"/>
    </i>
  </colItems>
  <dataFields count="2">
    <dataField name="Sum of Educational_Level" fld="11" baseField="0" baseItem="0"/>
    <dataField name="Sum of Credit_Scor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9875DF-4436-467E-8577-3FB8F9A368E7}" name="PivotTable1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0:H3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Income_Stability" fld="1"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 dataset 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96000-34AD-46F8-86E8-8E13603EBC88}" name="PivotTable10"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K2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Months_with_Bank"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an dataset 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C9AD3-506B-4148-B294-91952A22FC51}" name="PivotTable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0" firstHeaderRow="1" firstDataRow="1" firstDataCol="1"/>
  <pivotFields count="16">
    <pivotField showAll="0"/>
    <pivotField axis="axisRow" showAll="0">
      <items count="7">
        <item x="5"/>
        <item x="4"/>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Limit_Balance"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B57670-452A-41A1-99C0-C3DE2D1FE5DE}" name="PivotTable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6">
    <pivotField showAll="0"/>
    <pivotField axis="axisRow" showAll="0">
      <items count="7">
        <item x="5"/>
        <item x="4"/>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Average of Credit_Score" fld="14" subtotal="average"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0BA73B-3B65-4C7C-A1E0-2F33B9CE1114}" name="PivotTable9"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3:H26" firstHeaderRow="1" firstDataRow="1" firstDataCol="1"/>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Average of Months_with_Bank" fld="10" subtotal="average" baseField="15"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1C9BC5-0843-4EF7-A1BD-955B955BA65C}" name="PivotTable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3:E64" firstHeaderRow="1" firstDataRow="1" firstDataCol="1"/>
  <pivotFields count="16">
    <pivotField showAll="0"/>
    <pivotField showAll="0"/>
    <pivotField showAll="0"/>
    <pivotField axis="axisRow" showAll="0">
      <items count="51">
        <item x="45"/>
        <item x="43"/>
        <item x="39"/>
        <item x="12"/>
        <item x="28"/>
        <item x="14"/>
        <item x="2"/>
        <item x="38"/>
        <item x="41"/>
        <item x="36"/>
        <item x="44"/>
        <item x="25"/>
        <item x="1"/>
        <item x="35"/>
        <item x="5"/>
        <item x="18"/>
        <item x="19"/>
        <item x="0"/>
        <item x="34"/>
        <item x="30"/>
        <item x="10"/>
        <item x="33"/>
        <item x="21"/>
        <item x="3"/>
        <item x="48"/>
        <item x="37"/>
        <item x="13"/>
        <item x="29"/>
        <item x="46"/>
        <item x="15"/>
        <item x="22"/>
        <item x="7"/>
        <item x="9"/>
        <item x="42"/>
        <item x="49"/>
        <item x="40"/>
        <item x="17"/>
        <item x="16"/>
        <item x="31"/>
        <item x="26"/>
        <item x="24"/>
        <item x="6"/>
        <item x="4"/>
        <item x="8"/>
        <item x="20"/>
        <item x="47"/>
        <item x="32"/>
        <item x="23"/>
        <item x="11"/>
        <item x="2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Late_Payment_Last_Year" fld="7" subtotal="average"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D194E1-29E1-46E6-A32E-1416198ADD4C}" name="PivotTable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8"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dataField="1" showAll="0"/>
  </pivotFields>
  <rowFields count="1">
    <field x="11"/>
  </rowFields>
  <rowItems count="5">
    <i>
      <x/>
    </i>
    <i>
      <x v="1"/>
    </i>
    <i>
      <x v="2"/>
    </i>
    <i>
      <x v="3"/>
    </i>
    <i t="grand">
      <x/>
    </i>
  </rowItems>
  <colItems count="1">
    <i/>
  </colItems>
  <dataFields count="1">
    <dataField name="Count of Default" fld="15" subtotal="count" baseField="1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0CF221-8C2A-47A4-87FD-D4875D87BEEE}" name="PivotTable3"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7" firstHeaderRow="1" firstDataRow="1" firstDataCol="1"/>
  <pivotFields count="16">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12"/>
  </rowFields>
  <rowItems count="4">
    <i>
      <x/>
    </i>
    <i>
      <x v="1"/>
    </i>
    <i>
      <x v="2"/>
    </i>
    <i t="grand">
      <x/>
    </i>
  </rowItems>
  <colItems count="1">
    <i/>
  </colItems>
  <dataFields count="1">
    <dataField name="Average of Utilization_Rate" fld="6" subtotal="average" baseField="12"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3EED29-15CF-4E1D-A58D-F96237A0F0A1}"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3:H18"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dataField="1" showAll="0"/>
    <pivotField showAll="0"/>
  </pivotFields>
  <rowFields count="1">
    <field x="13"/>
  </rowFields>
  <rowItems count="5">
    <i>
      <x/>
    </i>
    <i>
      <x v="1"/>
    </i>
    <i>
      <x v="2"/>
    </i>
    <i>
      <x v="3"/>
    </i>
    <i t="grand">
      <x/>
    </i>
  </rowItems>
  <colItems count="1">
    <i/>
  </colItems>
  <dataFields count="1">
    <dataField name="Average of Credit_Score" fld="14" subtotal="average" baseField="1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20C2D2-E041-4B6D-B7ED-7A8BA78FB45B}" name="PivotTable5"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0" firstHeaderRow="1" firstDataRow="1" firstDataCol="1"/>
  <pivotFields count="16">
    <pivotField showAll="0"/>
    <pivotField axis="axisRow" showAll="0">
      <items count="7">
        <item x="5"/>
        <item x="4"/>
        <item x="1"/>
        <item x="2"/>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Average of Income_Stability" fld="5" subtotal="average"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FA30E932-54A3-47E3-9A11-8760056260FC}" sourceName="[table1].[Marrital_Status]">
  <data>
    <olap pivotCacheId="2026041614">
      <levels count="2">
        <level uniqueName="[table1].[Marrital_Status].[(All)]" sourceCaption="(All)" count="0"/>
        <level uniqueName="[table1].[Marrital_Status].[Marrital_Status]" sourceCaption="Marrital_Status" count="3">
          <ranges>
            <range startItem="0">
              <i n="[table1].[Marrital_Status].&amp;[1]" c="1"/>
              <i n="[table1].[Marrital_Status].&amp;[2]" c="2"/>
              <i n="[table1].[Marrital_Status].&amp;[3]" c="3"/>
            </range>
          </ranges>
        </level>
      </levels>
      <selections count="1">
        <selection n="[table1].[Marrital_Status].&amp;[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tilization_Rate" xr10:uid="{BE9FB13A-44C1-4317-8BC9-0762E2026CD7}" sourceName="[table1].[Utilization_Rate]">
  <data>
    <olap pivotCacheId="2026041614">
      <levels count="2">
        <level uniqueName="[table1].[Utilization_Rate].[(All)]" sourceCaption="(All)" count="0"/>
        <level uniqueName="[table1].[Utilization_Rate].[Utilization_Rate]" sourceCaption="Utilization_Rate" count="1649">
          <ranges>
            <range startItem="0">
              <i n="[table1].[Utilization_Rate].&amp;[0]" c="0"/>
              <i n="[table1].[Utilization_Rate].&amp;[6.4E-3]" c="0.0064"/>
              <i n="[table1].[Utilization_Rate].&amp;[7.E-3]" c="0.007"/>
              <i n="[table1].[Utilization_Rate].&amp;[7.6E-3]" c="0.0076"/>
              <i n="[table1].[Utilization_Rate].&amp;[9.4E-3]" c="0.0094"/>
              <i n="[table1].[Utilization_Rate].&amp;[1.07E-2]" c="0.0107"/>
              <i n="[table1].[Utilization_Rate].&amp;[1.19E-2]" c="0.0119"/>
              <i n="[table1].[Utilization_Rate].&amp;[1.22E-2]" c="0.0122"/>
              <i n="[table1].[Utilization_Rate].&amp;[1.3E-2]" c="0.013"/>
              <i n="[table1].[Utilization_Rate].&amp;[1.34E-2]" c="0.0134"/>
              <i n="[table1].[Utilization_Rate].&amp;[1.63E-2]" c="0.0163"/>
              <i n="[table1].[Utilization_Rate].&amp;[1.75E-2]" c="0.0175"/>
              <i n="[table1].[Utilization_Rate].&amp;[1.77E-2]" c="0.0177"/>
              <i n="[table1].[Utilization_Rate].&amp;[1.79E-2]" c="0.0179"/>
              <i n="[table1].[Utilization_Rate].&amp;[1.81E-2]" c="0.0181"/>
              <i n="[table1].[Utilization_Rate].&amp;[1.86E-2]" c="0.0186"/>
              <i n="[table1].[Utilization_Rate].&amp;[1.97E-2]" c="0.0197"/>
              <i n="[table1].[Utilization_Rate].&amp;[2.02E-2]" c="0.0202"/>
              <i n="[table1].[Utilization_Rate].&amp;[2.05E-2]" c="0.0205"/>
              <i n="[table1].[Utilization_Rate].&amp;[2.12E-2]" c="0.0212"/>
              <i n="[table1].[Utilization_Rate].&amp;[2.22E-2]" c="0.0222"/>
              <i n="[table1].[Utilization_Rate].&amp;[2.28E-2]" c="0.0228"/>
              <i n="[table1].[Utilization_Rate].&amp;[2.4E-2]" c="0.024"/>
              <i n="[table1].[Utilization_Rate].&amp;[2.47E-2]" c="0.0247"/>
              <i n="[table1].[Utilization_Rate].&amp;[2.51E-2]" c="0.0251"/>
              <i n="[table1].[Utilization_Rate].&amp;[3.05E-2]" c="0.0305"/>
              <i n="[table1].[Utilization_Rate].&amp;[3.13E-2]" c="0.0313"/>
              <i n="[table1].[Utilization_Rate].&amp;[3.26E-2]" c="0.0326"/>
              <i n="[table1].[Utilization_Rate].&amp;[3.3E-2]" c="0.033"/>
              <i n="[table1].[Utilization_Rate].&amp;[3.32E-2]" c="0.0332"/>
              <i n="[table1].[Utilization_Rate].&amp;[3.38E-2]" c="0.0338"/>
              <i n="[table1].[Utilization_Rate].&amp;[3.46E-2]" c="0.0346"/>
              <i n="[table1].[Utilization_Rate].&amp;[3.63E-2]" c="0.0363"/>
              <i n="[table1].[Utilization_Rate].&amp;[4.14E-2]" c="0.0414"/>
              <i n="[table1].[Utilization_Rate].&amp;[4.19E-2]" c="0.0419"/>
              <i n="[table1].[Utilization_Rate].&amp;[4.33E-2]" c="0.0433"/>
              <i n="[table1].[Utilization_Rate].&amp;[4.38E-2]" c="0.0438"/>
              <i n="[table1].[Utilization_Rate].&amp;[4.54E-2]" c="0.0454"/>
              <i n="[table1].[Utilization_Rate].&amp;[4.62E-2]" c="0.0462"/>
              <i n="[table1].[Utilization_Rate].&amp;[4.76E-2]" c="0.0476"/>
              <i n="[table1].[Utilization_Rate].&amp;[4.83E-2]" c="0.0483"/>
              <i n="[table1].[Utilization_Rate].&amp;[4.86E-2]" c="0.0486"/>
              <i n="[table1].[Utilization_Rate].&amp;[4.96E-2]" c="0.0496"/>
              <i n="[table1].[Utilization_Rate].&amp;[4.97E-2]" c="0.0497"/>
              <i n="[table1].[Utilization_Rate].&amp;[5.01E-2]" c="0.0501"/>
              <i n="[table1].[Utilization_Rate].&amp;[5.03E-2]" c="0.0503"/>
              <i n="[table1].[Utilization_Rate].&amp;[5.1E-2]" c="0.051"/>
              <i n="[table1].[Utilization_Rate].&amp;[5.11E-2]" c="0.0511"/>
              <i n="[table1].[Utilization_Rate].&amp;[5.22E-2]" c="0.0522"/>
              <i n="[table1].[Utilization_Rate].&amp;[5.26E-2]" c="0.0526"/>
              <i n="[table1].[Utilization_Rate].&amp;[5.36E-2]" c="0.0536"/>
              <i n="[table1].[Utilization_Rate].&amp;[5.45E-2]" c="0.0545"/>
              <i n="[table1].[Utilization_Rate].&amp;[5.55E-2]" c="0.0555"/>
              <i n="[table1].[Utilization_Rate].&amp;[5.64E-2]" c="0.0564"/>
              <i n="[table1].[Utilization_Rate].&amp;[5.7E-2]" c="0.057"/>
              <i n="[table1].[Utilization_Rate].&amp;[5.73E-2]" c="0.0573"/>
              <i n="[table1].[Utilization_Rate].&amp;[5.74E-2]" c="0.0574"/>
              <i n="[table1].[Utilization_Rate].&amp;[6.02E-2]" c="0.0602"/>
              <i n="[table1].[Utilization_Rate].&amp;[6.21E-2]" c="0.0621"/>
              <i n="[table1].[Utilization_Rate].&amp;[6.29E-2]" c="0.0629"/>
              <i n="[table1].[Utilization_Rate].&amp;[6.31E-2]" c="0.0631"/>
              <i n="[table1].[Utilization_Rate].&amp;[6.46E-2]" c="0.0646"/>
              <i n="[table1].[Utilization_Rate].&amp;[6.58E-2]" c="0.0658"/>
              <i n="[table1].[Utilization_Rate].&amp;[6.68E-2]" c="0.0668"/>
              <i n="[table1].[Utilization_Rate].&amp;[6.89E-2]" c="0.0689"/>
              <i n="[table1].[Utilization_Rate].&amp;[7.03E-2]" c="0.0703"/>
              <i n="[table1].[Utilization_Rate].&amp;[7.04E-2]" c="0.0704"/>
              <i n="[table1].[Utilization_Rate].&amp;[7.14E-2]" c="0.0714"/>
              <i n="[table1].[Utilization_Rate].&amp;[7.16E-2]" c="0.0716"/>
              <i n="[table1].[Utilization_Rate].&amp;[7.35E-2]" c="0.0735"/>
              <i n="[table1].[Utilization_Rate].&amp;[7.38E-2]" c="0.0738"/>
              <i n="[table1].[Utilization_Rate].&amp;[7.5E-2]" c="0.075"/>
              <i n="[table1].[Utilization_Rate].&amp;[7.55E-2]" c="0.0755"/>
              <i n="[table1].[Utilization_Rate].&amp;[7.61E-2]" c="0.0761"/>
              <i n="[table1].[Utilization_Rate].&amp;[7.62E-2]" c="0.0762"/>
              <i n="[table1].[Utilization_Rate].&amp;[7.73E-2]" c="0.0773"/>
              <i n="[table1].[Utilization_Rate].&amp;[7.85E-2]" c="0.0785"/>
              <i n="[table1].[Utilization_Rate].&amp;[7.91E-2]" c="0.0791"/>
              <i n="[table1].[Utilization_Rate].&amp;[7.98E-2]" c="0.0798"/>
              <i n="[table1].[Utilization_Rate].&amp;[8.07E-2]" c="0.0807"/>
              <i n="[table1].[Utilization_Rate].&amp;[8.17E-2]" c="0.0817"/>
              <i n="[table1].[Utilization_Rate].&amp;[8.3E-2]" c="0.083"/>
              <i n="[table1].[Utilization_Rate].&amp;[8.33E-2]" c="0.0833"/>
              <i n="[table1].[Utilization_Rate].&amp;[8.44E-2]" c="0.0844"/>
              <i n="[table1].[Utilization_Rate].&amp;[8.52E-2]" c="0.0852"/>
              <i n="[table1].[Utilization_Rate].&amp;[8.61E-2]" c="0.0861"/>
              <i n="[table1].[Utilization_Rate].&amp;[8.68E-2]" c="0.0868"/>
              <i n="[table1].[Utilization_Rate].&amp;[8.69E-2]" c="0.0869"/>
              <i n="[table1].[Utilization_Rate].&amp;[8.73E-2]" c="0.0873"/>
              <i n="[table1].[Utilization_Rate].&amp;[8.75E-2]" c="0.0875"/>
              <i n="[table1].[Utilization_Rate].&amp;[8.88E-2]" c="0.0888"/>
              <i n="[table1].[Utilization_Rate].&amp;[8.93E-2]" c="0.0893"/>
              <i n="[table1].[Utilization_Rate].&amp;[9.03E-2]" c="0.0903"/>
              <i n="[table1].[Utilization_Rate].&amp;[9.04E-2]" c="0.0904"/>
              <i n="[table1].[Utilization_Rate].&amp;[9.05E-2]" c="0.0905"/>
              <i n="[table1].[Utilization_Rate].&amp;[9.06E-2]" c="0.0906"/>
              <i n="[table1].[Utilization_Rate].&amp;[9.18E-2]" c="0.0918"/>
              <i n="[table1].[Utilization_Rate].&amp;[9.2E-2]" c="0.092"/>
              <i n="[table1].[Utilization_Rate].&amp;[9.26E-2]" c="0.0926"/>
              <i n="[table1].[Utilization_Rate].&amp;[9.28E-2]" c="0.0928"/>
              <i n="[table1].[Utilization_Rate].&amp;[9.35E-2]" c="0.0935"/>
              <i n="[table1].[Utilization_Rate].&amp;[9.4E-2]" c="0.094"/>
              <i n="[table1].[Utilization_Rate].&amp;[9.58E-2]" c="0.0958"/>
              <i n="[table1].[Utilization_Rate].&amp;[9.61E-2]" c="0.0961"/>
              <i n="[table1].[Utilization_Rate].&amp;[9.66E-2]" c="0.0966"/>
              <i n="[table1].[Utilization_Rate].&amp;[9.69E-2]" c="0.0969"/>
              <i n="[table1].[Utilization_Rate].&amp;[9.85E-2]" c="0.0985"/>
              <i n="[table1].[Utilization_Rate].&amp;[9.86E-2]" c="0.0986"/>
              <i n="[table1].[Utilization_Rate].&amp;[9.91E-2]" c="0.0991"/>
              <i n="[table1].[Utilization_Rate].&amp;[9.97E-2]" c="0.0997"/>
              <i n="[table1].[Utilization_Rate].&amp;[1.005E-1]" c="0.1005"/>
              <i n="[table1].[Utilization_Rate].&amp;[1.009E-1]" c="0.1009"/>
              <i n="[table1].[Utilization_Rate].&amp;[1.016E-1]" c="0.1016"/>
              <i n="[table1].[Utilization_Rate].&amp;[1.03E-1]" c="0.103"/>
              <i n="[table1].[Utilization_Rate].&amp;[1.032E-1]" c="0.1032"/>
              <i n="[table1].[Utilization_Rate].&amp;[1.035E-1]" c="0.1035"/>
              <i n="[table1].[Utilization_Rate].&amp;[1.046E-1]" c="0.1046"/>
              <i n="[table1].[Utilization_Rate].&amp;[1.047E-1]" c="0.1047"/>
              <i n="[table1].[Utilization_Rate].&amp;[1.056E-1]" c="0.1056"/>
              <i n="[table1].[Utilization_Rate].&amp;[1.063E-1]" c="0.1063"/>
              <i n="[table1].[Utilization_Rate].&amp;[1.064E-1]" c="0.1064"/>
              <i n="[table1].[Utilization_Rate].&amp;[1.07E-1]" c="0.107"/>
              <i n="[table1].[Utilization_Rate].&amp;[1.073E-1]" c="0.1073"/>
              <i n="[table1].[Utilization_Rate].&amp;[1.076E-1]" c="0.1076"/>
              <i n="[table1].[Utilization_Rate].&amp;[1.081E-1]" c="0.1081"/>
              <i n="[table1].[Utilization_Rate].&amp;[1.083E-1]" c="0.1083"/>
              <i n="[table1].[Utilization_Rate].&amp;[1.1E-1]" c="0.11"/>
              <i n="[table1].[Utilization_Rate].&amp;[1.101E-1]" c="0.1101"/>
              <i n="[table1].[Utilization_Rate].&amp;[1.108E-1]" c="0.1108"/>
              <i n="[table1].[Utilization_Rate].&amp;[1.127E-1]" c="0.1127"/>
              <i n="[table1].[Utilization_Rate].&amp;[1.138E-1]" c="0.1138"/>
              <i n="[table1].[Utilization_Rate].&amp;[1.151E-1]" c="0.1151"/>
              <i n="[table1].[Utilization_Rate].&amp;[1.158E-1]" c="0.1158"/>
              <i n="[table1].[Utilization_Rate].&amp;[1.164E-1]" c="0.1164"/>
              <i n="[table1].[Utilization_Rate].&amp;[1.165E-1]" c="0.1165"/>
              <i n="[table1].[Utilization_Rate].&amp;[1.166E-1]" c="0.1166"/>
              <i n="[table1].[Utilization_Rate].&amp;[1.183E-1]" c="0.1183"/>
              <i n="[table1].[Utilization_Rate].&amp;[1.186E-1]" c="0.1186"/>
              <i n="[table1].[Utilization_Rate].&amp;[1.19E-1]" c="0.119"/>
              <i n="[table1].[Utilization_Rate].&amp;[1.191E-1]" c="0.1191"/>
              <i n="[table1].[Utilization_Rate].&amp;[1.195E-1]" c="0.1195"/>
              <i n="[table1].[Utilization_Rate].&amp;[1.197E-1]" c="0.1197"/>
              <i n="[table1].[Utilization_Rate].&amp;[1.209E-1]" c="0.1209"/>
              <i n="[table1].[Utilization_Rate].&amp;[1.211E-1]" c="0.1211"/>
              <i n="[table1].[Utilization_Rate].&amp;[1.212E-1]" c="0.1212"/>
              <i n="[table1].[Utilization_Rate].&amp;[1.223E-1]" c="0.1223"/>
              <i n="[table1].[Utilization_Rate].&amp;[1.229E-1]" c="0.1229"/>
              <i n="[table1].[Utilization_Rate].&amp;[1.237E-1]" c="0.1237"/>
              <i n="[table1].[Utilization_Rate].&amp;[1.242E-1]" c="0.1242"/>
              <i n="[table1].[Utilization_Rate].&amp;[1.246E-1]" c="0.1246"/>
              <i n="[table1].[Utilization_Rate].&amp;[1.251E-1]" c="0.1251"/>
              <i n="[table1].[Utilization_Rate].&amp;[1.254E-1]" c="0.1254"/>
              <i n="[table1].[Utilization_Rate].&amp;[1.272E-1]" c="0.1272"/>
              <i n="[table1].[Utilization_Rate].&amp;[1.276E-1]" c="0.1276"/>
              <i n="[table1].[Utilization_Rate].&amp;[1.277E-1]" c="0.1277"/>
              <i n="[table1].[Utilization_Rate].&amp;[1.286E-1]" c="0.1286"/>
              <i n="[table1].[Utilization_Rate].&amp;[1.296E-1]" c="0.1296"/>
              <i n="[table1].[Utilization_Rate].&amp;[1.297E-1]" c="0.1297"/>
              <i n="[table1].[Utilization_Rate].&amp;[1.305E-1]" c="0.1305"/>
              <i n="[table1].[Utilization_Rate].&amp;[1.306E-1]" c="0.1306"/>
              <i n="[table1].[Utilization_Rate].&amp;[1.307E-1]" c="0.1307"/>
              <i n="[table1].[Utilization_Rate].&amp;[1.312E-1]" c="0.1312"/>
              <i n="[table1].[Utilization_Rate].&amp;[1.321E-1]" c="0.1321"/>
              <i n="[table1].[Utilization_Rate].&amp;[1.323E-1]" c="0.1323"/>
              <i n="[table1].[Utilization_Rate].&amp;[1.344E-1]" c="0.1344"/>
              <i n="[table1].[Utilization_Rate].&amp;[1.345E-1]" c="0.1345"/>
              <i n="[table1].[Utilization_Rate].&amp;[1.348E-1]" c="0.1348"/>
              <i n="[table1].[Utilization_Rate].&amp;[1.351E-1]" c="0.1351"/>
              <i n="[table1].[Utilization_Rate].&amp;[1.357E-1]" c="0.1357"/>
              <i n="[table1].[Utilization_Rate].&amp;[1.359E-1]" c="0.1359"/>
              <i n="[table1].[Utilization_Rate].&amp;[1.362E-1]" c="0.1362"/>
              <i n="[table1].[Utilization_Rate].&amp;[1.37E-1]" c="0.137"/>
              <i n="[table1].[Utilization_Rate].&amp;[1.373E-1]" c="0.1373"/>
              <i n="[table1].[Utilization_Rate].&amp;[1.38E-1]" c="0.138"/>
              <i n="[table1].[Utilization_Rate].&amp;[1.387E-1]" c="0.1387"/>
              <i n="[table1].[Utilization_Rate].&amp;[1.395E-1]" c="0.1395"/>
              <i n="[table1].[Utilization_Rate].&amp;[1.397E-1]" c="0.1397"/>
              <i n="[table1].[Utilization_Rate].&amp;[1.403E-1]" c="0.1403"/>
              <i n="[table1].[Utilization_Rate].&amp;[1.41E-1]" c="0.141"/>
              <i n="[table1].[Utilization_Rate].&amp;[1.428E-1]" c="0.1428"/>
              <i n="[table1].[Utilization_Rate].&amp;[1.43E-1]" c="0.143"/>
              <i n="[table1].[Utilization_Rate].&amp;[1.432E-1]" c="0.1432"/>
              <i n="[table1].[Utilization_Rate].&amp;[1.44E-1]" c="0.144"/>
              <i n="[table1].[Utilization_Rate].&amp;[1.456E-1]" c="0.1456"/>
              <i n="[table1].[Utilization_Rate].&amp;[1.476E-1]" c="0.1476"/>
              <i n="[table1].[Utilization_Rate].&amp;[1.478E-1]" c="0.1478"/>
              <i n="[table1].[Utilization_Rate].&amp;[1.481E-1]" c="0.1481"/>
              <i n="[table1].[Utilization_Rate].&amp;[1.486E-1]" c="0.1486"/>
              <i n="[table1].[Utilization_Rate].&amp;[1.489E-1]" c="0.1489"/>
              <i n="[table1].[Utilization_Rate].&amp;[1.5E-1]" c="0.15"/>
              <i n="[table1].[Utilization_Rate].&amp;[1.514E-1]" c="0.1514"/>
              <i n="[table1].[Utilization_Rate].&amp;[1.52E-1]" c="0.152"/>
              <i n="[table1].[Utilization_Rate].&amp;[1.521E-1]" c="0.1521"/>
              <i n="[table1].[Utilization_Rate].&amp;[1.526E-1]" c="0.1526"/>
              <i n="[table1].[Utilization_Rate].&amp;[1.537E-1]" c="0.1537"/>
              <i n="[table1].[Utilization_Rate].&amp;[1.541E-1]" c="0.1541"/>
              <i n="[table1].[Utilization_Rate].&amp;[1.543E-1]" c="0.1543"/>
              <i n="[table1].[Utilization_Rate].&amp;[1.552E-1]" c="0.1552"/>
              <i n="[table1].[Utilization_Rate].&amp;[1.554E-1]" c="0.1554"/>
              <i n="[table1].[Utilization_Rate].&amp;[1.556E-1]" c="0.1556"/>
              <i n="[table1].[Utilization_Rate].&amp;[1.557E-1]" c="0.1557"/>
              <i n="[table1].[Utilization_Rate].&amp;[1.562E-1]" c="0.1562"/>
              <i n="[table1].[Utilization_Rate].&amp;[1.564E-1]" c="0.1564"/>
              <i n="[table1].[Utilization_Rate].&amp;[1.579E-1]" c="0.1579"/>
              <i n="[table1].[Utilization_Rate].&amp;[1.58E-1]" c="0.158"/>
              <i n="[table1].[Utilization_Rate].&amp;[1.588E-1]" c="0.1588"/>
              <i n="[table1].[Utilization_Rate].&amp;[1.594E-1]" c="0.1594"/>
              <i n="[table1].[Utilization_Rate].&amp;[1.598E-1]" c="0.1598"/>
              <i n="[table1].[Utilization_Rate].&amp;[1.602E-1]" c="0.1602"/>
              <i n="[table1].[Utilization_Rate].&amp;[1.606E-1]" c="0.1606"/>
              <i n="[table1].[Utilization_Rate].&amp;[1.607E-1]" c="0.1607"/>
              <i n="[table1].[Utilization_Rate].&amp;[1.612E-1]" c="0.1612"/>
              <i n="[table1].[Utilization_Rate].&amp;[1.627E-1]" c="0.1627"/>
              <i n="[table1].[Utilization_Rate].&amp;[1.628E-1]" c="0.1628"/>
              <i n="[table1].[Utilization_Rate].&amp;[1.63E-1]" c="0.163"/>
              <i n="[table1].[Utilization_Rate].&amp;[1.64E-1]" c="0.164"/>
              <i n="[table1].[Utilization_Rate].&amp;[1.644E-1]" c="0.1644"/>
              <i n="[table1].[Utilization_Rate].&amp;[1.646E-1]" c="0.1646"/>
              <i n="[table1].[Utilization_Rate].&amp;[1.651E-1]" c="0.1651"/>
              <i n="[table1].[Utilization_Rate].&amp;[1.652E-1]" c="0.1652"/>
              <i n="[table1].[Utilization_Rate].&amp;[1.656E-1]" c="0.1656"/>
              <i n="[table1].[Utilization_Rate].&amp;[1.658E-1]" c="0.1658"/>
              <i n="[table1].[Utilization_Rate].&amp;[1.667E-1]" c="0.1667"/>
              <i n="[table1].[Utilization_Rate].&amp;[1.673E-1]" c="0.1673"/>
              <i n="[table1].[Utilization_Rate].&amp;[1.677E-1]" c="0.1677"/>
              <i n="[table1].[Utilization_Rate].&amp;[1.678E-1]" c="0.1678"/>
              <i n="[table1].[Utilization_Rate].&amp;[1.684E-1]" c="0.1684"/>
              <i n="[table1].[Utilization_Rate].&amp;[1.693E-1]" c="0.1693"/>
              <i n="[table1].[Utilization_Rate].&amp;[1.702E-1]" c="0.1702"/>
              <i n="[table1].[Utilization_Rate].&amp;[1.711E-1]" c="0.1711"/>
              <i n="[table1].[Utilization_Rate].&amp;[1.715E-1]" c="0.1715"/>
              <i n="[table1].[Utilization_Rate].&amp;[1.718E-1]" c="0.1718"/>
              <i n="[table1].[Utilization_Rate].&amp;[1.73E-1]" c="0.173"/>
              <i n="[table1].[Utilization_Rate].&amp;[1.738E-1]" c="0.1738"/>
              <i n="[table1].[Utilization_Rate].&amp;[1.739E-1]" c="0.1739"/>
              <i n="[table1].[Utilization_Rate].&amp;[1.749E-1]" c="0.1749"/>
              <i n="[table1].[Utilization_Rate].&amp;[1.752E-1]" c="0.1752"/>
              <i n="[table1].[Utilization_Rate].&amp;[1.76E-1]" c="0.176"/>
              <i n="[table1].[Utilization_Rate].&amp;[1.763E-1]" c="0.1763"/>
              <i n="[table1].[Utilization_Rate].&amp;[1.769E-1]" c="0.1769"/>
              <i n="[table1].[Utilization_Rate].&amp;[1.772E-1]" c="0.1772"/>
              <i n="[table1].[Utilization_Rate].&amp;[1.773E-1]" c="0.1773"/>
              <i n="[table1].[Utilization_Rate].&amp;[1.786E-1]" c="0.1786"/>
              <i n="[table1].[Utilization_Rate].&amp;[1.791E-1]" c="0.1791"/>
              <i n="[table1].[Utilization_Rate].&amp;[1.795E-1]" c="0.1795"/>
              <i n="[table1].[Utilization_Rate].&amp;[1.796E-1]" c="0.1796"/>
              <i n="[table1].[Utilization_Rate].&amp;[1.798E-1]" c="0.1798"/>
              <i n="[table1].[Utilization_Rate].&amp;[1.8E-1]" c="0.18"/>
              <i n="[table1].[Utilization_Rate].&amp;[1.804E-1]" c="0.1804"/>
              <i n="[table1].[Utilization_Rate].&amp;[1.806E-1]" c="0.1806"/>
              <i n="[table1].[Utilization_Rate].&amp;[1.821E-1]" c="0.1821"/>
              <i n="[table1].[Utilization_Rate].&amp;[1.828E-1]" c="0.1828"/>
              <i n="[table1].[Utilization_Rate].&amp;[1.831E-1]" c="0.1831"/>
              <i n="[table1].[Utilization_Rate].&amp;[1.834E-1]" c="0.1834"/>
              <i n="[table1].[Utilization_Rate].&amp;[1.835E-1]" c="0.1835"/>
              <i n="[table1].[Utilization_Rate].&amp;[1.838E-1]" c="0.1838"/>
              <i n="[table1].[Utilization_Rate].&amp;[1.841E-1]" c="0.1841"/>
              <i n="[table1].[Utilization_Rate].&amp;[1.843E-1]" c="0.1843"/>
              <i n="[table1].[Utilization_Rate].&amp;[1.845E-1]" c="0.1845"/>
              <i n="[table1].[Utilization_Rate].&amp;[1.849E-1]" c="0.1849"/>
              <i n="[table1].[Utilization_Rate].&amp;[1.85E-1]" c="0.185"/>
              <i n="[table1].[Utilization_Rate].&amp;[1.851E-1]" c="0.1851"/>
              <i n="[table1].[Utilization_Rate].&amp;[1.856E-1]" c="0.1856"/>
              <i n="[table1].[Utilization_Rate].&amp;[1.863E-1]" c="0.1863"/>
              <i n="[table1].[Utilization_Rate].&amp;[1.866E-1]" c="0.1866"/>
              <i n="[table1].[Utilization_Rate].&amp;[1.877E-1]" c="0.1877"/>
              <i n="[table1].[Utilization_Rate].&amp;[1.884E-1]" c="0.1884"/>
              <i n="[table1].[Utilization_Rate].&amp;[1.885E-1]" c="0.1885"/>
              <i n="[table1].[Utilization_Rate].&amp;[1.886E-1]" c="0.1886"/>
              <i n="[table1].[Utilization_Rate].&amp;[1.887E-1]" c="0.1887"/>
              <i n="[table1].[Utilization_Rate].&amp;[1.893E-1]" c="0.1893"/>
              <i n="[table1].[Utilization_Rate].&amp;[1.894E-1]" c="0.1894"/>
              <i n="[table1].[Utilization_Rate].&amp;[1.896E-1]" c="0.1896"/>
              <i n="[table1].[Utilization_Rate].&amp;[1.897E-1]" c="0.1897"/>
              <i n="[table1].[Utilization_Rate].&amp;[1.901E-1]" c="0.1901"/>
              <i n="[table1].[Utilization_Rate].&amp;[1.905E-1]" c="0.1905"/>
              <i n="[table1].[Utilization_Rate].&amp;[1.907E-1]" c="0.1907"/>
              <i n="[table1].[Utilization_Rate].&amp;[1.911E-1]" c="0.1911"/>
              <i n="[table1].[Utilization_Rate].&amp;[1.912E-1]" c="0.1912"/>
              <i n="[table1].[Utilization_Rate].&amp;[1.918E-1]" c="0.1918"/>
              <i n="[table1].[Utilization_Rate].&amp;[1.929E-1]" c="0.1929"/>
              <i n="[table1].[Utilization_Rate].&amp;[1.934E-1]" c="0.1934"/>
              <i n="[table1].[Utilization_Rate].&amp;[1.939E-1]" c="0.1939"/>
              <i n="[table1].[Utilization_Rate].&amp;[1.949E-1]" c="0.1949"/>
              <i n="[table1].[Utilization_Rate].&amp;[1.951E-1]" c="0.1951"/>
              <i n="[table1].[Utilization_Rate].&amp;[1.953E-1]" c="0.1953"/>
              <i n="[table1].[Utilization_Rate].&amp;[1.957E-1]" c="0.1957"/>
              <i n="[table1].[Utilization_Rate].&amp;[1.959E-1]" c="0.1959"/>
              <i n="[table1].[Utilization_Rate].&amp;[1.96E-1]" c="0.196"/>
              <i n="[table1].[Utilization_Rate].&amp;[1.962E-1]" c="0.1962"/>
              <i n="[table1].[Utilization_Rate].&amp;[1.969E-1]" c="0.1969"/>
              <i n="[table1].[Utilization_Rate].&amp;[1.981E-1]" c="0.1981"/>
              <i n="[table1].[Utilization_Rate].&amp;[1.984E-1]" c="0.1984"/>
              <i n="[table1].[Utilization_Rate].&amp;[1.987E-1]" c="0.1987"/>
              <i n="[table1].[Utilization_Rate].&amp;[1.99E-1]" c="0.199"/>
              <i n="[table1].[Utilization_Rate].&amp;[2.006E-1]" c="0.2006"/>
              <i n="[table1].[Utilization_Rate].&amp;[2.007E-1]" c="0.2007"/>
              <i n="[table1].[Utilization_Rate].&amp;[2.01E-1]" c="0.201"/>
              <i n="[table1].[Utilization_Rate].&amp;[2.014E-1]" c="0.2014"/>
              <i n="[table1].[Utilization_Rate].&amp;[2.015E-1]" c="0.2015"/>
              <i n="[table1].[Utilization_Rate].&amp;[2.028E-1]" c="0.2028"/>
              <i n="[table1].[Utilization_Rate].&amp;[2.03E-1]" c="0.203"/>
              <i n="[table1].[Utilization_Rate].&amp;[2.031E-1]" c="0.2031"/>
              <i n="[table1].[Utilization_Rate].&amp;[2.033E-1]" c="0.2033"/>
              <i n="[table1].[Utilization_Rate].&amp;[2.034E-1]" c="0.2034"/>
              <i n="[table1].[Utilization_Rate].&amp;[2.038E-1]" c="0.2038"/>
              <i n="[table1].[Utilization_Rate].&amp;[2.043E-1]" c="0.2043"/>
              <i n="[table1].[Utilization_Rate].&amp;[2.044E-1]" c="0.2044"/>
              <i n="[table1].[Utilization_Rate].&amp;[2.047E-1]" c="0.2047"/>
              <i n="[table1].[Utilization_Rate].&amp;[2.049E-1]" c="0.2049"/>
              <i n="[table1].[Utilization_Rate].&amp;[2.053E-1]" c="0.2053"/>
              <i n="[table1].[Utilization_Rate].&amp;[2.054E-1]" c="0.2054"/>
              <i n="[table1].[Utilization_Rate].&amp;[2.056E-1]" c="0.2056"/>
              <i n="[table1].[Utilization_Rate].&amp;[2.059E-1]" c="0.2059"/>
              <i n="[table1].[Utilization_Rate].&amp;[2.06E-1]" c="0.206"/>
              <i n="[table1].[Utilization_Rate].&amp;[2.066E-1]" c="0.2066"/>
              <i n="[table1].[Utilization_Rate].&amp;[2.072E-1]" c="0.2072"/>
              <i n="[table1].[Utilization_Rate].&amp;[2.073E-1]" c="0.2073"/>
              <i n="[table1].[Utilization_Rate].&amp;[2.077E-1]" c="0.2077"/>
              <i n="[table1].[Utilization_Rate].&amp;[2.079E-1]" c="0.2079"/>
              <i n="[table1].[Utilization_Rate].&amp;[2.088E-1]" c="0.2088"/>
              <i n="[table1].[Utilization_Rate].&amp;[2.09E-1]" c="0.209"/>
              <i n="[table1].[Utilization_Rate].&amp;[2.094E-1]" c="0.2094"/>
              <i n="[table1].[Utilization_Rate].&amp;[2.097E-1]" c="0.2097"/>
              <i n="[table1].[Utilization_Rate].&amp;[2.098E-1]" c="0.2098"/>
              <i n="[table1].[Utilization_Rate].&amp;[2.102E-1]" c="0.2102"/>
              <i n="[table1].[Utilization_Rate].&amp;[2.104E-1]" c="0.2104"/>
              <i n="[table1].[Utilization_Rate].&amp;[2.106E-1]" c="0.2106"/>
              <i n="[table1].[Utilization_Rate].&amp;[2.115E-1]" c="0.2115"/>
              <i n="[table1].[Utilization_Rate].&amp;[2.119E-1]" c="0.2119"/>
              <i n="[table1].[Utilization_Rate].&amp;[2.123E-1]" c="0.2123"/>
              <i n="[table1].[Utilization_Rate].&amp;[2.124E-1]" c="0.2124"/>
              <i n="[table1].[Utilization_Rate].&amp;[2.125E-1]" c="0.2125"/>
              <i n="[table1].[Utilization_Rate].&amp;[2.129E-1]" c="0.2129"/>
              <i n="[table1].[Utilization_Rate].&amp;[2.139E-1]" c="0.2139"/>
              <i n="[table1].[Utilization_Rate].&amp;[2.14E-1]" c="0.214"/>
              <i n="[table1].[Utilization_Rate].&amp;[2.142E-1]" c="0.2142"/>
              <i n="[table1].[Utilization_Rate].&amp;[2.146E-1]" c="0.2146"/>
              <i n="[table1].[Utilization_Rate].&amp;[2.147E-1]" c="0.2147"/>
              <i n="[table1].[Utilization_Rate].&amp;[2.151E-1]" c="0.2151"/>
              <i n="[table1].[Utilization_Rate].&amp;[2.152E-1]" c="0.2152"/>
              <i n="[table1].[Utilization_Rate].&amp;[2.153E-1]" c="0.2153"/>
              <i n="[table1].[Utilization_Rate].&amp;[2.157E-1]" c="0.2157"/>
              <i n="[table1].[Utilization_Rate].&amp;[2.159E-1]" c="0.2159"/>
              <i n="[table1].[Utilization_Rate].&amp;[2.161E-1]" c="0.2161"/>
              <i n="[table1].[Utilization_Rate].&amp;[2.163E-1]" c="0.2163"/>
              <i n="[table1].[Utilization_Rate].&amp;[2.164E-1]" c="0.2164"/>
              <i n="[table1].[Utilization_Rate].&amp;[2.166E-1]" c="0.2166"/>
              <i n="[table1].[Utilization_Rate].&amp;[2.173E-1]" c="0.2173"/>
              <i n="[table1].[Utilization_Rate].&amp;[2.174E-1]" c="0.2174"/>
              <i n="[table1].[Utilization_Rate].&amp;[2.176E-1]" c="0.2176"/>
              <i n="[table1].[Utilization_Rate].&amp;[2.192E-1]" c="0.2192"/>
              <i n="[table1].[Utilization_Rate].&amp;[2.193E-1]" c="0.2193"/>
              <i n="[table1].[Utilization_Rate].&amp;[2.194E-1]" c="0.2194"/>
              <i n="[table1].[Utilization_Rate].&amp;[2.197E-1]" c="0.2197"/>
              <i n="[table1].[Utilization_Rate].&amp;[2.2E-1]" c="0.22"/>
              <i n="[table1].[Utilization_Rate].&amp;[2.201E-1]" c="0.2201"/>
              <i n="[table1].[Utilization_Rate].&amp;[2.204E-1]" c="0.2204"/>
              <i n="[table1].[Utilization_Rate].&amp;[2.211E-1]" c="0.2211"/>
              <i n="[table1].[Utilization_Rate].&amp;[2.213E-1]" c="0.2213"/>
              <i n="[table1].[Utilization_Rate].&amp;[2.217E-1]" c="0.2217"/>
              <i n="[table1].[Utilization_Rate].&amp;[2.219E-1]" c="0.2219"/>
              <i n="[table1].[Utilization_Rate].&amp;[2.238E-1]" c="0.2238"/>
              <i n="[table1].[Utilization_Rate].&amp;[2.239E-1]" c="0.2239"/>
              <i n="[table1].[Utilization_Rate].&amp;[2.24E-1]" c="0.224"/>
              <i n="[table1].[Utilization_Rate].&amp;[2.25E-1]" c="0.225"/>
              <i n="[table1].[Utilization_Rate].&amp;[2.261E-1]" c="0.2261"/>
              <i n="[table1].[Utilization_Rate].&amp;[2.262E-1]" c="0.2262"/>
              <i n="[table1].[Utilization_Rate].&amp;[2.272E-1]" c="0.2272"/>
              <i n="[table1].[Utilization_Rate].&amp;[2.275E-1]" c="0.2275"/>
              <i n="[table1].[Utilization_Rate].&amp;[2.277E-1]" c="0.2277"/>
              <i n="[table1].[Utilization_Rate].&amp;[2.285E-1]" c="0.2285"/>
              <i n="[table1].[Utilization_Rate].&amp;[2.29E-1]" c="0.229"/>
              <i n="[table1].[Utilization_Rate].&amp;[2.294E-1]" c="0.2294"/>
              <i n="[table1].[Utilization_Rate].&amp;[2.3E-1]" c="0.23"/>
              <i n="[table1].[Utilization_Rate].&amp;[2.301E-1]" c="0.2301"/>
              <i n="[table1].[Utilization_Rate].&amp;[2.302E-1]" c="0.2302"/>
              <i n="[table1].[Utilization_Rate].&amp;[2.305E-1]" c="0.2305"/>
              <i n="[table1].[Utilization_Rate].&amp;[2.31E-1]" c="0.231"/>
              <i n="[table1].[Utilization_Rate].&amp;[2.311E-1]" c="0.2311"/>
              <i n="[table1].[Utilization_Rate].&amp;[2.313E-1]" c="0.2313"/>
              <i n="[table1].[Utilization_Rate].&amp;[2.32E-1]" c="0.232"/>
              <i n="[table1].[Utilization_Rate].&amp;[2.327E-1]" c="0.2327"/>
              <i n="[table1].[Utilization_Rate].&amp;[2.328E-1]" c="0.2328"/>
              <i n="[table1].[Utilization_Rate].&amp;[2.33E-1]" c="0.233"/>
              <i n="[table1].[Utilization_Rate].&amp;[2.333E-1]" c="0.2333"/>
              <i n="[table1].[Utilization_Rate].&amp;[2.343E-1]" c="0.2343"/>
              <i n="[table1].[Utilization_Rate].&amp;[2.347E-1]" c="0.2347"/>
              <i n="[table1].[Utilization_Rate].&amp;[2.352E-1]" c="0.2352"/>
              <i n="[table1].[Utilization_Rate].&amp;[2.357E-1]" c="0.2357"/>
              <i n="[table1].[Utilization_Rate].&amp;[2.359E-1]" c="0.2359"/>
              <i n="[table1].[Utilization_Rate].&amp;[2.362E-1]" c="0.2362"/>
              <i n="[table1].[Utilization_Rate].&amp;[2.367E-1]" c="0.2367"/>
              <i n="[table1].[Utilization_Rate].&amp;[2.376E-1]" c="0.2376"/>
              <i n="[table1].[Utilization_Rate].&amp;[2.377E-1]" c="0.2377"/>
              <i n="[table1].[Utilization_Rate].&amp;[2.378E-1]" c="0.2378"/>
              <i n="[table1].[Utilization_Rate].&amp;[2.384E-1]" c="0.2384"/>
              <i n="[table1].[Utilization_Rate].&amp;[2.389E-1]" c="0.2389"/>
              <i n="[table1].[Utilization_Rate].&amp;[2.395E-1]" c="0.2395"/>
              <i n="[table1].[Utilization_Rate].&amp;[2.399E-1]" c="0.2399"/>
              <i n="[table1].[Utilization_Rate].&amp;[2.4E-1]" c="0.24"/>
              <i n="[table1].[Utilization_Rate].&amp;[2.408E-1]" c="0.2408"/>
              <i n="[table1].[Utilization_Rate].&amp;[2.419E-1]" c="0.2419"/>
              <i n="[table1].[Utilization_Rate].&amp;[2.421E-1]" c="0.2421"/>
              <i n="[table1].[Utilization_Rate].&amp;[2.425E-1]" c="0.2425"/>
              <i n="[table1].[Utilization_Rate].&amp;[2.427E-1]" c="0.2427"/>
              <i n="[table1].[Utilization_Rate].&amp;[2.428E-1]" c="0.2428"/>
              <i n="[table1].[Utilization_Rate].&amp;[2.432E-1]" c="0.2432"/>
              <i n="[table1].[Utilization_Rate].&amp;[2.433E-1]" c="0.2433"/>
              <i n="[table1].[Utilization_Rate].&amp;[2.457E-1]" c="0.2457"/>
              <i n="[table1].[Utilization_Rate].&amp;[2.459E-1]" c="0.2459"/>
              <i n="[table1].[Utilization_Rate].&amp;[2.462E-1]" c="0.2462"/>
              <i n="[table1].[Utilization_Rate].&amp;[2.463E-1]" c="0.2463"/>
              <i n="[table1].[Utilization_Rate].&amp;[2.467E-1]" c="0.2467"/>
              <i n="[table1].[Utilization_Rate].&amp;[2.481E-1]" c="0.2481"/>
              <i n="[table1].[Utilization_Rate].&amp;[2.489E-1]" c="0.2489"/>
              <i n="[table1].[Utilization_Rate].&amp;[2.502E-1]" c="0.2502"/>
              <i n="[table1].[Utilization_Rate].&amp;[2.511E-1]" c="0.2511"/>
              <i n="[table1].[Utilization_Rate].&amp;[2.514E-1]" c="0.2514"/>
              <i n="[table1].[Utilization_Rate].&amp;[2.528E-1]" c="0.2528"/>
              <i n="[table1].[Utilization_Rate].&amp;[2.539E-1]" c="0.2539"/>
              <i n="[table1].[Utilization_Rate].&amp;[2.545E-1]" c="0.2545"/>
              <i n="[table1].[Utilization_Rate].&amp;[2.546E-1]" c="0.2546"/>
              <i n="[table1].[Utilization_Rate].&amp;[2.547E-1]" c="0.2547"/>
              <i n="[table1].[Utilization_Rate].&amp;[2.548E-1]" c="0.2548"/>
              <i n="[table1].[Utilization_Rate].&amp;[2.553E-1]" c="0.2553"/>
              <i n="[table1].[Utilization_Rate].&amp;[2.555E-1]" c="0.2555"/>
              <i n="[table1].[Utilization_Rate].&amp;[2.558E-1]" c="0.2558"/>
              <i n="[table1].[Utilization_Rate].&amp;[2.565E-1]" c="0.2565"/>
              <i n="[table1].[Utilization_Rate].&amp;[2.566E-1]" c="0.2566"/>
              <i n="[table1].[Utilization_Rate].&amp;[2.58E-1]" c="0.258"/>
              <i n="[table1].[Utilization_Rate].&amp;[2.587E-1]" c="0.2587"/>
              <i n="[table1].[Utilization_Rate].&amp;[2.588E-1]" c="0.2588"/>
              <i n="[table1].[Utilization_Rate].&amp;[2.589E-1]" c="0.2589"/>
              <i n="[table1].[Utilization_Rate].&amp;[2.592E-1]" c="0.2592"/>
              <i n="[table1].[Utilization_Rate].&amp;[2.593E-1]" c="0.2593"/>
              <i n="[table1].[Utilization_Rate].&amp;[2.594E-1]" c="0.2594"/>
              <i n="[table1].[Utilization_Rate].&amp;[2.602E-1]" c="0.2602"/>
              <i n="[table1].[Utilization_Rate].&amp;[2.606E-1]" c="0.2606"/>
              <i n="[table1].[Utilization_Rate].&amp;[2.607E-1]" c="0.2607"/>
              <i n="[table1].[Utilization_Rate].&amp;[2.608E-1]" c="0.2608"/>
              <i n="[table1].[Utilization_Rate].&amp;[2.609E-1]" c="0.2609"/>
              <i n="[table1].[Utilization_Rate].&amp;[2.611E-1]" c="0.2611"/>
              <i n="[table1].[Utilization_Rate].&amp;[2.615E-1]" c="0.2615"/>
              <i n="[table1].[Utilization_Rate].&amp;[2.617E-1]" c="0.2617"/>
              <i n="[table1].[Utilization_Rate].&amp;[2.619E-1]" c="0.2619"/>
              <i n="[table1].[Utilization_Rate].&amp;[2.62E-1]" c="0.262"/>
              <i n="[table1].[Utilization_Rate].&amp;[2.641E-1]" c="0.2641"/>
              <i n="[table1].[Utilization_Rate].&amp;[2.643E-1]" c="0.2643"/>
              <i n="[table1].[Utilization_Rate].&amp;[2.661E-1]" c="0.2661"/>
              <i n="[table1].[Utilization_Rate].&amp;[2.669E-1]" c="0.2669"/>
              <i n="[table1].[Utilization_Rate].&amp;[2.674E-1]" c="0.2674"/>
              <i n="[table1].[Utilization_Rate].&amp;[2.676E-1]" c="0.2676"/>
              <i n="[table1].[Utilization_Rate].&amp;[2.677E-1]" c="0.2677"/>
              <i n="[table1].[Utilization_Rate].&amp;[2.68E-1]" c="0.268"/>
              <i n="[table1].[Utilization_Rate].&amp;[2.691E-1]" c="0.2691"/>
              <i n="[table1].[Utilization_Rate].&amp;[2.693E-1]" c="0.2693"/>
              <i n="[table1].[Utilization_Rate].&amp;[2.695E-1]" c="0.2695"/>
              <i n="[table1].[Utilization_Rate].&amp;[2.699E-1]" c="0.2699"/>
              <i n="[table1].[Utilization_Rate].&amp;[2.701E-1]" c="0.2701"/>
              <i n="[table1].[Utilization_Rate].&amp;[2.702E-1]" c="0.2702"/>
              <i n="[table1].[Utilization_Rate].&amp;[2.706E-1]" c="0.2706"/>
              <i n="[table1].[Utilization_Rate].&amp;[2.713E-1]" c="0.2713"/>
              <i n="[table1].[Utilization_Rate].&amp;[2.718E-1]" c="0.2718"/>
              <i n="[table1].[Utilization_Rate].&amp;[2.722E-1]" c="0.2722"/>
              <i n="[table1].[Utilization_Rate].&amp;[2.726E-1]" c="0.2726"/>
              <i n="[table1].[Utilization_Rate].&amp;[2.735E-1]" c="0.2735"/>
              <i n="[table1].[Utilization_Rate].&amp;[2.736E-1]" c="0.2736"/>
              <i n="[table1].[Utilization_Rate].&amp;[2.738E-1]" c="0.2738"/>
              <i n="[table1].[Utilization_Rate].&amp;[2.742E-1]" c="0.2742"/>
              <i n="[table1].[Utilization_Rate].&amp;[2.744E-1]" c="0.2744"/>
              <i n="[table1].[Utilization_Rate].&amp;[2.758E-1]" c="0.2758"/>
              <i n="[table1].[Utilization_Rate].&amp;[2.759E-1]" c="0.2759"/>
              <i n="[table1].[Utilization_Rate].&amp;[2.768E-1]" c="0.2768"/>
              <i n="[table1].[Utilization_Rate].&amp;[2.769E-1]" c="0.2769"/>
              <i n="[table1].[Utilization_Rate].&amp;[2.77E-1]" c="0.277"/>
              <i n="[table1].[Utilization_Rate].&amp;[2.78E-1]" c="0.278"/>
              <i n="[table1].[Utilization_Rate].&amp;[2.783E-1]" c="0.2783"/>
              <i n="[table1].[Utilization_Rate].&amp;[2.785E-1]" c="0.2785"/>
              <i n="[table1].[Utilization_Rate].&amp;[2.79E-1]" c="0.279"/>
              <i n="[table1].[Utilization_Rate].&amp;[2.792E-1]" c="0.2792"/>
              <i n="[table1].[Utilization_Rate].&amp;[2.793E-1]" c="0.2793"/>
              <i n="[table1].[Utilization_Rate].&amp;[2.795E-1]" c="0.2795"/>
              <i n="[table1].[Utilization_Rate].&amp;[2.798E-1]" c="0.2798"/>
              <i n="[table1].[Utilization_Rate].&amp;[2.805E-1]" c="0.2805"/>
              <i n="[table1].[Utilization_Rate].&amp;[2.807E-1]" c="0.2807"/>
              <i n="[table1].[Utilization_Rate].&amp;[2.812E-1]" c="0.2812"/>
              <i n="[table1].[Utilization_Rate].&amp;[2.814E-1]" c="0.2814"/>
              <i n="[table1].[Utilization_Rate].&amp;[2.816E-1]" c="0.2816"/>
              <i n="[table1].[Utilization_Rate].&amp;[2.817E-1]" c="0.2817"/>
              <i n="[table1].[Utilization_Rate].&amp;[2.818E-1]" c="0.2818"/>
              <i n="[table1].[Utilization_Rate].&amp;[2.824E-1]" c="0.2824"/>
              <i n="[table1].[Utilization_Rate].&amp;[2.825E-1]" c="0.2825"/>
              <i n="[table1].[Utilization_Rate].&amp;[2.836E-1]" c="0.2836"/>
              <i n="[table1].[Utilization_Rate].&amp;[2.839E-1]" c="0.2839"/>
              <i n="[table1].[Utilization_Rate].&amp;[2.847E-1]" c="0.2847"/>
              <i n="[table1].[Utilization_Rate].&amp;[2.849E-1]" c="0.2849"/>
              <i n="[table1].[Utilization_Rate].&amp;[2.85E-1]" c="0.285"/>
              <i n="[table1].[Utilization_Rate].&amp;[2.856E-1]" c="0.2856"/>
              <i n="[table1].[Utilization_Rate].&amp;[2.861E-1]" c="0.2861"/>
              <i n="[table1].[Utilization_Rate].&amp;[2.862E-1]" c="0.2862"/>
              <i n="[table1].[Utilization_Rate].&amp;[2.867E-1]" c="0.2867"/>
              <i n="[table1].[Utilization_Rate].&amp;[2.869E-1]" c="0.2869"/>
              <i n="[table1].[Utilization_Rate].&amp;[2.87E-1]" c="0.287"/>
              <i n="[table1].[Utilization_Rate].&amp;[2.871E-1]" c="0.2871"/>
              <i n="[table1].[Utilization_Rate].&amp;[2.875E-1]" c="0.2875"/>
              <i n="[table1].[Utilization_Rate].&amp;[2.882E-1]" c="0.2882"/>
              <i n="[table1].[Utilization_Rate].&amp;[2.884E-1]" c="0.2884"/>
              <i n="[table1].[Utilization_Rate].&amp;[2.885E-1]" c="0.2885"/>
              <i n="[table1].[Utilization_Rate].&amp;[2.886E-1]" c="0.2886"/>
              <i n="[table1].[Utilization_Rate].&amp;[2.9E-1]" c="0.29"/>
              <i n="[table1].[Utilization_Rate].&amp;[2.901E-1]" c="0.2901"/>
              <i n="[table1].[Utilization_Rate].&amp;[2.902E-1]" c="0.2902"/>
              <i n="[table1].[Utilization_Rate].&amp;[2.904E-1]" c="0.2904"/>
              <i n="[table1].[Utilization_Rate].&amp;[2.905E-1]" c="0.2905"/>
              <i n="[table1].[Utilization_Rate].&amp;[2.911E-1]" c="0.2911"/>
              <i n="[table1].[Utilization_Rate].&amp;[2.918E-1]" c="0.2918"/>
              <i n="[table1].[Utilization_Rate].&amp;[2.922E-1]" c="0.2922"/>
              <i n="[table1].[Utilization_Rate].&amp;[2.923E-1]" c="0.2923"/>
              <i n="[table1].[Utilization_Rate].&amp;[2.925E-1]" c="0.2925"/>
              <i n="[table1].[Utilization_Rate].&amp;[2.926E-1]" c="0.2926"/>
              <i n="[table1].[Utilization_Rate].&amp;[2.927E-1]" c="0.2927"/>
              <i n="[table1].[Utilization_Rate].&amp;[2.931E-1]" c="0.2931"/>
              <i n="[table1].[Utilization_Rate].&amp;[2.933E-1]" c="0.2933"/>
              <i n="[table1].[Utilization_Rate].&amp;[2.937E-1]" c="0.2937"/>
              <i n="[table1].[Utilization_Rate].&amp;[2.941E-1]" c="0.2941"/>
              <i n="[table1].[Utilization_Rate].&amp;[2.948E-1]" c="0.2948"/>
              <i n="[table1].[Utilization_Rate].&amp;[2.954E-1]" c="0.2954"/>
              <i n="[table1].[Utilization_Rate].&amp;[2.959E-1]" c="0.2959"/>
              <i n="[table1].[Utilization_Rate].&amp;[2.96E-1]" c="0.296"/>
              <i n="[table1].[Utilization_Rate].&amp;[2.961E-1]" c="0.2961"/>
              <i n="[table1].[Utilization_Rate].&amp;[2.966E-1]" c="0.2966"/>
              <i n="[table1].[Utilization_Rate].&amp;[2.968E-1]" c="0.2968"/>
              <i n="[table1].[Utilization_Rate].&amp;[2.97E-1]" c="0.297"/>
              <i n="[table1].[Utilization_Rate].&amp;[2.971E-1]" c="0.2971"/>
              <i n="[table1].[Utilization_Rate].&amp;[2.976E-1]" c="0.2976"/>
              <i n="[table1].[Utilization_Rate].&amp;[2.978E-1]" c="0.2978"/>
              <i n="[table1].[Utilization_Rate].&amp;[2.995E-1]" c="0.2995"/>
              <i n="[table1].[Utilization_Rate].&amp;[2.997E-1]" c="0.2997"/>
              <i n="[table1].[Utilization_Rate].&amp;[3.E-1]" c="0.3"/>
              <i n="[table1].[Utilization_Rate].&amp;[3.018E-1]" c="0.3018"/>
              <i n="[table1].[Utilization_Rate].&amp;[3.024E-1]" c="0.3024"/>
              <i n="[table1].[Utilization_Rate].&amp;[3.027E-1]" c="0.3027"/>
              <i n="[table1].[Utilization_Rate].&amp;[3.029E-1]" c="0.3029"/>
              <i n="[table1].[Utilization_Rate].&amp;[3.039E-1]" c="0.3039"/>
              <i n="[table1].[Utilization_Rate].&amp;[3.049E-1]" c="0.3049"/>
              <i n="[table1].[Utilization_Rate].&amp;[3.05E-1]" c="0.305"/>
              <i n="[table1].[Utilization_Rate].&amp;[3.052E-1]" c="0.3052"/>
              <i n="[table1].[Utilization_Rate].&amp;[3.057E-1]" c="0.3057"/>
              <i n="[table1].[Utilization_Rate].&amp;[3.08E-1]" c="0.308"/>
              <i n="[table1].[Utilization_Rate].&amp;[3.081E-1]" c="0.3081"/>
              <i n="[table1].[Utilization_Rate].&amp;[3.084E-1]" c="0.3084"/>
              <i n="[table1].[Utilization_Rate].&amp;[3.087E-1]" c="0.3087"/>
              <i n="[table1].[Utilization_Rate].&amp;[3.09E-1]" c="0.309"/>
              <i n="[table1].[Utilization_Rate].&amp;[3.091E-1]" c="0.3091"/>
              <i n="[table1].[Utilization_Rate].&amp;[3.092E-1]" c="0.3092"/>
              <i n="[table1].[Utilization_Rate].&amp;[3.093E-1]" c="0.3093"/>
              <i n="[table1].[Utilization_Rate].&amp;[3.107E-1]" c="0.3107"/>
              <i n="[table1].[Utilization_Rate].&amp;[3.134E-1]" c="0.3134"/>
              <i n="[table1].[Utilization_Rate].&amp;[3.141E-1]" c="0.3141"/>
              <i n="[table1].[Utilization_Rate].&amp;[3.142E-1]" c="0.3142"/>
              <i n="[table1].[Utilization_Rate].&amp;[3.143E-1]" c="0.3143"/>
              <i n="[table1].[Utilization_Rate].&amp;[3.148E-1]" c="0.3148"/>
              <i n="[table1].[Utilization_Rate].&amp;[3.156E-1]" c="0.3156"/>
              <i n="[table1].[Utilization_Rate].&amp;[3.158E-1]" c="0.3158"/>
              <i n="[table1].[Utilization_Rate].&amp;[3.17E-1]" c="0.317"/>
              <i n="[table1].[Utilization_Rate].&amp;[3.172E-1]" c="0.3172"/>
              <i n="[table1].[Utilization_Rate].&amp;[3.178E-1]" c="0.3178"/>
              <i n="[table1].[Utilization_Rate].&amp;[3.18E-1]" c="0.318"/>
              <i n="[table1].[Utilization_Rate].&amp;[3.181E-1]" c="0.3181"/>
              <i n="[table1].[Utilization_Rate].&amp;[3.183E-1]" c="0.3183"/>
              <i n="[table1].[Utilization_Rate].&amp;[3.184E-1]" c="0.3184"/>
              <i n="[table1].[Utilization_Rate].&amp;[3.185E-1]" c="0.3185"/>
              <i n="[table1].[Utilization_Rate].&amp;[3.188E-1]" c="0.3188"/>
              <i n="[table1].[Utilization_Rate].&amp;[3.189E-1]" c="0.3189"/>
              <i n="[table1].[Utilization_Rate].&amp;[3.191E-1]" c="0.3191"/>
              <i n="[table1].[Utilization_Rate].&amp;[3.193E-1]" c="0.3193"/>
              <i n="[table1].[Utilization_Rate].&amp;[3.194E-1]" c="0.3194"/>
              <i n="[table1].[Utilization_Rate].&amp;[3.195E-1]" c="0.3195"/>
              <i n="[table1].[Utilization_Rate].&amp;[3.202E-1]" c="0.3202"/>
              <i n="[table1].[Utilization_Rate].&amp;[3.203E-1]" c="0.3203"/>
              <i n="[table1].[Utilization_Rate].&amp;[3.204E-1]" c="0.3204"/>
              <i n="[table1].[Utilization_Rate].&amp;[3.206E-1]" c="0.3206"/>
              <i n="[table1].[Utilization_Rate].&amp;[3.21E-1]" c="0.321"/>
              <i n="[table1].[Utilization_Rate].&amp;[3.215E-1]" c="0.3215"/>
              <i n="[table1].[Utilization_Rate].&amp;[3.223E-1]" c="0.3223"/>
              <i n="[table1].[Utilization_Rate].&amp;[3.228E-1]" c="0.3228"/>
              <i n="[table1].[Utilization_Rate].&amp;[3.23E-1]" c="0.323"/>
              <i n="[table1].[Utilization_Rate].&amp;[3.235E-1]" c="0.3235"/>
              <i n="[table1].[Utilization_Rate].&amp;[3.236E-1]" c="0.3236"/>
              <i n="[table1].[Utilization_Rate].&amp;[3.238E-1]" c="0.3238"/>
              <i n="[table1].[Utilization_Rate].&amp;[3.239E-1]" c="0.3239"/>
              <i n="[table1].[Utilization_Rate].&amp;[3.24E-1]" c="0.324"/>
              <i n="[table1].[Utilization_Rate].&amp;[3.243E-1]" c="0.3243"/>
              <i n="[table1].[Utilization_Rate].&amp;[3.246E-1]" c="0.3246"/>
              <i n="[table1].[Utilization_Rate].&amp;[3.25E-1]" c="0.325"/>
              <i n="[table1].[Utilization_Rate].&amp;[3.252E-1]" c="0.3252"/>
              <i n="[table1].[Utilization_Rate].&amp;[3.253E-1]" c="0.3253"/>
              <i n="[table1].[Utilization_Rate].&amp;[3.256E-1]" c="0.3256"/>
              <i n="[table1].[Utilization_Rate].&amp;[3.259E-1]" c="0.3259"/>
              <i n="[table1].[Utilization_Rate].&amp;[3.266E-1]" c="0.3266"/>
              <i n="[table1].[Utilization_Rate].&amp;[3.268E-1]" c="0.3268"/>
              <i n="[table1].[Utilization_Rate].&amp;[3.269E-1]" c="0.3269"/>
              <i n="[table1].[Utilization_Rate].&amp;[3.271E-1]" c="0.3271"/>
              <i n="[table1].[Utilization_Rate].&amp;[3.276E-1]" c="0.3276"/>
              <i n="[table1].[Utilization_Rate].&amp;[3.28E-1]" c="0.328"/>
              <i n="[table1].[Utilization_Rate].&amp;[3.281E-1]" c="0.3281"/>
              <i n="[table1].[Utilization_Rate].&amp;[3.283E-1]" c="0.3283"/>
              <i n="[table1].[Utilization_Rate].&amp;[3.284E-1]" c="0.3284"/>
              <i n="[table1].[Utilization_Rate].&amp;[3.286E-1]" c="0.3286"/>
              <i n="[table1].[Utilization_Rate].&amp;[3.287E-1]" c="0.3287"/>
              <i n="[table1].[Utilization_Rate].&amp;[3.288E-1]" c="0.3288"/>
              <i n="[table1].[Utilization_Rate].&amp;[3.293E-1]" c="0.3293"/>
              <i n="[table1].[Utilization_Rate].&amp;[3.294E-1]" c="0.3294"/>
              <i n="[table1].[Utilization_Rate].&amp;[3.295E-1]" c="0.3295"/>
              <i n="[table1].[Utilization_Rate].&amp;[3.298E-1]" c="0.3298"/>
              <i n="[table1].[Utilization_Rate].&amp;[3.301E-1]" c="0.3301"/>
              <i n="[table1].[Utilization_Rate].&amp;[3.304E-1]" c="0.3304"/>
              <i n="[table1].[Utilization_Rate].&amp;[3.308E-1]" c="0.3308"/>
              <i n="[table1].[Utilization_Rate].&amp;[3.31E-1]" c="0.331"/>
              <i n="[table1].[Utilization_Rate].&amp;[3.312E-1]" c="0.3312"/>
              <i n="[table1].[Utilization_Rate].&amp;[3.313E-1]" c="0.3313"/>
              <i n="[table1].[Utilization_Rate].&amp;[3.327E-1]" c="0.3327"/>
              <i n="[table1].[Utilization_Rate].&amp;[3.329E-1]" c="0.3329"/>
              <i n="[table1].[Utilization_Rate].&amp;[3.332E-1]" c="0.3332"/>
              <i n="[table1].[Utilization_Rate].&amp;[3.334E-1]" c="0.3334"/>
              <i n="[table1].[Utilization_Rate].&amp;[3.337E-1]" c="0.3337"/>
              <i n="[table1].[Utilization_Rate].&amp;[3.338E-1]" c="0.3338"/>
              <i n="[table1].[Utilization_Rate].&amp;[3.339E-1]" c="0.3339"/>
              <i n="[table1].[Utilization_Rate].&amp;[3.345E-1]" c="0.3345"/>
              <i n="[table1].[Utilization_Rate].&amp;[3.346E-1]" c="0.3346"/>
              <i n="[table1].[Utilization_Rate].&amp;[3.347E-1]" c="0.3347"/>
              <i n="[table1].[Utilization_Rate].&amp;[3.349E-1]" c="0.3349"/>
              <i n="[table1].[Utilization_Rate].&amp;[3.356E-1]" c="0.3356"/>
              <i n="[table1].[Utilization_Rate].&amp;[3.361E-1]" c="0.3361"/>
              <i n="[table1].[Utilization_Rate].&amp;[3.362E-1]" c="0.3362"/>
              <i n="[table1].[Utilization_Rate].&amp;[3.374E-1]" c="0.3374"/>
              <i n="[table1].[Utilization_Rate].&amp;[3.375E-1]" c="0.3375"/>
              <i n="[table1].[Utilization_Rate].&amp;[3.38E-1]" c="0.338"/>
              <i n="[table1].[Utilization_Rate].&amp;[3.387E-1]" c="0.3387"/>
              <i n="[table1].[Utilization_Rate].&amp;[3.398E-1]" c="0.3398"/>
              <i n="[table1].[Utilization_Rate].&amp;[3.399E-1]" c="0.3399"/>
              <i n="[table1].[Utilization_Rate].&amp;[3.416E-1]" c="0.3416"/>
              <i n="[table1].[Utilization_Rate].&amp;[3.418E-1]" c="0.3418"/>
              <i n="[table1].[Utilization_Rate].&amp;[3.42E-1]" c="0.342"/>
              <i n="[table1].[Utilization_Rate].&amp;[3.422E-1]" c="0.3422"/>
              <i n="[table1].[Utilization_Rate].&amp;[3.428E-1]" c="0.3428"/>
              <i n="[table1].[Utilization_Rate].&amp;[3.431E-1]" c="0.3431"/>
              <i n="[table1].[Utilization_Rate].&amp;[3.434E-1]" c="0.3434"/>
              <i n="[table1].[Utilization_Rate].&amp;[3.437E-1]" c="0.3437"/>
              <i n="[table1].[Utilization_Rate].&amp;[3.439E-1]" c="0.3439"/>
              <i n="[table1].[Utilization_Rate].&amp;[3.44E-1]" c="0.344"/>
              <i n="[table1].[Utilization_Rate].&amp;[3.441E-1]" c="0.3441"/>
              <i n="[table1].[Utilization_Rate].&amp;[3.445E-1]" c="0.3445"/>
              <i n="[table1].[Utilization_Rate].&amp;[3.446E-1]" c="0.3446"/>
              <i n="[table1].[Utilization_Rate].&amp;[3.448E-1]" c="0.3448"/>
              <i n="[table1].[Utilization_Rate].&amp;[3.449E-1]" c="0.3449"/>
              <i n="[table1].[Utilization_Rate].&amp;[3.45E-1]" c="0.345"/>
              <i n="[table1].[Utilization_Rate].&amp;[3.464E-1]" c="0.3464"/>
              <i n="[table1].[Utilization_Rate].&amp;[3.467E-1]" c="0.3467"/>
              <i n="[table1].[Utilization_Rate].&amp;[3.469E-1]" c="0.3469"/>
              <i n="[table1].[Utilization_Rate].&amp;[3.47E-1]" c="0.347"/>
              <i n="[table1].[Utilization_Rate].&amp;[3.473E-1]" c="0.3473"/>
              <i n="[table1].[Utilization_Rate].&amp;[3.474E-1]" c="0.3474"/>
              <i n="[table1].[Utilization_Rate].&amp;[3.475E-1]" c="0.3475"/>
              <i n="[table1].[Utilization_Rate].&amp;[3.478E-1]" c="0.3478"/>
              <i n="[table1].[Utilization_Rate].&amp;[3.479E-1]" c="0.3479"/>
              <i n="[table1].[Utilization_Rate].&amp;[3.483E-1]" c="0.3483"/>
              <i n="[table1].[Utilization_Rate].&amp;[3.489E-1]" c="0.3489"/>
              <i n="[table1].[Utilization_Rate].&amp;[3.494E-1]" c="0.3494"/>
              <i n="[table1].[Utilization_Rate].&amp;[3.505E-1]" c="0.3505"/>
              <i n="[table1].[Utilization_Rate].&amp;[3.511E-1]" c="0.3511"/>
              <i n="[table1].[Utilization_Rate].&amp;[3.512E-1]" c="0.3512"/>
              <i n="[table1].[Utilization_Rate].&amp;[3.513E-1]" c="0.3513"/>
              <i n="[table1].[Utilization_Rate].&amp;[3.515E-1]" c="0.3515"/>
              <i n="[table1].[Utilization_Rate].&amp;[3.516E-1]" c="0.3516"/>
              <i n="[table1].[Utilization_Rate].&amp;[3.521E-1]" c="0.3521"/>
              <i n="[table1].[Utilization_Rate].&amp;[3.522E-1]" c="0.3522"/>
              <i n="[table1].[Utilization_Rate].&amp;[3.534E-1]" c="0.3534"/>
              <i n="[table1].[Utilization_Rate].&amp;[3.536E-1]" c="0.3536"/>
              <i n="[table1].[Utilization_Rate].&amp;[3.54E-1]" c="0.354"/>
              <i n="[table1].[Utilization_Rate].&amp;[3.546E-1]" c="0.3546"/>
              <i n="[table1].[Utilization_Rate].&amp;[3.548E-1]" c="0.3548"/>
              <i n="[table1].[Utilization_Rate].&amp;[3.552E-1]" c="0.3552"/>
              <i n="[table1].[Utilization_Rate].&amp;[3.554E-1]" c="0.3554"/>
              <i n="[table1].[Utilization_Rate].&amp;[3.556E-1]" c="0.3556"/>
              <i n="[table1].[Utilization_Rate].&amp;[3.559E-1]" c="0.3559"/>
              <i n="[table1].[Utilization_Rate].&amp;[3.565E-1]" c="0.3565"/>
              <i n="[table1].[Utilization_Rate].&amp;[3.567E-1]" c="0.3567"/>
              <i n="[table1].[Utilization_Rate].&amp;[3.568E-1]" c="0.3568"/>
              <i n="[table1].[Utilization_Rate].&amp;[3.57E-1]" c="0.357"/>
              <i n="[table1].[Utilization_Rate].&amp;[3.573E-1]" c="0.3573"/>
              <i n="[table1].[Utilization_Rate].&amp;[3.574E-1]" c="0.3574"/>
              <i n="[table1].[Utilization_Rate].&amp;[3.579E-1]" c="0.3579"/>
              <i n="[table1].[Utilization_Rate].&amp;[3.581E-1]" c="0.3581"/>
              <i n="[table1].[Utilization_Rate].&amp;[3.585E-1]" c="0.3585"/>
              <i n="[table1].[Utilization_Rate].&amp;[3.588E-1]" c="0.3588"/>
              <i n="[table1].[Utilization_Rate].&amp;[3.594E-1]" c="0.3594"/>
              <i n="[table1].[Utilization_Rate].&amp;[3.596E-1]" c="0.3596"/>
              <i n="[table1].[Utilization_Rate].&amp;[3.602E-1]" c="0.3602"/>
              <i n="[table1].[Utilization_Rate].&amp;[3.614E-1]" c="0.3614"/>
              <i n="[table1].[Utilization_Rate].&amp;[3.615E-1]" c="0.3615"/>
              <i n="[table1].[Utilization_Rate].&amp;[3.621E-1]" c="0.3621"/>
              <i n="[table1].[Utilization_Rate].&amp;[3.624E-1]" c="0.3624"/>
              <i n="[table1].[Utilization_Rate].&amp;[3.627E-1]" c="0.3627"/>
              <i n="[table1].[Utilization_Rate].&amp;[3.628E-1]" c="0.3628"/>
              <i n="[table1].[Utilization_Rate].&amp;[3.634E-1]" c="0.3634"/>
              <i n="[table1].[Utilization_Rate].&amp;[3.635E-1]" c="0.3635"/>
              <i n="[table1].[Utilization_Rate].&amp;[3.646E-1]" c="0.3646"/>
              <i n="[table1].[Utilization_Rate].&amp;[3.658E-1]" c="0.3658"/>
              <i n="[table1].[Utilization_Rate].&amp;[3.661E-1]" c="0.3661"/>
              <i n="[table1].[Utilization_Rate].&amp;[3.664E-1]" c="0.3664"/>
              <i n="[table1].[Utilization_Rate].&amp;[3.665E-1]" c="0.3665"/>
              <i n="[table1].[Utilization_Rate].&amp;[3.669E-1]" c="0.3669"/>
              <i n="[table1].[Utilization_Rate].&amp;[3.671E-1]" c="0.3671"/>
              <i n="[table1].[Utilization_Rate].&amp;[3.672E-1]" c="0.3672"/>
              <i n="[table1].[Utilization_Rate].&amp;[3.675E-1]" c="0.3675"/>
              <i n="[table1].[Utilization_Rate].&amp;[3.676E-1]" c="0.3676"/>
              <i n="[table1].[Utilization_Rate].&amp;[3.678E-1]" c="0.3678"/>
              <i n="[table1].[Utilization_Rate].&amp;[3.687E-1]" c="0.3687"/>
              <i n="[table1].[Utilization_Rate].&amp;[3.692E-1]" c="0.3692"/>
              <i n="[table1].[Utilization_Rate].&amp;[3.693E-1]" c="0.3693"/>
              <i n="[table1].[Utilization_Rate].&amp;[3.695E-1]" c="0.3695"/>
              <i n="[table1].[Utilization_Rate].&amp;[3.697E-1]" c="0.3697"/>
              <i n="[table1].[Utilization_Rate].&amp;[3.7E-1]" c="0.37"/>
              <i n="[table1].[Utilization_Rate].&amp;[3.702E-1]" c="0.3702"/>
              <i n="[table1].[Utilization_Rate].&amp;[3.704E-1]" c="0.3704"/>
              <i n="[table1].[Utilization_Rate].&amp;[3.705E-1]" c="0.3705"/>
              <i n="[table1].[Utilization_Rate].&amp;[3.712E-1]" c="0.3712"/>
              <i n="[table1].[Utilization_Rate].&amp;[3.716E-1]" c="0.3716"/>
              <i n="[table1].[Utilization_Rate].&amp;[3.717E-1]" c="0.3717"/>
              <i n="[table1].[Utilization_Rate].&amp;[3.719E-1]" c="0.3719"/>
              <i n="[table1].[Utilization_Rate].&amp;[3.72E-1]" c="0.372"/>
              <i n="[table1].[Utilization_Rate].&amp;[3.724E-1]" c="0.3724"/>
              <i n="[table1].[Utilization_Rate].&amp;[3.725E-1]" c="0.3725"/>
              <i n="[table1].[Utilization_Rate].&amp;[3.731E-1]" c="0.3731"/>
              <i n="[table1].[Utilization_Rate].&amp;[3.736E-1]" c="0.3736"/>
              <i n="[table1].[Utilization_Rate].&amp;[3.737E-1]" c="0.3737"/>
              <i n="[table1].[Utilization_Rate].&amp;[3.739E-1]" c="0.3739"/>
              <i n="[table1].[Utilization_Rate].&amp;[3.743E-1]" c="0.3743"/>
              <i n="[table1].[Utilization_Rate].&amp;[3.746E-1]" c="0.3746"/>
              <i n="[table1].[Utilization_Rate].&amp;[3.747E-1]" c="0.3747"/>
              <i n="[table1].[Utilization_Rate].&amp;[3.748E-1]" c="0.3748"/>
              <i n="[table1].[Utilization_Rate].&amp;[3.752E-1]" c="0.3752"/>
              <i n="[table1].[Utilization_Rate].&amp;[3.756E-1]" c="0.3756"/>
              <i n="[table1].[Utilization_Rate].&amp;[3.76E-1]" c="0.376"/>
              <i n="[table1].[Utilization_Rate].&amp;[3.761E-1]" c="0.3761"/>
              <i n="[table1].[Utilization_Rate].&amp;[3.762E-1]" c="0.3762"/>
              <i n="[table1].[Utilization_Rate].&amp;[3.777E-1]" c="0.3777"/>
              <i n="[table1].[Utilization_Rate].&amp;[3.787E-1]" c="0.3787"/>
              <i n="[table1].[Utilization_Rate].&amp;[3.789E-1]" c="0.3789"/>
              <i n="[table1].[Utilization_Rate].&amp;[3.792E-1]" c="0.3792"/>
              <i n="[table1].[Utilization_Rate].&amp;[3.796E-1]" c="0.3796"/>
              <i n="[table1].[Utilization_Rate].&amp;[3.804E-1]" c="0.3804"/>
              <i n="[table1].[Utilization_Rate].&amp;[3.822E-1]" c="0.3822"/>
              <i n="[table1].[Utilization_Rate].&amp;[3.828E-1]" c="0.3828"/>
              <i n="[table1].[Utilization_Rate].&amp;[3.83E-1]" c="0.383"/>
              <i n="[table1].[Utilization_Rate].&amp;[3.833E-1]" c="0.3833"/>
              <i n="[table1].[Utilization_Rate].&amp;[3.836E-1]" c="0.3836"/>
              <i n="[table1].[Utilization_Rate].&amp;[3.84E-1]" c="0.384"/>
              <i n="[table1].[Utilization_Rate].&amp;[3.846E-1]" c="0.3846"/>
              <i n="[table1].[Utilization_Rate].&amp;[3.85E-1]" c="0.385"/>
              <i n="[table1].[Utilization_Rate].&amp;[3.852E-1]" c="0.3852"/>
              <i n="[table1].[Utilization_Rate].&amp;[3.854E-1]" c="0.3854"/>
              <i n="[table1].[Utilization_Rate].&amp;[3.855E-1]" c="0.3855"/>
              <i n="[table1].[Utilization_Rate].&amp;[3.859E-1]" c="0.3859"/>
              <i n="[table1].[Utilization_Rate].&amp;[3.86E-1]" c="0.386"/>
              <i n="[table1].[Utilization_Rate].&amp;[3.865E-1]" c="0.3865"/>
              <i n="[table1].[Utilization_Rate].&amp;[3.872E-1]" c="0.3872"/>
              <i n="[table1].[Utilization_Rate].&amp;[3.876E-1]" c="0.3876"/>
              <i n="[table1].[Utilization_Rate].&amp;[3.878E-1]" c="0.3878"/>
              <i n="[table1].[Utilization_Rate].&amp;[3.879E-1]" c="0.3879"/>
              <i n="[table1].[Utilization_Rate].&amp;[3.882E-1]" c="0.3882"/>
              <i n="[table1].[Utilization_Rate].&amp;[3.884E-1]" c="0.3884"/>
              <i n="[table1].[Utilization_Rate].&amp;[3.885E-1]" c="0.3885"/>
              <i n="[table1].[Utilization_Rate].&amp;[3.887E-1]" c="0.3887"/>
              <i n="[table1].[Utilization_Rate].&amp;[3.89E-1]" c="0.389"/>
              <i n="[table1].[Utilization_Rate].&amp;[3.895E-1]" c="0.3895"/>
              <i n="[table1].[Utilization_Rate].&amp;[3.898E-1]" c="0.3898"/>
              <i n="[table1].[Utilization_Rate].&amp;[3.9E-1]" c="0.39"/>
              <i n="[table1].[Utilization_Rate].&amp;[3.906E-1]" c="0.3906"/>
              <i n="[table1].[Utilization_Rate].&amp;[3.914E-1]" c="0.3914"/>
              <i n="[table1].[Utilization_Rate].&amp;[3.917E-1]" c="0.3917"/>
              <i n="[table1].[Utilization_Rate].&amp;[3.922E-1]" c="0.3922"/>
              <i n="[table1].[Utilization_Rate].&amp;[3.927E-1]" c="0.3927"/>
              <i n="[table1].[Utilization_Rate].&amp;[3.93E-1]" c="0.393"/>
              <i n="[table1].[Utilization_Rate].&amp;[3.941E-1]" c="0.3941"/>
              <i n="[table1].[Utilization_Rate].&amp;[3.942E-1]" c="0.3942"/>
              <i n="[table1].[Utilization_Rate].&amp;[3.956E-1]" c="0.3956"/>
              <i n="[table1].[Utilization_Rate].&amp;[3.959E-1]" c="0.3959"/>
              <i n="[table1].[Utilization_Rate].&amp;[3.961E-1]" c="0.3961"/>
              <i n="[table1].[Utilization_Rate].&amp;[3.963E-1]" c="0.3963"/>
              <i n="[table1].[Utilization_Rate].&amp;[3.968E-1]" c="0.3968"/>
              <i n="[table1].[Utilization_Rate].&amp;[3.971E-1]" c="0.3971"/>
              <i n="[table1].[Utilization_Rate].&amp;[3.973E-1]" c="0.3973"/>
              <i n="[table1].[Utilization_Rate].&amp;[3.974E-1]" c="0.3974"/>
              <i n="[table1].[Utilization_Rate].&amp;[3.98E-1]" c="0.398"/>
              <i n="[table1].[Utilization_Rate].&amp;[3.983E-1]" c="0.3983"/>
              <i n="[table1].[Utilization_Rate].&amp;[3.984E-1]" c="0.3984"/>
              <i n="[table1].[Utilization_Rate].&amp;[3.986E-1]" c="0.3986"/>
              <i n="[table1].[Utilization_Rate].&amp;[3.989E-1]" c="0.3989"/>
              <i n="[table1].[Utilization_Rate].&amp;[3.991E-1]" c="0.3991"/>
              <i n="[table1].[Utilization_Rate].&amp;[4.003E-1]" c="0.4003"/>
              <i n="[table1].[Utilization_Rate].&amp;[4.01E-1]" c="0.401"/>
              <i n="[table1].[Utilization_Rate].&amp;[4.013E-1]" c="0.4013"/>
              <i n="[table1].[Utilization_Rate].&amp;[4.015E-1]" c="0.4015"/>
              <i n="[table1].[Utilization_Rate].&amp;[4.016E-1]" c="0.4016"/>
              <i n="[table1].[Utilization_Rate].&amp;[4.019E-1]" c="0.4019"/>
              <i n="[table1].[Utilization_Rate].&amp;[4.025E-1]" c="0.4025"/>
              <i n="[table1].[Utilization_Rate].&amp;[4.029E-1]" c="0.4029"/>
              <i n="[table1].[Utilization_Rate].&amp;[4.031E-1]" c="0.4031"/>
              <i n="[table1].[Utilization_Rate].&amp;[4.033E-1]" c="0.4033"/>
              <i n="[table1].[Utilization_Rate].&amp;[4.038E-1]" c="0.4038"/>
              <i n="[table1].[Utilization_Rate].&amp;[4.041E-1]" c="0.4041"/>
              <i n="[table1].[Utilization_Rate].&amp;[4.042E-1]" c="0.4042"/>
              <i n="[table1].[Utilization_Rate].&amp;[4.044E-1]" c="0.4044"/>
              <i n="[table1].[Utilization_Rate].&amp;[4.045E-1]" c="0.4045"/>
              <i n="[table1].[Utilization_Rate].&amp;[4.046E-1]" c="0.4046"/>
              <i n="[table1].[Utilization_Rate].&amp;[4.05E-1]" c="0.405"/>
              <i n="[table1].[Utilization_Rate].&amp;[4.052E-1]" c="0.4052"/>
              <i n="[table1].[Utilization_Rate].&amp;[4.054E-1]" c="0.4054"/>
              <i n="[table1].[Utilization_Rate].&amp;[4.056E-1]" c="0.4056"/>
              <i n="[table1].[Utilization_Rate].&amp;[4.067E-1]" c="0.4067"/>
              <i n="[table1].[Utilization_Rate].&amp;[4.069E-1]" c="0.4069"/>
              <i n="[table1].[Utilization_Rate].&amp;[4.077E-1]" c="0.4077"/>
              <i n="[table1].[Utilization_Rate].&amp;[4.084E-1]" c="0.4084"/>
              <i n="[table1].[Utilization_Rate].&amp;[4.086E-1]" c="0.4086"/>
              <i n="[table1].[Utilization_Rate].&amp;[4.087E-1]" c="0.4087"/>
              <i n="[table1].[Utilization_Rate].&amp;[4.088E-1]" c="0.4088"/>
              <i n="[table1].[Utilization_Rate].&amp;[4.095E-1]" c="0.4095"/>
              <i n="[table1].[Utilization_Rate].&amp;[4.1E-1]" c="0.41"/>
              <i n="[table1].[Utilization_Rate].&amp;[4.101E-1]" c="0.4101"/>
              <i n="[table1].[Utilization_Rate].&amp;[4.103E-1]" c="0.4103"/>
              <i n="[table1].[Utilization_Rate].&amp;[4.106E-1]" c="0.4106"/>
              <i n="[table1].[Utilization_Rate].&amp;[4.118E-1]" c="0.4118"/>
              <i n="[table1].[Utilization_Rate].&amp;[4.121E-1]" c="0.4121"/>
              <i n="[table1].[Utilization_Rate].&amp;[4.134E-1]" c="0.4134"/>
              <i n="[table1].[Utilization_Rate].&amp;[4.144E-1]" c="0.4144"/>
              <i n="[table1].[Utilization_Rate].&amp;[4.147E-1]" c="0.4147"/>
              <i n="[table1].[Utilization_Rate].&amp;[4.148E-1]" c="0.4148"/>
              <i n="[table1].[Utilization_Rate].&amp;[4.167E-1]" c="0.4167"/>
              <i n="[table1].[Utilization_Rate].&amp;[4.17E-1]" c="0.417"/>
              <i n="[table1].[Utilization_Rate].&amp;[4.178E-1]" c="0.4178"/>
              <i n="[table1].[Utilization_Rate].&amp;[4.179E-1]" c="0.4179"/>
              <i n="[table1].[Utilization_Rate].&amp;[4.181E-1]" c="0.4181"/>
              <i n="[table1].[Utilization_Rate].&amp;[4.182E-1]" c="0.4182"/>
              <i n="[table1].[Utilization_Rate].&amp;[4.186E-1]" c="0.4186"/>
              <i n="[table1].[Utilization_Rate].&amp;[4.187E-1]" c="0.4187"/>
              <i n="[table1].[Utilization_Rate].&amp;[4.192E-1]" c="0.4192"/>
              <i n="[table1].[Utilization_Rate].&amp;[4.195E-1]" c="0.4195"/>
              <i n="[table1].[Utilization_Rate].&amp;[4.198E-1]" c="0.4198"/>
              <i n="[table1].[Utilization_Rate].&amp;[4.204E-1]" c="0.4204"/>
              <i n="[table1].[Utilization_Rate].&amp;[4.205E-1]" c="0.4205"/>
              <i n="[table1].[Utilization_Rate].&amp;[4.206E-1]" c="0.4206"/>
              <i n="[table1].[Utilization_Rate].&amp;[4.208E-1]" c="0.4208"/>
              <i n="[table1].[Utilization_Rate].&amp;[4.214E-1]" c="0.4214"/>
              <i n="[table1].[Utilization_Rate].&amp;[4.222E-1]" c="0.4222"/>
              <i n="[table1].[Utilization_Rate].&amp;[4.227E-1]" c="0.4227"/>
              <i n="[table1].[Utilization_Rate].&amp;[4.23E-1]" c="0.423"/>
              <i n="[table1].[Utilization_Rate].&amp;[4.234E-1]" c="0.4234"/>
              <i n="[table1].[Utilization_Rate].&amp;[4.243E-1]" c="0.4243"/>
              <i n="[table1].[Utilization_Rate].&amp;[4.245E-1]" c="0.4245"/>
              <i n="[table1].[Utilization_Rate].&amp;[4.246E-1]" c="0.4246"/>
              <i n="[table1].[Utilization_Rate].&amp;[4.248E-1]" c="0.4248"/>
              <i n="[table1].[Utilization_Rate].&amp;[4.261E-1]" c="0.4261"/>
              <i n="[table1].[Utilization_Rate].&amp;[4.265E-1]" c="0.4265"/>
              <i n="[table1].[Utilization_Rate].&amp;[4.271E-1]" c="0.4271"/>
              <i n="[table1].[Utilization_Rate].&amp;[4.275E-1]" c="0.4275"/>
              <i n="[table1].[Utilization_Rate].&amp;[4.283E-1]" c="0.4283"/>
              <i n="[table1].[Utilization_Rate].&amp;[4.287E-1]" c="0.4287"/>
              <i n="[table1].[Utilization_Rate].&amp;[4.289E-1]" c="0.4289"/>
              <i n="[table1].[Utilization_Rate].&amp;[4.29E-1]" c="0.429"/>
              <i n="[table1].[Utilization_Rate].&amp;[4.291E-1]" c="0.4291"/>
              <i n="[table1].[Utilization_Rate].&amp;[4.3E-1]" c="0.43"/>
              <i n="[table1].[Utilization_Rate].&amp;[4.305E-1]" c="0.4305"/>
              <i n="[table1].[Utilization_Rate].&amp;[4.309E-1]" c="0.4309"/>
              <i n="[table1].[Utilization_Rate].&amp;[4.314E-1]" c="0.4314"/>
              <i n="[table1].[Utilization_Rate].&amp;[4.32E-1]" c="0.432"/>
              <i n="[table1].[Utilization_Rate].&amp;[4.331E-1]" c="0.4331"/>
              <i n="[table1].[Utilization_Rate].&amp;[4.333E-1]" c="0.4333"/>
              <i n="[table1].[Utilization_Rate].&amp;[4.334E-1]" c="0.4334"/>
              <i n="[table1].[Utilization_Rate].&amp;[4.335E-1]" c="0.4335"/>
              <i n="[table1].[Utilization_Rate].&amp;[4.336E-1]" c="0.4336"/>
              <i n="[table1].[Utilization_Rate].&amp;[4.338E-1]" c="0.4338"/>
              <i n="[table1].[Utilization_Rate].&amp;[4.344E-1]" c="0.4344"/>
              <i n="[table1].[Utilization_Rate].&amp;[4.352E-1]" c="0.4352"/>
              <i n="[table1].[Utilization_Rate].&amp;[4.358E-1]" c="0.4358"/>
              <i n="[table1].[Utilization_Rate].&amp;[4.36E-1]" c="0.436"/>
              <i n="[table1].[Utilization_Rate].&amp;[4.361E-1]" c="0.4361"/>
              <i n="[table1].[Utilization_Rate].&amp;[4.362E-1]" c="0.4362"/>
              <i n="[table1].[Utilization_Rate].&amp;[4.364E-1]" c="0.4364"/>
              <i n="[table1].[Utilization_Rate].&amp;[4.366E-1]" c="0.4366"/>
              <i n="[table1].[Utilization_Rate].&amp;[4.376E-1]" c="0.4376"/>
              <i n="[table1].[Utilization_Rate].&amp;[4.377E-1]" c="0.4377"/>
              <i n="[table1].[Utilization_Rate].&amp;[4.38E-1]" c="0.438"/>
              <i n="[table1].[Utilization_Rate].&amp;[4.383E-1]" c="0.4383"/>
              <i n="[table1].[Utilization_Rate].&amp;[4.384E-1]" c="0.4384"/>
              <i n="[table1].[Utilization_Rate].&amp;[4.385E-1]" c="0.4385"/>
              <i n="[table1].[Utilization_Rate].&amp;[4.39E-1]" c="0.439"/>
              <i n="[table1].[Utilization_Rate].&amp;[4.397E-1]" c="0.4397"/>
              <i n="[table1].[Utilization_Rate].&amp;[4.411E-1]" c="0.4411"/>
              <i n="[table1].[Utilization_Rate].&amp;[4.413E-1]" c="0.4413"/>
              <i n="[table1].[Utilization_Rate].&amp;[4.415E-1]" c="0.4415"/>
              <i n="[table1].[Utilization_Rate].&amp;[4.416E-1]" c="0.4416"/>
              <i n="[table1].[Utilization_Rate].&amp;[4.42E-1]" c="0.442"/>
              <i n="[table1].[Utilization_Rate].&amp;[4.425E-1]" c="0.4425"/>
              <i n="[table1].[Utilization_Rate].&amp;[4.431E-1]" c="0.4431"/>
              <i n="[table1].[Utilization_Rate].&amp;[4.432E-1]" c="0.4432"/>
              <i n="[table1].[Utilization_Rate].&amp;[4.442E-1]" c="0.4442"/>
              <i n="[table1].[Utilization_Rate].&amp;[4.443E-1]" c="0.4443"/>
              <i n="[table1].[Utilization_Rate].&amp;[4.444E-1]" c="0.4444"/>
              <i n="[table1].[Utilization_Rate].&amp;[4.445E-1]" c="0.4445"/>
              <i n="[table1].[Utilization_Rate].&amp;[4.453E-1]" c="0.4453"/>
              <i n="[table1].[Utilization_Rate].&amp;[4.457E-1]" c="0.4457"/>
              <i n="[table1].[Utilization_Rate].&amp;[4.462E-1]" c="0.4462"/>
              <i n="[table1].[Utilization_Rate].&amp;[4.463E-1]" c="0.4463"/>
              <i n="[table1].[Utilization_Rate].&amp;[4.476E-1]" c="0.4476"/>
              <i n="[table1].[Utilization_Rate].&amp;[4.483E-1]" c="0.4483"/>
              <i n="[table1].[Utilization_Rate].&amp;[4.484E-1]" c="0.4484"/>
              <i n="[table1].[Utilization_Rate].&amp;[4.485E-1]" c="0.4485"/>
              <i n="[table1].[Utilization_Rate].&amp;[4.486E-1]" c="0.4486"/>
              <i n="[table1].[Utilization_Rate].&amp;[4.489E-1]" c="0.4489"/>
              <i n="[table1].[Utilization_Rate].&amp;[4.493E-1]" c="0.4493"/>
              <i n="[table1].[Utilization_Rate].&amp;[4.498E-1]" c="0.4498"/>
              <i n="[table1].[Utilization_Rate].&amp;[4.503E-1]" c="0.4503"/>
              <i n="[table1].[Utilization_Rate].&amp;[4.507E-1]" c="0.4507"/>
              <i n="[table1].[Utilization_Rate].&amp;[4.519E-1]" c="0.4519"/>
              <i n="[table1].[Utilization_Rate].&amp;[4.521E-1]" c="0.4521"/>
              <i n="[table1].[Utilization_Rate].&amp;[4.527E-1]" c="0.4527"/>
              <i n="[table1].[Utilization_Rate].&amp;[4.532E-1]" c="0.4532"/>
              <i n="[table1].[Utilization_Rate].&amp;[4.535E-1]" c="0.4535"/>
              <i n="[table1].[Utilization_Rate].&amp;[4.536E-1]" c="0.4536"/>
              <i n="[table1].[Utilization_Rate].&amp;[4.537E-1]" c="0.4537"/>
              <i n="[table1].[Utilization_Rate].&amp;[4.538E-1]" c="0.4538"/>
              <i n="[table1].[Utilization_Rate].&amp;[4.541E-1]" c="0.4541"/>
              <i n="[table1].[Utilization_Rate].&amp;[4.547E-1]" c="0.4547"/>
              <i n="[table1].[Utilization_Rate].&amp;[4.548E-1]" c="0.4548"/>
              <i n="[table1].[Utilization_Rate].&amp;[4.55E-1]" c="0.455"/>
              <i n="[table1].[Utilization_Rate].&amp;[4.551E-1]" c="0.4551"/>
              <i n="[table1].[Utilization_Rate].&amp;[4.56E-1]" c="0.456"/>
              <i n="[table1].[Utilization_Rate].&amp;[4.567E-1]" c="0.4567"/>
              <i n="[table1].[Utilization_Rate].&amp;[4.568E-1]" c="0.4568"/>
              <i n="[table1].[Utilization_Rate].&amp;[4.569E-1]" c="0.4569"/>
              <i n="[table1].[Utilization_Rate].&amp;[4.57E-1]" c="0.457"/>
              <i n="[table1].[Utilization_Rate].&amp;[4.571E-1]" c="0.4571"/>
              <i n="[table1].[Utilization_Rate].&amp;[4.573E-1]" c="0.4573"/>
              <i n="[table1].[Utilization_Rate].&amp;[4.582E-1]" c="0.4582"/>
              <i n="[table1].[Utilization_Rate].&amp;[4.588E-1]" c="0.4588"/>
              <i n="[table1].[Utilization_Rate].&amp;[4.596E-1]" c="0.4596"/>
              <i n="[table1].[Utilization_Rate].&amp;[4.599E-1]" c="0.4599"/>
              <i n="[table1].[Utilization_Rate].&amp;[4.604E-1]" c="0.4604"/>
              <i n="[table1].[Utilization_Rate].&amp;[4.61E-1]" c="0.461"/>
              <i n="[table1].[Utilization_Rate].&amp;[4.614E-1]" c="0.4614"/>
              <i n="[table1].[Utilization_Rate].&amp;[4.618E-1]" c="0.4618"/>
              <i n="[table1].[Utilization_Rate].&amp;[4.62E-1]" c="0.462"/>
              <i n="[table1].[Utilization_Rate].&amp;[4.633E-1]" c="0.4633"/>
              <i n="[table1].[Utilization_Rate].&amp;[4.635E-1]" c="0.4635"/>
              <i n="[table1].[Utilization_Rate].&amp;[4.636E-1]" c="0.4636"/>
              <i n="[table1].[Utilization_Rate].&amp;[4.638E-1]" c="0.4638"/>
              <i n="[table1].[Utilization_Rate].&amp;[4.645E-1]" c="0.4645"/>
              <i n="[table1].[Utilization_Rate].&amp;[4.653E-1]" c="0.4653"/>
              <i n="[table1].[Utilization_Rate].&amp;[4.655E-1]" c="0.4655"/>
              <i n="[table1].[Utilization_Rate].&amp;[4.661E-1]" c="0.4661"/>
              <i n="[table1].[Utilization_Rate].&amp;[4.666E-1]" c="0.4666"/>
              <i n="[table1].[Utilization_Rate].&amp;[4.674E-1]" c="0.4674"/>
              <i n="[table1].[Utilization_Rate].&amp;[4.675E-1]" c="0.4675"/>
              <i n="[table1].[Utilization_Rate].&amp;[4.676E-1]" c="0.4676"/>
              <i n="[table1].[Utilization_Rate].&amp;[4.677E-1]" c="0.4677"/>
              <i n="[table1].[Utilization_Rate].&amp;[4.68E-1]" c="0.468"/>
              <i n="[table1].[Utilization_Rate].&amp;[4.683E-1]" c="0.4683"/>
              <i n="[table1].[Utilization_Rate].&amp;[4.684E-1]" c="0.4684"/>
              <i n="[table1].[Utilization_Rate].&amp;[4.685E-1]" c="0.4685"/>
              <i n="[table1].[Utilization_Rate].&amp;[4.686E-1]" c="0.4686"/>
              <i n="[table1].[Utilization_Rate].&amp;[4.693E-1]" c="0.4693"/>
              <i n="[table1].[Utilization_Rate].&amp;[4.694E-1]" c="0.4694"/>
              <i n="[table1].[Utilization_Rate].&amp;[4.697E-1]" c="0.4697"/>
              <i n="[table1].[Utilization_Rate].&amp;[4.699E-1]" c="0.4699"/>
              <i n="[table1].[Utilization_Rate].&amp;[4.711E-1]" c="0.4711"/>
              <i n="[table1].[Utilization_Rate].&amp;[4.719E-1]" c="0.4719"/>
              <i n="[table1].[Utilization_Rate].&amp;[4.721E-1]" c="0.4721"/>
              <i n="[table1].[Utilization_Rate].&amp;[4.726E-1]" c="0.4726"/>
              <i n="[table1].[Utilization_Rate].&amp;[4.727E-1]" c="0.4727"/>
              <i n="[table1].[Utilization_Rate].&amp;[4.734E-1]" c="0.4734"/>
              <i n="[table1].[Utilization_Rate].&amp;[4.736E-1]" c="0.4736"/>
              <i n="[table1].[Utilization_Rate].&amp;[4.754E-1]" c="0.4754"/>
              <i n="[table1].[Utilization_Rate].&amp;[4.755E-1]" c="0.4755"/>
              <i n="[table1].[Utilization_Rate].&amp;[4.772E-1]" c="0.4772"/>
              <i n="[table1].[Utilization_Rate].&amp;[4.783E-1]" c="0.4783"/>
              <i n="[table1].[Utilization_Rate].&amp;[4.787E-1]" c="0.4787"/>
              <i n="[table1].[Utilization_Rate].&amp;[4.788E-1]" c="0.4788"/>
              <i n="[table1].[Utilization_Rate].&amp;[4.79E-1]" c="0.479"/>
              <i n="[table1].[Utilization_Rate].&amp;[4.792E-1]" c="0.4792"/>
              <i n="[table1].[Utilization_Rate].&amp;[4.796E-1]" c="0.4796"/>
              <i n="[table1].[Utilization_Rate].&amp;[4.797E-1]" c="0.4797"/>
              <i n="[table1].[Utilization_Rate].&amp;[4.799E-1]" c="0.4799"/>
              <i n="[table1].[Utilization_Rate].&amp;[4.81E-1]" c="0.481"/>
              <i n="[table1].[Utilization_Rate].&amp;[4.813E-1]" c="0.4813"/>
              <i n="[table1].[Utilization_Rate].&amp;[4.814E-1]" c="0.4814"/>
              <i n="[table1].[Utilization_Rate].&amp;[4.815E-1]" c="0.4815"/>
              <i n="[table1].[Utilization_Rate].&amp;[4.817E-1]" c="0.4817"/>
            </range>
          </ranges>
        </level>
      </levels>
      <selections count="1">
        <selection n="[table1].[Utilization_Rate].&amp;[9.26E-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_Status" xr10:uid="{F2F81A1E-64E0-42A1-9729-BEA42E29ABC8}" cache="Slicer_Marrital_Status" caption="Marrital_Status" level="1" rowHeight="234950"/>
  <slicer name="Utilization_Rate" xr10:uid="{65EE5DB4-46DD-4493-9F61-4D2B4C596A7A}" cache="Slicer_Utilization_Rate" caption="Utilization_Rate" startItem="96"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036A39-2AF4-447B-979B-0B982A03D6F8}" name="Table1" displayName="Table1" ref="A1:P2001" totalsRowShown="0" headerRowDxfId="33" dataDxfId="31" headerRowBorderDxfId="32" tableBorderDxfId="30" totalsRowBorderDxfId="29">
  <autoFilter ref="A1:P2001" xr:uid="{FB036A39-2AF4-447B-979B-0B982A03D6F8}"/>
  <tableColumns count="16">
    <tableColumn id="1" xr3:uid="{65A0297D-320A-4165-A74D-AD5120C3E9A9}" name="Name" dataDxfId="28"/>
    <tableColumn id="2" xr3:uid="{F2C2C8DA-E0C2-4AD3-A105-BEB84C7FDBD4}" name="Occupation" dataDxfId="27"/>
    <tableColumn id="3" xr3:uid="{4525FFB2-1226-48F1-B993-9D54FB409F74}" name="Limit_Balance" dataDxfId="26"/>
    <tableColumn id="4" xr3:uid="{94D54260-2728-44D3-A058-3F808C5037EC}" name="Age" dataDxfId="25"/>
    <tableColumn id="5" xr3:uid="{F11AEF82-09BC-4A26-B2C9-7D57B38B5B51}" name="Married_Flag" dataDxfId="24"/>
    <tableColumn id="6" xr3:uid="{B5DB2BDD-0818-41A8-976F-BE228CB1702A}" name="Income_Stability" dataDxfId="23"/>
    <tableColumn id="7" xr3:uid="{67328755-DF23-4B77-AC36-3CB8C376F154}" name="Utilization_Rate" dataDxfId="22"/>
    <tableColumn id="8" xr3:uid="{705ECFB9-37AD-4BF8-9085-E3C5A331F305}" name="Late_Payment_Last_Year" dataDxfId="21"/>
    <tableColumn id="9" xr3:uid="{93164A66-5D86-49CB-86EA-00B80758FC04}" name="Average_Bill_Amount" dataDxfId="20"/>
    <tableColumn id="10" xr3:uid="{BEF2530E-A1BE-4362-A3B9-F4A2A7D39EC8}" name="Average_Payment_Amount" dataDxfId="19"/>
    <tableColumn id="11" xr3:uid="{5503124E-A7E9-46D9-9C7B-0405E4E04663}" name="Months_with_Bank" dataDxfId="18"/>
    <tableColumn id="12" xr3:uid="{E796627F-39CB-4A89-BE64-470F799E2C81}" name="Educational_Level" dataDxfId="17"/>
    <tableColumn id="13" xr3:uid="{B21E89CB-684F-4180-93E3-7947111EC054}" name="Marrital_Status" dataDxfId="16"/>
    <tableColumn id="14" xr3:uid="{93D37114-4845-467E-886D-57493D824780}" name="Dependents" dataDxfId="15"/>
    <tableColumn id="15" xr3:uid="{E15582C9-B3EE-41E3-989D-05D3EF16D357}" name="Credit_Score" dataDxfId="14"/>
    <tableColumn id="16" xr3:uid="{C5955A3B-73E1-42D1-8E81-60CCA76A07A1}" name="Default"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E61D-4045-47A5-B436-32F313C4107D}">
  <dimension ref="A1:X2001"/>
  <sheetViews>
    <sheetView topLeftCell="A2" workbookViewId="0">
      <selection activeCell="V24" sqref="V24"/>
    </sheetView>
  </sheetViews>
  <sheetFormatPr defaultRowHeight="14.4" x14ac:dyDescent="0.3"/>
  <cols>
    <col min="1" max="7" width="27.21875" customWidth="1"/>
    <col min="8" max="8" width="40.5546875" customWidth="1"/>
    <col min="9" max="9" width="34.5546875" customWidth="1"/>
    <col min="10" max="10" width="42.109375" customWidth="1"/>
    <col min="11" max="11" width="31.77734375" customWidth="1"/>
    <col min="12" max="12" width="30" customWidth="1"/>
    <col min="13" max="16" width="27.21875" customWidth="1"/>
    <col min="18" max="21" width="27.21875" customWidth="1"/>
    <col min="22" max="22" width="28.21875" customWidth="1"/>
    <col min="23" max="24" width="27.21875" customWidth="1"/>
  </cols>
  <sheetData>
    <row r="1" spans="1:24" ht="24" thickBot="1" x14ac:dyDescent="0.5">
      <c r="A1" s="1" t="s">
        <v>1978</v>
      </c>
      <c r="B1" s="2" t="s">
        <v>1979</v>
      </c>
      <c r="C1" s="2" t="s">
        <v>1980</v>
      </c>
      <c r="D1" s="2" t="s">
        <v>1981</v>
      </c>
      <c r="E1" s="2" t="s">
        <v>1982</v>
      </c>
      <c r="F1" s="2" t="s">
        <v>1983</v>
      </c>
      <c r="G1" s="2" t="s">
        <v>1984</v>
      </c>
      <c r="H1" s="2" t="s">
        <v>1985</v>
      </c>
      <c r="I1" s="2" t="s">
        <v>1986</v>
      </c>
      <c r="J1" s="2" t="s">
        <v>1987</v>
      </c>
      <c r="K1" s="2" t="s">
        <v>1988</v>
      </c>
      <c r="L1" s="2" t="s">
        <v>1989</v>
      </c>
      <c r="M1" s="2" t="s">
        <v>1990</v>
      </c>
      <c r="N1" s="2" t="s">
        <v>1991</v>
      </c>
      <c r="O1" s="2" t="s">
        <v>1992</v>
      </c>
      <c r="P1" s="3" t="s">
        <v>1993</v>
      </c>
    </row>
    <row r="2" spans="1:24" ht="23.4" x14ac:dyDescent="0.45">
      <c r="A2" s="4" t="s">
        <v>0</v>
      </c>
      <c r="B2" s="5" t="s">
        <v>1</v>
      </c>
      <c r="C2" s="5">
        <v>83515.94</v>
      </c>
      <c r="D2" s="5">
        <v>38</v>
      </c>
      <c r="E2" s="5">
        <v>1</v>
      </c>
      <c r="F2" s="5">
        <v>0.66539999999999999</v>
      </c>
      <c r="G2" s="5">
        <v>0.40439999999999998</v>
      </c>
      <c r="H2" s="5">
        <v>4</v>
      </c>
      <c r="I2" s="5">
        <v>53481.8</v>
      </c>
      <c r="J2" s="5">
        <v>43519.22</v>
      </c>
      <c r="K2" s="5">
        <v>145</v>
      </c>
      <c r="L2" s="5">
        <v>1</v>
      </c>
      <c r="M2" s="5">
        <v>1</v>
      </c>
      <c r="N2" s="5">
        <v>0</v>
      </c>
      <c r="O2" s="5">
        <v>711.44</v>
      </c>
      <c r="P2" s="6">
        <v>1</v>
      </c>
      <c r="R2" s="18" t="s">
        <v>2023</v>
      </c>
      <c r="S2" s="19"/>
      <c r="T2" s="19" t="s">
        <v>2024</v>
      </c>
      <c r="U2" s="19"/>
      <c r="V2" s="20" t="s">
        <v>2025</v>
      </c>
      <c r="W2" s="18"/>
      <c r="X2" s="21" t="s">
        <v>2026</v>
      </c>
    </row>
    <row r="3" spans="1:24" ht="23.4" x14ac:dyDescent="0.45">
      <c r="A3" s="4" t="s">
        <v>2</v>
      </c>
      <c r="B3" s="5" t="s">
        <v>1</v>
      </c>
      <c r="C3" s="5">
        <v>142360.14000000001</v>
      </c>
      <c r="D3" s="5">
        <v>33</v>
      </c>
      <c r="E3" s="5">
        <v>1</v>
      </c>
      <c r="F3" s="5">
        <v>0.6341</v>
      </c>
      <c r="G3" s="5">
        <v>2.0199999999999999E-2</v>
      </c>
      <c r="H3" s="5">
        <v>0</v>
      </c>
      <c r="I3" s="5">
        <v>10807.38</v>
      </c>
      <c r="J3" s="5">
        <v>4220.5200000000004</v>
      </c>
      <c r="K3" s="5">
        <v>46</v>
      </c>
      <c r="L3" s="5">
        <v>2</v>
      </c>
      <c r="M3" s="5">
        <v>1</v>
      </c>
      <c r="N3" s="5">
        <v>0</v>
      </c>
      <c r="O3" s="5">
        <v>843.63</v>
      </c>
      <c r="P3" s="6">
        <v>0</v>
      </c>
      <c r="R3" s="22" t="str">
        <f>LEFT(B2,4)</f>
        <v>Soft</v>
      </c>
      <c r="S3" s="5"/>
      <c r="T3" s="5" t="str">
        <f>TRIM(B2)</f>
        <v>Software Engineer</v>
      </c>
      <c r="U3" s="5"/>
      <c r="V3" s="6" t="str" cm="1">
        <f t="array" ref="V3">_xlfn.IFS(
C2&gt;=1500000,"Platinum",
C2&gt;=1000000,"Gold",
C2&gt;=500000,"Silver",
TRUE,"Normal"
)</f>
        <v>Normal</v>
      </c>
      <c r="W3" s="22"/>
      <c r="X3" s="23">
        <f>COUNT(I:I)</f>
        <v>2000</v>
      </c>
    </row>
    <row r="4" spans="1:24" ht="23.4" x14ac:dyDescent="0.45">
      <c r="A4" s="4" t="s">
        <v>3</v>
      </c>
      <c r="B4" s="5" t="s">
        <v>4</v>
      </c>
      <c r="C4" s="5">
        <v>79722.58</v>
      </c>
      <c r="D4" s="5">
        <v>27</v>
      </c>
      <c r="E4" s="5">
        <v>1</v>
      </c>
      <c r="F4" s="5">
        <v>0.77549999999999997</v>
      </c>
      <c r="G4" s="5">
        <v>0.25480000000000003</v>
      </c>
      <c r="H4" s="5">
        <v>3</v>
      </c>
      <c r="I4" s="5">
        <v>19907.53</v>
      </c>
      <c r="J4" s="5">
        <v>16512.96</v>
      </c>
      <c r="K4" s="5">
        <v>123</v>
      </c>
      <c r="L4" s="5">
        <v>2</v>
      </c>
      <c r="M4" s="5">
        <v>3</v>
      </c>
      <c r="N4" s="5">
        <v>0</v>
      </c>
      <c r="O4" s="5">
        <v>615.80999999999995</v>
      </c>
      <c r="P4" s="6">
        <v>0</v>
      </c>
      <c r="R4" s="22"/>
      <c r="S4" s="5"/>
      <c r="T4" s="5"/>
      <c r="U4" s="5"/>
      <c r="V4" s="6"/>
      <c r="W4" s="22"/>
      <c r="X4" s="23"/>
    </row>
    <row r="5" spans="1:24" ht="23.4" x14ac:dyDescent="0.45">
      <c r="A5" s="4" t="s">
        <v>5</v>
      </c>
      <c r="B5" s="5" t="s">
        <v>6</v>
      </c>
      <c r="C5" s="5">
        <v>62818.02</v>
      </c>
      <c r="D5" s="5">
        <v>44</v>
      </c>
      <c r="E5" s="5">
        <v>0</v>
      </c>
      <c r="F5" s="5">
        <v>0.42380000000000001</v>
      </c>
      <c r="G5" s="5">
        <v>0.21759999999999999</v>
      </c>
      <c r="H5" s="5">
        <v>3</v>
      </c>
      <c r="I5" s="5">
        <v>16735.080000000002</v>
      </c>
      <c r="J5" s="5">
        <v>8732.06</v>
      </c>
      <c r="K5" s="5">
        <v>65</v>
      </c>
      <c r="L5" s="5">
        <v>3</v>
      </c>
      <c r="M5" s="5">
        <v>1</v>
      </c>
      <c r="N5" s="5">
        <v>1</v>
      </c>
      <c r="O5" s="5">
        <v>707.17</v>
      </c>
      <c r="P5" s="6">
        <v>0</v>
      </c>
      <c r="R5" s="22" t="s">
        <v>2027</v>
      </c>
      <c r="S5" s="5"/>
      <c r="T5" s="5" t="s">
        <v>2028</v>
      </c>
      <c r="U5" s="5"/>
      <c r="V5" s="6" t="s">
        <v>2029</v>
      </c>
      <c r="W5" s="22"/>
      <c r="X5" s="23" t="s">
        <v>2030</v>
      </c>
    </row>
    <row r="6" spans="1:24" ht="23.4" x14ac:dyDescent="0.45">
      <c r="A6" s="4" t="s">
        <v>7</v>
      </c>
      <c r="B6" s="5" t="s">
        <v>1</v>
      </c>
      <c r="C6" s="5">
        <v>111994.84</v>
      </c>
      <c r="D6" s="5">
        <v>63</v>
      </c>
      <c r="E6" s="5">
        <v>0</v>
      </c>
      <c r="F6" s="5">
        <v>0.8599</v>
      </c>
      <c r="G6" s="5">
        <v>0.33750000000000002</v>
      </c>
      <c r="H6" s="5">
        <v>7</v>
      </c>
      <c r="I6" s="5">
        <v>25505.63</v>
      </c>
      <c r="J6" s="5">
        <v>10183.85</v>
      </c>
      <c r="K6" s="5">
        <v>49</v>
      </c>
      <c r="L6" s="5">
        <v>2</v>
      </c>
      <c r="M6" s="5">
        <v>1</v>
      </c>
      <c r="N6" s="5">
        <v>1</v>
      </c>
      <c r="O6" s="5">
        <v>709.1</v>
      </c>
      <c r="P6" s="6">
        <v>0</v>
      </c>
      <c r="R6" s="22" t="str">
        <f>RIGHT(B2,3)</f>
        <v>eer</v>
      </c>
      <c r="S6" s="5"/>
      <c r="T6" s="5" t="str">
        <f>CLEAN(TEXT(J5,2))</f>
        <v>2</v>
      </c>
      <c r="U6" s="5"/>
      <c r="V6" s="6" t="b">
        <f>AND(C2&gt;=800000,D2&gt;=12)</f>
        <v>0</v>
      </c>
      <c r="W6" s="22"/>
      <c r="X6" s="23">
        <f>AVERAGE(C:C)</f>
        <v>89463.563359999942</v>
      </c>
    </row>
    <row r="7" spans="1:24" ht="23.4" x14ac:dyDescent="0.45">
      <c r="A7" s="4" t="s">
        <v>8</v>
      </c>
      <c r="B7" s="5" t="s">
        <v>9</v>
      </c>
      <c r="C7" s="5">
        <v>191722.63</v>
      </c>
      <c r="D7" s="5">
        <v>35</v>
      </c>
      <c r="E7" s="5">
        <v>1</v>
      </c>
      <c r="F7" s="5">
        <v>0.54630000000000001</v>
      </c>
      <c r="G7" s="5">
        <v>0</v>
      </c>
      <c r="H7" s="5">
        <v>1</v>
      </c>
      <c r="I7" s="5">
        <v>500</v>
      </c>
      <c r="J7" s="5">
        <v>7133.12</v>
      </c>
      <c r="K7" s="5">
        <v>74</v>
      </c>
      <c r="L7" s="5">
        <v>1</v>
      </c>
      <c r="M7" s="5">
        <v>3</v>
      </c>
      <c r="N7" s="5">
        <v>1</v>
      </c>
      <c r="O7" s="5">
        <v>726.02</v>
      </c>
      <c r="P7" s="6">
        <v>0</v>
      </c>
      <c r="R7" s="22"/>
      <c r="S7" s="5"/>
      <c r="T7" s="5"/>
      <c r="U7" s="5"/>
      <c r="V7" s="6"/>
      <c r="W7" s="22"/>
      <c r="X7" s="23"/>
    </row>
    <row r="8" spans="1:24" ht="23.4" x14ac:dyDescent="0.45">
      <c r="A8" s="4" t="s">
        <v>10</v>
      </c>
      <c r="B8" s="5" t="s">
        <v>9</v>
      </c>
      <c r="C8" s="5">
        <v>102314.1</v>
      </c>
      <c r="D8" s="5">
        <v>62</v>
      </c>
      <c r="E8" s="5">
        <v>0</v>
      </c>
      <c r="F8" s="5">
        <v>0.92879999999999996</v>
      </c>
      <c r="G8" s="5">
        <v>0.2104</v>
      </c>
      <c r="H8" s="5">
        <v>2</v>
      </c>
      <c r="I8" s="5">
        <v>21934.19</v>
      </c>
      <c r="J8" s="5">
        <v>27190.61</v>
      </c>
      <c r="K8" s="5">
        <v>73</v>
      </c>
      <c r="L8" s="5">
        <v>2</v>
      </c>
      <c r="M8" s="5">
        <v>1</v>
      </c>
      <c r="N8" s="5">
        <v>1</v>
      </c>
      <c r="O8" s="5">
        <v>610.99</v>
      </c>
      <c r="P8" s="6">
        <v>0</v>
      </c>
      <c r="R8" s="22" t="s">
        <v>2031</v>
      </c>
      <c r="S8" s="5"/>
      <c r="T8" s="5" t="s">
        <v>2032</v>
      </c>
      <c r="U8" s="5"/>
      <c r="V8" s="6" t="s">
        <v>2033</v>
      </c>
      <c r="W8" s="22"/>
      <c r="X8" s="23" t="s">
        <v>2034</v>
      </c>
    </row>
    <row r="9" spans="1:24" ht="23.4" x14ac:dyDescent="0.45">
      <c r="A9" s="4" t="s">
        <v>11</v>
      </c>
      <c r="B9" s="5" t="s">
        <v>9</v>
      </c>
      <c r="C9" s="5">
        <v>208101.09</v>
      </c>
      <c r="D9" s="5">
        <v>52</v>
      </c>
      <c r="E9" s="5">
        <v>0</v>
      </c>
      <c r="F9" s="5">
        <v>0.75229999999999997</v>
      </c>
      <c r="G9" s="5">
        <v>0.442</v>
      </c>
      <c r="H9" s="5">
        <v>5</v>
      </c>
      <c r="I9" s="5">
        <v>105379.42</v>
      </c>
      <c r="J9" s="5">
        <v>76050.94</v>
      </c>
      <c r="K9" s="5">
        <v>22</v>
      </c>
      <c r="L9" s="7">
        <v>2</v>
      </c>
      <c r="M9" s="5">
        <v>2</v>
      </c>
      <c r="N9" s="5">
        <v>1</v>
      </c>
      <c r="O9" s="5">
        <v>644.26</v>
      </c>
      <c r="P9" s="6">
        <v>0</v>
      </c>
      <c r="R9" s="22" t="str">
        <f>MID(B2,2,5)</f>
        <v>oftwa</v>
      </c>
      <c r="S9" s="5"/>
      <c r="T9" s="5" t="str">
        <f>UPPER(A2)</f>
        <v>ALLISON HILL</v>
      </c>
      <c r="U9" s="5"/>
      <c r="V9" s="6" t="b">
        <f>OR(G2="Home Loan",G2="Education Loan")</f>
        <v>0</v>
      </c>
      <c r="W9" s="22"/>
      <c r="X9" s="23">
        <f>MAX(C:C)</f>
        <v>221766.25</v>
      </c>
    </row>
    <row r="10" spans="1:24" ht="23.4" x14ac:dyDescent="0.45">
      <c r="A10" s="4" t="s">
        <v>12</v>
      </c>
      <c r="B10" s="5" t="s">
        <v>4</v>
      </c>
      <c r="C10" s="5">
        <v>2000</v>
      </c>
      <c r="D10" s="5">
        <v>64</v>
      </c>
      <c r="E10" s="5">
        <v>1</v>
      </c>
      <c r="F10" s="5">
        <v>0.54310000000000003</v>
      </c>
      <c r="G10" s="5">
        <v>0.33079999999999998</v>
      </c>
      <c r="H10" s="5">
        <v>0</v>
      </c>
      <c r="I10" s="5">
        <v>500</v>
      </c>
      <c r="J10" s="5">
        <v>0</v>
      </c>
      <c r="K10" s="5">
        <v>170</v>
      </c>
      <c r="L10" s="5">
        <v>1</v>
      </c>
      <c r="M10" s="5">
        <v>1</v>
      </c>
      <c r="N10" s="5">
        <v>0</v>
      </c>
      <c r="O10" s="5">
        <v>784.71</v>
      </c>
      <c r="P10" s="6">
        <v>0</v>
      </c>
      <c r="R10" s="22"/>
      <c r="S10" s="5"/>
      <c r="T10" s="5"/>
      <c r="U10" s="5"/>
      <c r="V10" s="6"/>
      <c r="W10" s="22"/>
      <c r="X10" s="23"/>
    </row>
    <row r="11" spans="1:24" ht="23.4" x14ac:dyDescent="0.45">
      <c r="A11" s="4" t="s">
        <v>13</v>
      </c>
      <c r="B11" s="5" t="s">
        <v>4</v>
      </c>
      <c r="C11" s="5">
        <v>91468.31</v>
      </c>
      <c r="D11" s="5">
        <v>53</v>
      </c>
      <c r="E11" s="5">
        <v>1</v>
      </c>
      <c r="F11" s="5">
        <v>0.71789999999999998</v>
      </c>
      <c r="G11" s="5">
        <v>0.1032</v>
      </c>
      <c r="H11" s="5">
        <v>3</v>
      </c>
      <c r="I11" s="5">
        <v>22469.67</v>
      </c>
      <c r="J11" s="5">
        <v>20627.150000000001</v>
      </c>
      <c r="K11" s="5">
        <v>56</v>
      </c>
      <c r="L11" s="5">
        <v>1</v>
      </c>
      <c r="M11" s="5">
        <v>2</v>
      </c>
      <c r="N11" s="5">
        <v>1</v>
      </c>
      <c r="O11" s="5">
        <v>667.98</v>
      </c>
      <c r="P11" s="6">
        <v>0</v>
      </c>
      <c r="R11" s="22" t="s">
        <v>2035</v>
      </c>
      <c r="S11" s="5"/>
      <c r="T11" s="5" t="s">
        <v>2036</v>
      </c>
      <c r="U11" s="5"/>
      <c r="V11" s="6" t="s">
        <v>2037</v>
      </c>
      <c r="W11" s="22"/>
      <c r="X11" s="23" t="s">
        <v>2038</v>
      </c>
    </row>
    <row r="12" spans="1:24" ht="23.4" x14ac:dyDescent="0.45">
      <c r="A12" s="4" t="s">
        <v>14</v>
      </c>
      <c r="B12" s="5" t="s">
        <v>15</v>
      </c>
      <c r="C12" s="5">
        <v>88505.48</v>
      </c>
      <c r="D12" s="5">
        <v>41</v>
      </c>
      <c r="E12" s="5">
        <v>0</v>
      </c>
      <c r="F12" s="5">
        <v>0.69869999999999999</v>
      </c>
      <c r="G12" s="5">
        <v>0.27850000000000003</v>
      </c>
      <c r="H12" s="5">
        <v>2</v>
      </c>
      <c r="I12" s="5">
        <v>500</v>
      </c>
      <c r="J12" s="5">
        <v>17969.77</v>
      </c>
      <c r="K12" s="5">
        <v>84</v>
      </c>
      <c r="L12" s="5">
        <v>1</v>
      </c>
      <c r="M12" s="5">
        <v>1</v>
      </c>
      <c r="N12" s="5">
        <v>1</v>
      </c>
      <c r="O12" s="5">
        <v>797.24</v>
      </c>
      <c r="P12" s="6">
        <v>0</v>
      </c>
      <c r="R12" s="22">
        <f>LEN(B2)</f>
        <v>17</v>
      </c>
      <c r="S12" s="5"/>
      <c r="T12" s="5" t="str">
        <f>LOWER(A2)</f>
        <v>allison hill</v>
      </c>
      <c r="U12" s="5"/>
      <c r="V12" s="6">
        <f>VLOOKUP(A2,A:C,3,FALSE)</f>
        <v>83515.94</v>
      </c>
      <c r="W12" s="22"/>
      <c r="X12" s="23">
        <f>MIN(C:C)</f>
        <v>2000</v>
      </c>
    </row>
    <row r="13" spans="1:24" ht="23.4" x14ac:dyDescent="0.45">
      <c r="A13" s="4" t="s">
        <v>16</v>
      </c>
      <c r="B13" s="5" t="s">
        <v>1</v>
      </c>
      <c r="C13" s="5">
        <v>124675.54</v>
      </c>
      <c r="D13" s="5">
        <v>69</v>
      </c>
      <c r="E13" s="5">
        <v>0</v>
      </c>
      <c r="F13" s="5">
        <v>0.59850000000000003</v>
      </c>
      <c r="G13" s="5">
        <v>0.37359999999999999</v>
      </c>
      <c r="H13" s="5">
        <v>0</v>
      </c>
      <c r="I13" s="5">
        <v>15920.59</v>
      </c>
      <c r="J13" s="5">
        <v>15160.68</v>
      </c>
      <c r="K13" s="5">
        <v>161</v>
      </c>
      <c r="L13" s="5">
        <v>2</v>
      </c>
      <c r="M13" s="5">
        <v>1</v>
      </c>
      <c r="N13" s="5">
        <v>1</v>
      </c>
      <c r="O13" s="5">
        <v>755.22</v>
      </c>
      <c r="P13" s="6">
        <v>0</v>
      </c>
      <c r="R13" s="22"/>
      <c r="S13" s="5"/>
      <c r="T13" s="5"/>
      <c r="U13" s="5"/>
      <c r="V13" s="6"/>
      <c r="W13" s="22"/>
      <c r="X13" s="23"/>
    </row>
    <row r="14" spans="1:24" ht="23.4" x14ac:dyDescent="0.45">
      <c r="A14" s="4" t="s">
        <v>17</v>
      </c>
      <c r="B14" s="5" t="s">
        <v>18</v>
      </c>
      <c r="C14" s="5">
        <v>101751.65</v>
      </c>
      <c r="D14" s="5">
        <v>63</v>
      </c>
      <c r="E14" s="5">
        <v>0</v>
      </c>
      <c r="F14" s="5">
        <v>0.86480000000000001</v>
      </c>
      <c r="G14" s="5">
        <v>0.24210000000000001</v>
      </c>
      <c r="H14" s="5">
        <v>0</v>
      </c>
      <c r="I14" s="5">
        <v>17057.61</v>
      </c>
      <c r="J14" s="5">
        <v>12275.77</v>
      </c>
      <c r="K14" s="5">
        <v>63</v>
      </c>
      <c r="L14" s="5">
        <v>1</v>
      </c>
      <c r="M14" s="5">
        <v>1</v>
      </c>
      <c r="N14" s="5">
        <v>1</v>
      </c>
      <c r="O14" s="5">
        <v>728.29</v>
      </c>
      <c r="P14" s="6">
        <v>0</v>
      </c>
      <c r="R14" s="22" t="s">
        <v>2039</v>
      </c>
      <c r="S14" s="5"/>
      <c r="T14" s="5" t="s">
        <v>2040</v>
      </c>
      <c r="U14" s="5"/>
      <c r="V14" s="6" t="s">
        <v>2041</v>
      </c>
      <c r="W14" s="22"/>
      <c r="X14" s="23"/>
    </row>
    <row r="15" spans="1:24" ht="23.4" x14ac:dyDescent="0.45">
      <c r="A15" s="4" t="s">
        <v>19</v>
      </c>
      <c r="B15" s="5" t="s">
        <v>4</v>
      </c>
      <c r="C15" s="5">
        <v>87148.04</v>
      </c>
      <c r="D15" s="5">
        <v>24</v>
      </c>
      <c r="E15" s="5">
        <v>0</v>
      </c>
      <c r="F15" s="5">
        <v>0.75729999999999997</v>
      </c>
      <c r="G15" s="5">
        <v>0.93820000000000003</v>
      </c>
      <c r="H15" s="5">
        <v>6</v>
      </c>
      <c r="I15" s="5">
        <v>77322.720000000001</v>
      </c>
      <c r="J15" s="5">
        <v>55247.519999999997</v>
      </c>
      <c r="K15" s="5">
        <v>60</v>
      </c>
      <c r="L15" s="5">
        <v>2</v>
      </c>
      <c r="M15" s="5">
        <v>2</v>
      </c>
      <c r="N15" s="5">
        <v>2</v>
      </c>
      <c r="O15" s="5">
        <v>754.79</v>
      </c>
      <c r="P15" s="6">
        <v>0</v>
      </c>
      <c r="R15" s="22" t="str">
        <f>TEXT(I2,"dd-mmm-yyyy")</f>
        <v>03-Jun-2046</v>
      </c>
      <c r="S15" s="5"/>
      <c r="T15" s="5" t="str">
        <f>IF(C2&gt;=500000,"High Loan","Low Loan")</f>
        <v>Low Loan</v>
      </c>
      <c r="U15" s="5"/>
      <c r="V15" s="6">
        <f>INDEX(C:C,MATCH(A2,A:A,0))</f>
        <v>83515.94</v>
      </c>
      <c r="W15" s="22"/>
      <c r="X15" s="23"/>
    </row>
    <row r="16" spans="1:24" ht="23.4" x14ac:dyDescent="0.45">
      <c r="A16" s="4" t="s">
        <v>20</v>
      </c>
      <c r="B16" s="5" t="s">
        <v>18</v>
      </c>
      <c r="C16" s="5">
        <v>92240.25</v>
      </c>
      <c r="D16" s="5">
        <v>47</v>
      </c>
      <c r="E16" s="5">
        <v>0</v>
      </c>
      <c r="F16" s="5">
        <v>0.92610000000000003</v>
      </c>
      <c r="G16" s="5">
        <v>0.44130000000000003</v>
      </c>
      <c r="H16" s="5">
        <v>4</v>
      </c>
      <c r="I16" s="5">
        <v>26413.81</v>
      </c>
      <c r="J16" s="5">
        <v>23875.919999999998</v>
      </c>
      <c r="K16" s="5">
        <v>125</v>
      </c>
      <c r="L16" s="5">
        <v>3</v>
      </c>
      <c r="M16" s="5">
        <v>1</v>
      </c>
      <c r="N16" s="5">
        <v>1</v>
      </c>
      <c r="O16" s="5">
        <v>712.95</v>
      </c>
      <c r="P16" s="6">
        <v>0</v>
      </c>
      <c r="R16" s="22"/>
      <c r="S16" s="5"/>
      <c r="T16" s="5"/>
      <c r="U16" s="5"/>
      <c r="V16" s="6"/>
      <c r="W16" s="22"/>
      <c r="X16" s="23"/>
    </row>
    <row r="17" spans="1:24" ht="23.4" x14ac:dyDescent="0.45">
      <c r="A17" s="4" t="s">
        <v>21</v>
      </c>
      <c r="B17" s="5" t="s">
        <v>4</v>
      </c>
      <c r="C17" s="5">
        <v>77354</v>
      </c>
      <c r="D17" s="5">
        <v>27</v>
      </c>
      <c r="E17" s="5">
        <v>0</v>
      </c>
      <c r="F17" s="5">
        <v>0.70109999999999995</v>
      </c>
      <c r="G17" s="5">
        <v>0.56240000000000001</v>
      </c>
      <c r="H17" s="5">
        <v>1</v>
      </c>
      <c r="I17" s="5">
        <v>48485.57</v>
      </c>
      <c r="J17" s="5">
        <v>31909.41</v>
      </c>
      <c r="K17" s="5">
        <v>25</v>
      </c>
      <c r="L17" s="5">
        <v>2</v>
      </c>
      <c r="M17" s="5">
        <v>2</v>
      </c>
      <c r="N17" s="5">
        <v>1</v>
      </c>
      <c r="O17" s="5">
        <v>733.9</v>
      </c>
      <c r="P17" s="6">
        <v>0</v>
      </c>
      <c r="R17" s="22" t="s">
        <v>2042</v>
      </c>
      <c r="S17" s="5"/>
      <c r="T17" s="5" t="s">
        <v>2043</v>
      </c>
      <c r="U17" s="5"/>
      <c r="V17" s="6" t="s">
        <v>2044</v>
      </c>
      <c r="W17" s="22"/>
      <c r="X17" s="23"/>
    </row>
    <row r="18" spans="1:24" ht="24" thickBot="1" x14ac:dyDescent="0.5">
      <c r="A18" s="4" t="s">
        <v>22</v>
      </c>
      <c r="B18" s="5" t="s">
        <v>1</v>
      </c>
      <c r="C18" s="5">
        <v>175571.5</v>
      </c>
      <c r="D18" s="5">
        <v>26</v>
      </c>
      <c r="E18" s="5">
        <v>0</v>
      </c>
      <c r="F18" s="5">
        <v>0.69830000000000003</v>
      </c>
      <c r="G18" s="5">
        <v>0.83479999999999999</v>
      </c>
      <c r="H18" s="5">
        <v>3</v>
      </c>
      <c r="I18" s="5">
        <v>155245.54</v>
      </c>
      <c r="J18" s="5">
        <v>113439.17</v>
      </c>
      <c r="K18" s="5">
        <v>60</v>
      </c>
      <c r="L18" s="5">
        <v>3</v>
      </c>
      <c r="M18" s="5">
        <v>3</v>
      </c>
      <c r="N18" s="5">
        <v>0</v>
      </c>
      <c r="O18" s="5">
        <v>726.7</v>
      </c>
      <c r="P18" s="6">
        <v>0</v>
      </c>
      <c r="R18" s="22" t="str">
        <f>REPT("*",5)</f>
        <v>*****</v>
      </c>
      <c r="S18" s="5"/>
      <c r="T18" s="9" t="str">
        <f>IF(C2&gt;=1000000,"Very High",IF(C2&gt;=500000,"High","Low"))</f>
        <v>Low</v>
      </c>
      <c r="U18" s="5"/>
      <c r="V18" s="6">
        <f>SUM(C:C)</f>
        <v>178927126.71999988</v>
      </c>
      <c r="W18" s="22"/>
      <c r="X18" s="23"/>
    </row>
    <row r="19" spans="1:24" ht="24" thickBot="1" x14ac:dyDescent="0.5">
      <c r="A19" s="4" t="s">
        <v>23</v>
      </c>
      <c r="B19" s="5" t="s">
        <v>18</v>
      </c>
      <c r="C19" s="5">
        <v>90606.34</v>
      </c>
      <c r="D19" s="5">
        <v>50</v>
      </c>
      <c r="E19" s="5">
        <v>1</v>
      </c>
      <c r="F19" s="5">
        <v>0.6321</v>
      </c>
      <c r="G19" s="5">
        <v>0.77669999999999995</v>
      </c>
      <c r="H19" s="5">
        <v>4</v>
      </c>
      <c r="I19" s="5">
        <v>44333.78</v>
      </c>
      <c r="J19" s="5">
        <v>24085.33</v>
      </c>
      <c r="K19" s="5">
        <v>54</v>
      </c>
      <c r="L19" s="5">
        <v>1</v>
      </c>
      <c r="M19" s="5">
        <v>3</v>
      </c>
      <c r="N19" s="5">
        <v>1</v>
      </c>
      <c r="O19" s="5">
        <v>604.79</v>
      </c>
      <c r="P19" s="6">
        <v>0</v>
      </c>
      <c r="R19" s="24"/>
      <c r="S19" s="25"/>
      <c r="T19" s="26"/>
      <c r="U19" s="27"/>
      <c r="V19" s="25"/>
      <c r="W19" s="24"/>
      <c r="X19" s="28"/>
    </row>
    <row r="20" spans="1:24" ht="23.4" x14ac:dyDescent="0.45">
      <c r="A20" s="4" t="s">
        <v>24</v>
      </c>
      <c r="B20" s="5" t="s">
        <v>1</v>
      </c>
      <c r="C20" s="5">
        <v>89803.61</v>
      </c>
      <c r="D20" s="5">
        <v>58</v>
      </c>
      <c r="E20" s="5">
        <v>0</v>
      </c>
      <c r="F20" s="5">
        <v>0.63139999999999996</v>
      </c>
      <c r="G20" s="5">
        <v>0</v>
      </c>
      <c r="H20" s="5">
        <v>1</v>
      </c>
      <c r="I20" s="5">
        <v>500</v>
      </c>
      <c r="J20" s="5">
        <v>0</v>
      </c>
      <c r="K20" s="5">
        <v>136</v>
      </c>
      <c r="L20" s="5">
        <v>1</v>
      </c>
      <c r="M20" s="5">
        <v>1</v>
      </c>
      <c r="N20" s="5">
        <v>1</v>
      </c>
      <c r="O20" s="5">
        <v>705.87</v>
      </c>
      <c r="P20" s="6">
        <v>0</v>
      </c>
    </row>
    <row r="21" spans="1:24" ht="23.4" x14ac:dyDescent="0.45">
      <c r="A21" s="4" t="s">
        <v>25</v>
      </c>
      <c r="B21" s="5" t="s">
        <v>18</v>
      </c>
      <c r="C21" s="5">
        <v>60617.48</v>
      </c>
      <c r="D21" s="5">
        <v>57</v>
      </c>
      <c r="E21" s="5">
        <v>0</v>
      </c>
      <c r="F21" s="5">
        <v>0.70640000000000003</v>
      </c>
      <c r="G21" s="5">
        <v>0.73580000000000001</v>
      </c>
      <c r="H21" s="5">
        <v>3</v>
      </c>
      <c r="I21" s="5">
        <v>33943.11</v>
      </c>
      <c r="J21" s="5">
        <v>14751.16</v>
      </c>
      <c r="K21" s="5">
        <v>72</v>
      </c>
      <c r="L21" s="5">
        <v>1</v>
      </c>
      <c r="M21" s="5">
        <v>2</v>
      </c>
      <c r="N21" s="5">
        <v>0</v>
      </c>
      <c r="O21" s="5">
        <v>639.28</v>
      </c>
      <c r="P21" s="6">
        <v>0</v>
      </c>
    </row>
    <row r="22" spans="1:24" ht="23.4" x14ac:dyDescent="0.45">
      <c r="A22" s="4" t="s">
        <v>26</v>
      </c>
      <c r="B22" s="5" t="s">
        <v>6</v>
      </c>
      <c r="C22" s="5">
        <v>72044.820000000007</v>
      </c>
      <c r="D22" s="5">
        <v>41</v>
      </c>
      <c r="E22" s="5">
        <v>0</v>
      </c>
      <c r="F22" s="5">
        <v>0.55110000000000003</v>
      </c>
      <c r="G22" s="5">
        <v>0.9284</v>
      </c>
      <c r="H22" s="5">
        <v>3</v>
      </c>
      <c r="I22" s="5">
        <v>87753.32</v>
      </c>
      <c r="J22" s="5">
        <v>55098.38</v>
      </c>
      <c r="K22" s="5">
        <v>150</v>
      </c>
      <c r="L22" s="5">
        <v>4</v>
      </c>
      <c r="M22" s="5">
        <v>1</v>
      </c>
      <c r="N22" s="5">
        <v>0</v>
      </c>
      <c r="O22" s="5">
        <v>628.54999999999995</v>
      </c>
      <c r="P22" s="6">
        <v>0</v>
      </c>
    </row>
    <row r="23" spans="1:24" ht="23.4" x14ac:dyDescent="0.45">
      <c r="A23" s="4" t="s">
        <v>27</v>
      </c>
      <c r="B23" s="5" t="s">
        <v>18</v>
      </c>
      <c r="C23" s="5">
        <v>194227.71</v>
      </c>
      <c r="D23" s="5">
        <v>36</v>
      </c>
      <c r="E23" s="5">
        <v>0</v>
      </c>
      <c r="F23" s="5">
        <v>0.62</v>
      </c>
      <c r="G23" s="5">
        <v>0.5071</v>
      </c>
      <c r="H23" s="5">
        <v>5</v>
      </c>
      <c r="I23" s="5">
        <v>78263.08</v>
      </c>
      <c r="J23" s="5">
        <v>32670.95</v>
      </c>
      <c r="K23" s="5">
        <v>173</v>
      </c>
      <c r="L23" s="5">
        <v>2</v>
      </c>
      <c r="M23" s="5">
        <v>2</v>
      </c>
      <c r="N23" s="5">
        <v>1</v>
      </c>
      <c r="O23" s="5">
        <v>569.45000000000005</v>
      </c>
      <c r="P23" s="6">
        <v>0</v>
      </c>
    </row>
    <row r="24" spans="1:24" ht="23.4" x14ac:dyDescent="0.45">
      <c r="A24" s="4" t="s">
        <v>28</v>
      </c>
      <c r="B24" s="5" t="s">
        <v>1</v>
      </c>
      <c r="C24" s="5">
        <v>163452.60999999999</v>
      </c>
      <c r="D24" s="5">
        <v>37</v>
      </c>
      <c r="E24" s="5">
        <v>1</v>
      </c>
      <c r="F24" s="5">
        <v>0.9486</v>
      </c>
      <c r="G24" s="5">
        <v>0.48899999999999999</v>
      </c>
      <c r="H24" s="5">
        <v>4</v>
      </c>
      <c r="I24" s="5">
        <v>68633.02</v>
      </c>
      <c r="J24" s="5">
        <v>51401.89</v>
      </c>
      <c r="K24" s="5">
        <v>160</v>
      </c>
      <c r="L24" s="5">
        <v>1</v>
      </c>
      <c r="M24" s="5">
        <v>1</v>
      </c>
      <c r="N24" s="5">
        <v>1</v>
      </c>
      <c r="O24" s="5">
        <v>767.61</v>
      </c>
      <c r="P24" s="6">
        <v>0</v>
      </c>
    </row>
    <row r="25" spans="1:24" ht="23.4" x14ac:dyDescent="0.45">
      <c r="A25" s="4" t="s">
        <v>29</v>
      </c>
      <c r="B25" s="5" t="s">
        <v>6</v>
      </c>
      <c r="C25" s="5">
        <v>47382.1</v>
      </c>
      <c r="D25" s="5">
        <v>24</v>
      </c>
      <c r="E25" s="5">
        <v>0</v>
      </c>
      <c r="F25" s="5">
        <v>0.87560000000000004</v>
      </c>
      <c r="G25" s="5">
        <v>0.54379999999999995</v>
      </c>
      <c r="H25" s="5">
        <v>3</v>
      </c>
      <c r="I25" s="5">
        <v>27012.77</v>
      </c>
      <c r="J25" s="5">
        <v>21773.26</v>
      </c>
      <c r="K25" s="5">
        <v>73</v>
      </c>
      <c r="L25" s="5">
        <v>1</v>
      </c>
      <c r="M25" s="5">
        <v>1</v>
      </c>
      <c r="N25" s="5">
        <v>1</v>
      </c>
      <c r="O25" s="5">
        <v>626.89</v>
      </c>
      <c r="P25" s="6">
        <v>0</v>
      </c>
    </row>
    <row r="26" spans="1:24" ht="23.4" x14ac:dyDescent="0.45">
      <c r="A26" s="4" t="s">
        <v>30</v>
      </c>
      <c r="B26" s="5" t="s">
        <v>6</v>
      </c>
      <c r="C26" s="5">
        <v>172703.98</v>
      </c>
      <c r="D26" s="5">
        <v>65</v>
      </c>
      <c r="E26" s="5">
        <v>0</v>
      </c>
      <c r="F26" s="5">
        <v>1</v>
      </c>
      <c r="G26" s="5">
        <v>0.65849999999999997</v>
      </c>
      <c r="H26" s="5">
        <v>2</v>
      </c>
      <c r="I26" s="5">
        <v>123775.66</v>
      </c>
      <c r="J26" s="5">
        <v>89905.47</v>
      </c>
      <c r="K26" s="5">
        <v>43</v>
      </c>
      <c r="L26" s="5">
        <v>2</v>
      </c>
      <c r="M26" s="5">
        <v>1</v>
      </c>
      <c r="N26" s="5">
        <v>0</v>
      </c>
      <c r="O26" s="5">
        <v>850</v>
      </c>
      <c r="P26" s="6">
        <v>0</v>
      </c>
    </row>
    <row r="27" spans="1:24" ht="23.4" x14ac:dyDescent="0.45">
      <c r="A27" s="4" t="s">
        <v>31</v>
      </c>
      <c r="B27" s="5" t="s">
        <v>4</v>
      </c>
      <c r="C27" s="5">
        <v>40836.870000000003</v>
      </c>
      <c r="D27" s="5">
        <v>43</v>
      </c>
      <c r="E27" s="5">
        <v>0</v>
      </c>
      <c r="F27" s="5">
        <v>0.73760000000000003</v>
      </c>
      <c r="G27" s="5">
        <v>0.58350000000000002</v>
      </c>
      <c r="H27" s="5">
        <v>6</v>
      </c>
      <c r="I27" s="5">
        <v>39542.07</v>
      </c>
      <c r="J27" s="5">
        <v>33582.720000000001</v>
      </c>
      <c r="K27" s="5">
        <v>164</v>
      </c>
      <c r="L27" s="5">
        <v>2</v>
      </c>
      <c r="M27" s="5">
        <v>3</v>
      </c>
      <c r="N27" s="5">
        <v>0</v>
      </c>
      <c r="O27" s="5">
        <v>651.05999999999995</v>
      </c>
      <c r="P27" s="6">
        <v>0</v>
      </c>
    </row>
    <row r="28" spans="1:24" ht="23.4" x14ac:dyDescent="0.45">
      <c r="A28" s="4" t="s">
        <v>32</v>
      </c>
      <c r="B28" s="5" t="s">
        <v>4</v>
      </c>
      <c r="C28" s="5">
        <v>98662.12</v>
      </c>
      <c r="D28" s="5">
        <v>47</v>
      </c>
      <c r="E28" s="5">
        <v>1</v>
      </c>
      <c r="F28" s="5">
        <v>0.58120000000000005</v>
      </c>
      <c r="G28" s="5">
        <v>0.8034</v>
      </c>
      <c r="H28" s="5">
        <v>5</v>
      </c>
      <c r="I28" s="5">
        <v>62147.64</v>
      </c>
      <c r="J28" s="5">
        <v>55387.03</v>
      </c>
      <c r="K28" s="5">
        <v>177</v>
      </c>
      <c r="L28" s="5">
        <v>3</v>
      </c>
      <c r="M28" s="5">
        <v>2</v>
      </c>
      <c r="N28" s="5">
        <v>0</v>
      </c>
      <c r="O28" s="5">
        <v>662.15</v>
      </c>
      <c r="P28" s="6">
        <v>0</v>
      </c>
    </row>
    <row r="29" spans="1:24" ht="23.4" x14ac:dyDescent="0.45">
      <c r="A29" s="4" t="s">
        <v>33</v>
      </c>
      <c r="B29" s="5" t="s">
        <v>1</v>
      </c>
      <c r="C29" s="5">
        <v>69066.240000000005</v>
      </c>
      <c r="D29" s="5">
        <v>51</v>
      </c>
      <c r="E29" s="5">
        <v>1</v>
      </c>
      <c r="F29" s="5">
        <v>0.76349999999999996</v>
      </c>
      <c r="G29" s="5">
        <v>0.85350000000000004</v>
      </c>
      <c r="H29" s="5">
        <v>3</v>
      </c>
      <c r="I29" s="5">
        <v>62111.02</v>
      </c>
      <c r="J29" s="5">
        <v>45428.66</v>
      </c>
      <c r="K29" s="5">
        <v>12</v>
      </c>
      <c r="L29" s="5">
        <v>2</v>
      </c>
      <c r="M29" s="5">
        <v>1</v>
      </c>
      <c r="N29" s="5">
        <v>0</v>
      </c>
      <c r="O29" s="5">
        <v>631.95000000000005</v>
      </c>
      <c r="P29" s="6">
        <v>1</v>
      </c>
    </row>
    <row r="30" spans="1:24" ht="23.4" x14ac:dyDescent="0.45">
      <c r="A30" s="4" t="s">
        <v>34</v>
      </c>
      <c r="B30" s="5" t="s">
        <v>9</v>
      </c>
      <c r="C30" s="5">
        <v>96112.52</v>
      </c>
      <c r="D30" s="5">
        <v>53</v>
      </c>
      <c r="E30" s="5">
        <v>0</v>
      </c>
      <c r="F30" s="5">
        <v>0.51600000000000001</v>
      </c>
      <c r="G30" s="5">
        <v>0</v>
      </c>
      <c r="H30" s="5">
        <v>4</v>
      </c>
      <c r="I30" s="5">
        <v>500</v>
      </c>
      <c r="J30" s="5">
        <v>0</v>
      </c>
      <c r="K30" s="5">
        <v>35</v>
      </c>
      <c r="L30" s="5">
        <v>3</v>
      </c>
      <c r="M30" s="5">
        <v>1</v>
      </c>
      <c r="N30" s="5">
        <v>1</v>
      </c>
      <c r="O30" s="5">
        <v>728.59</v>
      </c>
      <c r="P30" s="6">
        <v>0</v>
      </c>
    </row>
    <row r="31" spans="1:24" ht="23.4" x14ac:dyDescent="0.45">
      <c r="A31" s="4" t="s">
        <v>35</v>
      </c>
      <c r="B31" s="5" t="s">
        <v>4</v>
      </c>
      <c r="C31" s="5">
        <v>88703.23</v>
      </c>
      <c r="D31" s="5">
        <v>43</v>
      </c>
      <c r="E31" s="5">
        <v>1</v>
      </c>
      <c r="F31" s="5">
        <v>0.67669999999999997</v>
      </c>
      <c r="G31" s="5">
        <v>0.18509999999999999</v>
      </c>
      <c r="H31" s="5">
        <v>0</v>
      </c>
      <c r="I31" s="5">
        <v>5303.99</v>
      </c>
      <c r="J31" s="5">
        <v>0</v>
      </c>
      <c r="K31" s="5">
        <v>71</v>
      </c>
      <c r="L31" s="5">
        <v>1</v>
      </c>
      <c r="M31" s="5">
        <v>1</v>
      </c>
      <c r="N31" s="5">
        <v>1</v>
      </c>
      <c r="O31" s="5">
        <v>768.34</v>
      </c>
      <c r="P31" s="6">
        <v>0</v>
      </c>
    </row>
    <row r="32" spans="1:24" ht="23.4" x14ac:dyDescent="0.45">
      <c r="A32" s="4" t="s">
        <v>36</v>
      </c>
      <c r="B32" s="5" t="s">
        <v>15</v>
      </c>
      <c r="C32" s="5">
        <v>48720.57</v>
      </c>
      <c r="D32" s="5">
        <v>68</v>
      </c>
      <c r="E32" s="5">
        <v>0</v>
      </c>
      <c r="F32" s="5">
        <v>0.2621</v>
      </c>
      <c r="G32" s="5">
        <v>0.28620000000000001</v>
      </c>
      <c r="H32" s="5">
        <v>0</v>
      </c>
      <c r="I32" s="5">
        <v>33997.129999999997</v>
      </c>
      <c r="J32" s="5">
        <v>22193.57</v>
      </c>
      <c r="K32" s="5">
        <v>90</v>
      </c>
      <c r="L32" s="5">
        <v>2</v>
      </c>
      <c r="M32" s="5">
        <v>2</v>
      </c>
      <c r="N32" s="5">
        <v>0</v>
      </c>
      <c r="O32" s="5">
        <v>716.31</v>
      </c>
      <c r="P32" s="6">
        <v>0</v>
      </c>
    </row>
    <row r="33" spans="1:16" ht="23.4" x14ac:dyDescent="0.45">
      <c r="A33" s="4" t="s">
        <v>37</v>
      </c>
      <c r="B33" s="5" t="s">
        <v>18</v>
      </c>
      <c r="C33" s="5">
        <v>58549.19</v>
      </c>
      <c r="D33" s="5">
        <v>41</v>
      </c>
      <c r="E33" s="5">
        <v>0</v>
      </c>
      <c r="F33" s="5">
        <v>0.56310000000000004</v>
      </c>
      <c r="G33" s="5">
        <v>0.52049999999999996</v>
      </c>
      <c r="H33" s="5">
        <v>5</v>
      </c>
      <c r="I33" s="5">
        <v>41709.39</v>
      </c>
      <c r="J33" s="5">
        <v>37275.31</v>
      </c>
      <c r="K33" s="5">
        <v>50</v>
      </c>
      <c r="L33" s="5">
        <v>2</v>
      </c>
      <c r="M33" s="5">
        <v>1</v>
      </c>
      <c r="N33" s="5">
        <v>1</v>
      </c>
      <c r="O33" s="5">
        <v>642.9</v>
      </c>
      <c r="P33" s="6">
        <v>1</v>
      </c>
    </row>
    <row r="34" spans="1:16" ht="23.4" x14ac:dyDescent="0.45">
      <c r="A34" s="4" t="s">
        <v>38</v>
      </c>
      <c r="B34" s="5" t="s">
        <v>9</v>
      </c>
      <c r="C34" s="5">
        <v>79034.39</v>
      </c>
      <c r="D34" s="5">
        <v>58</v>
      </c>
      <c r="E34" s="5">
        <v>1</v>
      </c>
      <c r="F34" s="5">
        <v>0.90629999999999999</v>
      </c>
      <c r="G34" s="5">
        <v>0.22720000000000001</v>
      </c>
      <c r="H34" s="5">
        <v>1</v>
      </c>
      <c r="I34" s="5">
        <v>500</v>
      </c>
      <c r="J34" s="5">
        <v>4674.93</v>
      </c>
      <c r="K34" s="5">
        <v>136</v>
      </c>
      <c r="L34" s="5">
        <v>2</v>
      </c>
      <c r="M34" s="5">
        <v>3</v>
      </c>
      <c r="N34" s="5">
        <v>1</v>
      </c>
      <c r="O34" s="5">
        <v>752.8</v>
      </c>
      <c r="P34" s="6">
        <v>0</v>
      </c>
    </row>
    <row r="35" spans="1:16" ht="23.4" x14ac:dyDescent="0.45">
      <c r="A35" s="4" t="s">
        <v>39</v>
      </c>
      <c r="B35" s="5" t="s">
        <v>4</v>
      </c>
      <c r="C35" s="5">
        <v>106582.71</v>
      </c>
      <c r="D35" s="5">
        <v>61</v>
      </c>
      <c r="E35" s="5">
        <v>0</v>
      </c>
      <c r="F35" s="5">
        <v>0.63519999999999999</v>
      </c>
      <c r="G35" s="5">
        <v>0.3246</v>
      </c>
      <c r="H35" s="5">
        <v>4</v>
      </c>
      <c r="I35" s="5">
        <v>31335.89</v>
      </c>
      <c r="J35" s="5">
        <v>15122</v>
      </c>
      <c r="K35" s="5">
        <v>43</v>
      </c>
      <c r="L35" s="5">
        <v>1</v>
      </c>
      <c r="M35" s="5">
        <v>1</v>
      </c>
      <c r="N35" s="5">
        <v>1</v>
      </c>
      <c r="O35" s="5">
        <v>801.27</v>
      </c>
      <c r="P35" s="6">
        <v>0</v>
      </c>
    </row>
    <row r="36" spans="1:16" ht="23.4" x14ac:dyDescent="0.45">
      <c r="A36" s="4" t="s">
        <v>40</v>
      </c>
      <c r="B36" s="5" t="s">
        <v>9</v>
      </c>
      <c r="C36" s="5">
        <v>131766.74</v>
      </c>
      <c r="D36" s="5">
        <v>61</v>
      </c>
      <c r="E36" s="5">
        <v>1</v>
      </c>
      <c r="F36" s="5">
        <v>0.79139999999999999</v>
      </c>
      <c r="G36" s="5">
        <v>4.6199999999999998E-2</v>
      </c>
      <c r="H36" s="5">
        <v>0</v>
      </c>
      <c r="I36" s="5">
        <v>500</v>
      </c>
      <c r="J36" s="5">
        <v>5741.51</v>
      </c>
      <c r="K36" s="5">
        <v>43</v>
      </c>
      <c r="L36" s="5">
        <v>2</v>
      </c>
      <c r="M36" s="5">
        <v>1</v>
      </c>
      <c r="N36" s="5">
        <v>1</v>
      </c>
      <c r="O36" s="5">
        <v>744.85</v>
      </c>
      <c r="P36" s="6">
        <v>0</v>
      </c>
    </row>
    <row r="37" spans="1:16" ht="23.4" x14ac:dyDescent="0.45">
      <c r="A37" s="4" t="s">
        <v>41</v>
      </c>
      <c r="B37" s="5" t="s">
        <v>18</v>
      </c>
      <c r="C37" s="5">
        <v>68804.28</v>
      </c>
      <c r="D37" s="5">
        <v>32</v>
      </c>
      <c r="E37" s="5">
        <v>0</v>
      </c>
      <c r="F37" s="5">
        <v>0.80289999999999995</v>
      </c>
      <c r="G37" s="5">
        <v>3.6299999999999999E-2</v>
      </c>
      <c r="H37" s="5">
        <v>0</v>
      </c>
      <c r="I37" s="5">
        <v>6730.24</v>
      </c>
      <c r="J37" s="5">
        <v>8388.08</v>
      </c>
      <c r="K37" s="5">
        <v>40</v>
      </c>
      <c r="L37" s="5">
        <v>3</v>
      </c>
      <c r="M37" s="5">
        <v>2</v>
      </c>
      <c r="N37" s="5">
        <v>3</v>
      </c>
      <c r="O37" s="5">
        <v>728.32</v>
      </c>
      <c r="P37" s="6">
        <v>0</v>
      </c>
    </row>
    <row r="38" spans="1:16" ht="23.4" x14ac:dyDescent="0.45">
      <c r="A38" s="4" t="s">
        <v>42</v>
      </c>
      <c r="B38" s="5" t="s">
        <v>4</v>
      </c>
      <c r="C38" s="5">
        <v>180193.86</v>
      </c>
      <c r="D38" s="5">
        <v>60</v>
      </c>
      <c r="E38" s="5">
        <v>0</v>
      </c>
      <c r="F38" s="5">
        <v>0.56989999999999996</v>
      </c>
      <c r="G38" s="5">
        <v>0.60950000000000004</v>
      </c>
      <c r="H38" s="5">
        <v>0</v>
      </c>
      <c r="I38" s="5">
        <v>80548.42</v>
      </c>
      <c r="J38" s="5">
        <v>58322.89</v>
      </c>
      <c r="K38" s="5">
        <v>120</v>
      </c>
      <c r="L38" s="5">
        <v>3</v>
      </c>
      <c r="M38" s="5">
        <v>2</v>
      </c>
      <c r="N38" s="5">
        <v>1</v>
      </c>
      <c r="O38" s="5">
        <v>667.01</v>
      </c>
      <c r="P38" s="6">
        <v>0</v>
      </c>
    </row>
    <row r="39" spans="1:16" ht="23.4" x14ac:dyDescent="0.45">
      <c r="A39" s="4" t="s">
        <v>43</v>
      </c>
      <c r="B39" s="5" t="s">
        <v>1</v>
      </c>
      <c r="C39" s="5">
        <v>123858.56</v>
      </c>
      <c r="D39" s="5">
        <v>70</v>
      </c>
      <c r="E39" s="5">
        <v>1</v>
      </c>
      <c r="F39" s="5">
        <v>0.73980000000000001</v>
      </c>
      <c r="G39" s="5">
        <v>0.11650000000000001</v>
      </c>
      <c r="H39" s="5">
        <v>1</v>
      </c>
      <c r="I39" s="5">
        <v>30542.78</v>
      </c>
      <c r="J39" s="5">
        <v>19927.89</v>
      </c>
      <c r="K39" s="5">
        <v>91</v>
      </c>
      <c r="L39" s="5">
        <v>1</v>
      </c>
      <c r="M39" s="5">
        <v>2</v>
      </c>
      <c r="N39" s="5">
        <v>0</v>
      </c>
      <c r="O39" s="5">
        <v>686.74</v>
      </c>
      <c r="P39" s="6">
        <v>0</v>
      </c>
    </row>
    <row r="40" spans="1:16" ht="23.4" x14ac:dyDescent="0.45">
      <c r="A40" s="4" t="s">
        <v>44</v>
      </c>
      <c r="B40" s="5" t="s">
        <v>18</v>
      </c>
      <c r="C40" s="5">
        <v>65697.86</v>
      </c>
      <c r="D40" s="5">
        <v>25</v>
      </c>
      <c r="E40" s="5">
        <v>1</v>
      </c>
      <c r="F40" s="5">
        <v>0.40610000000000002</v>
      </c>
      <c r="G40" s="5">
        <v>0.2072</v>
      </c>
      <c r="H40" s="5">
        <v>2</v>
      </c>
      <c r="I40" s="5">
        <v>8356.48</v>
      </c>
      <c r="J40" s="5">
        <v>5309.49</v>
      </c>
      <c r="K40" s="5">
        <v>113</v>
      </c>
      <c r="L40" s="5">
        <v>2</v>
      </c>
      <c r="M40" s="5">
        <v>2</v>
      </c>
      <c r="N40" s="5">
        <v>2</v>
      </c>
      <c r="O40" s="5">
        <v>804.94</v>
      </c>
      <c r="P40" s="6">
        <v>0</v>
      </c>
    </row>
    <row r="41" spans="1:16" ht="23.4" x14ac:dyDescent="0.45">
      <c r="A41" s="4" t="s">
        <v>45</v>
      </c>
      <c r="B41" s="5" t="s">
        <v>4</v>
      </c>
      <c r="C41" s="5">
        <v>101358.44</v>
      </c>
      <c r="D41" s="5">
        <v>51</v>
      </c>
      <c r="E41" s="5">
        <v>1</v>
      </c>
      <c r="F41" s="5">
        <v>0.8861</v>
      </c>
      <c r="G41" s="5">
        <v>0.40860000000000002</v>
      </c>
      <c r="H41" s="5">
        <v>3</v>
      </c>
      <c r="I41" s="5">
        <v>12027.51</v>
      </c>
      <c r="J41" s="5">
        <v>17056.87</v>
      </c>
      <c r="K41" s="5">
        <v>145</v>
      </c>
      <c r="L41" s="5">
        <v>3</v>
      </c>
      <c r="M41" s="5">
        <v>2</v>
      </c>
      <c r="N41" s="5">
        <v>1</v>
      </c>
      <c r="O41" s="5">
        <v>705.61</v>
      </c>
      <c r="P41" s="6">
        <v>0</v>
      </c>
    </row>
    <row r="42" spans="1:16" ht="23.4" x14ac:dyDescent="0.45">
      <c r="A42" s="4" t="s">
        <v>46</v>
      </c>
      <c r="B42" s="5" t="s">
        <v>6</v>
      </c>
      <c r="C42" s="5">
        <v>45523.79</v>
      </c>
      <c r="D42" s="5">
        <v>63</v>
      </c>
      <c r="E42" s="5">
        <v>0</v>
      </c>
      <c r="F42" s="5">
        <v>0.71789999999999998</v>
      </c>
      <c r="G42" s="5">
        <v>0.29039999999999999</v>
      </c>
      <c r="H42" s="5">
        <v>0</v>
      </c>
      <c r="I42" s="5">
        <v>21787.29</v>
      </c>
      <c r="J42" s="5">
        <v>22701.71</v>
      </c>
      <c r="K42" s="5">
        <v>38</v>
      </c>
      <c r="L42" s="5">
        <v>4</v>
      </c>
      <c r="M42" s="5">
        <v>2</v>
      </c>
      <c r="N42" s="5">
        <v>2</v>
      </c>
      <c r="O42" s="5">
        <v>638.76</v>
      </c>
      <c r="P42" s="6">
        <v>0</v>
      </c>
    </row>
    <row r="43" spans="1:16" ht="23.4" x14ac:dyDescent="0.45">
      <c r="A43" s="4" t="s">
        <v>47</v>
      </c>
      <c r="B43" s="5" t="s">
        <v>18</v>
      </c>
      <c r="C43" s="5">
        <v>53772.88</v>
      </c>
      <c r="D43" s="5">
        <v>48</v>
      </c>
      <c r="E43" s="5">
        <v>0</v>
      </c>
      <c r="F43" s="5">
        <v>0.84650000000000003</v>
      </c>
      <c r="G43" s="5">
        <v>0.60950000000000004</v>
      </c>
      <c r="H43" s="5">
        <v>5</v>
      </c>
      <c r="I43" s="5">
        <v>37325.839999999997</v>
      </c>
      <c r="J43" s="5">
        <v>29266.43</v>
      </c>
      <c r="K43" s="5">
        <v>103</v>
      </c>
      <c r="L43" s="5">
        <v>1</v>
      </c>
      <c r="M43" s="5">
        <v>3</v>
      </c>
      <c r="N43" s="5">
        <v>0</v>
      </c>
      <c r="O43" s="5">
        <v>754.66</v>
      </c>
      <c r="P43" s="6">
        <v>0</v>
      </c>
    </row>
    <row r="44" spans="1:16" ht="23.4" x14ac:dyDescent="0.45">
      <c r="A44" s="4" t="s">
        <v>48</v>
      </c>
      <c r="B44" s="5" t="s">
        <v>15</v>
      </c>
      <c r="C44" s="5">
        <v>16473.89</v>
      </c>
      <c r="D44" s="5">
        <v>24</v>
      </c>
      <c r="E44" s="5">
        <v>1</v>
      </c>
      <c r="F44" s="5">
        <v>0.76170000000000004</v>
      </c>
      <c r="G44" s="5">
        <v>0.63200000000000001</v>
      </c>
      <c r="H44" s="5">
        <v>4</v>
      </c>
      <c r="I44" s="5">
        <v>500</v>
      </c>
      <c r="J44" s="5">
        <v>0</v>
      </c>
      <c r="K44" s="5">
        <v>172</v>
      </c>
      <c r="L44" s="5">
        <v>1</v>
      </c>
      <c r="M44" s="5">
        <v>1</v>
      </c>
      <c r="N44" s="5">
        <v>0</v>
      </c>
      <c r="O44" s="5">
        <v>735.3</v>
      </c>
      <c r="P44" s="6">
        <v>0</v>
      </c>
    </row>
    <row r="45" spans="1:16" ht="23.4" x14ac:dyDescent="0.45">
      <c r="A45" s="4" t="s">
        <v>49</v>
      </c>
      <c r="B45" s="5" t="s">
        <v>4</v>
      </c>
      <c r="C45" s="5">
        <v>36887.089999999997</v>
      </c>
      <c r="D45" s="5">
        <v>51</v>
      </c>
      <c r="E45" s="5">
        <v>1</v>
      </c>
      <c r="F45" s="5">
        <v>0.57509999999999994</v>
      </c>
      <c r="G45" s="5">
        <v>0.1183</v>
      </c>
      <c r="H45" s="5">
        <v>2</v>
      </c>
      <c r="I45" s="5">
        <v>27151.83</v>
      </c>
      <c r="J45" s="5">
        <v>17620.47</v>
      </c>
      <c r="K45" s="5">
        <v>161</v>
      </c>
      <c r="L45" s="5">
        <v>4</v>
      </c>
      <c r="M45" s="5">
        <v>2</v>
      </c>
      <c r="N45" s="5">
        <v>1</v>
      </c>
      <c r="O45" s="5">
        <v>673.39</v>
      </c>
      <c r="P45" s="6">
        <v>0</v>
      </c>
    </row>
    <row r="46" spans="1:16" ht="23.4" x14ac:dyDescent="0.45">
      <c r="A46" s="4" t="s">
        <v>50</v>
      </c>
      <c r="B46" s="5" t="s">
        <v>4</v>
      </c>
      <c r="C46" s="5">
        <v>67860.600000000006</v>
      </c>
      <c r="D46" s="5">
        <v>40</v>
      </c>
      <c r="E46" s="5">
        <v>1</v>
      </c>
      <c r="F46" s="5">
        <v>0.94389999999999996</v>
      </c>
      <c r="G46" s="5">
        <v>0</v>
      </c>
      <c r="H46" s="5">
        <v>0</v>
      </c>
      <c r="I46" s="5">
        <v>500</v>
      </c>
      <c r="J46" s="5">
        <v>13840.38</v>
      </c>
      <c r="K46" s="5">
        <v>56</v>
      </c>
      <c r="L46" s="5">
        <v>1</v>
      </c>
      <c r="M46" s="5">
        <v>2</v>
      </c>
      <c r="N46" s="5">
        <v>1</v>
      </c>
      <c r="O46" s="5">
        <v>846.06</v>
      </c>
      <c r="P46" s="6">
        <v>0</v>
      </c>
    </row>
    <row r="47" spans="1:16" ht="23.4" x14ac:dyDescent="0.45">
      <c r="A47" s="4" t="s">
        <v>51</v>
      </c>
      <c r="B47" s="5" t="s">
        <v>9</v>
      </c>
      <c r="C47" s="5">
        <v>136260.01</v>
      </c>
      <c r="D47" s="5">
        <v>59</v>
      </c>
      <c r="E47" s="5">
        <v>1</v>
      </c>
      <c r="F47" s="5">
        <v>0.82199999999999995</v>
      </c>
      <c r="G47" s="5">
        <v>0</v>
      </c>
      <c r="H47" s="5">
        <v>0</v>
      </c>
      <c r="I47" s="5">
        <v>500</v>
      </c>
      <c r="J47" s="5">
        <v>0</v>
      </c>
      <c r="K47" s="5">
        <v>23</v>
      </c>
      <c r="L47" s="5">
        <v>2</v>
      </c>
      <c r="M47" s="5">
        <v>1</v>
      </c>
      <c r="N47" s="5">
        <v>2</v>
      </c>
      <c r="O47" s="5">
        <v>730.59</v>
      </c>
      <c r="P47" s="6">
        <v>0</v>
      </c>
    </row>
    <row r="48" spans="1:16" ht="23.4" x14ac:dyDescent="0.45">
      <c r="A48" s="4" t="s">
        <v>52</v>
      </c>
      <c r="B48" s="5" t="s">
        <v>15</v>
      </c>
      <c r="C48" s="5">
        <v>180257.79</v>
      </c>
      <c r="D48" s="5">
        <v>61</v>
      </c>
      <c r="E48" s="5">
        <v>1</v>
      </c>
      <c r="F48" s="5">
        <v>1</v>
      </c>
      <c r="G48" s="5">
        <v>0.61550000000000005</v>
      </c>
      <c r="H48" s="5">
        <v>2</v>
      </c>
      <c r="I48" s="5">
        <v>116293.57</v>
      </c>
      <c r="J48" s="5">
        <v>97118.04</v>
      </c>
      <c r="K48" s="5">
        <v>139</v>
      </c>
      <c r="L48" s="5">
        <v>4</v>
      </c>
      <c r="M48" s="5">
        <v>1</v>
      </c>
      <c r="N48" s="5">
        <v>2</v>
      </c>
      <c r="O48" s="5">
        <v>653.76</v>
      </c>
      <c r="P48" s="6">
        <v>0</v>
      </c>
    </row>
    <row r="49" spans="1:16" ht="23.4" x14ac:dyDescent="0.45">
      <c r="A49" s="4" t="s">
        <v>53</v>
      </c>
      <c r="B49" s="5" t="s">
        <v>1</v>
      </c>
      <c r="C49" s="5">
        <v>77711.899999999994</v>
      </c>
      <c r="D49" s="5">
        <v>67</v>
      </c>
      <c r="E49" s="5">
        <v>0</v>
      </c>
      <c r="F49" s="5">
        <v>0.55249999999999999</v>
      </c>
      <c r="G49" s="5">
        <v>0.27900000000000003</v>
      </c>
      <c r="H49" s="5">
        <v>2</v>
      </c>
      <c r="I49" s="5">
        <v>56698.44</v>
      </c>
      <c r="J49" s="5">
        <v>33627.22</v>
      </c>
      <c r="K49" s="5">
        <v>124</v>
      </c>
      <c r="L49" s="5">
        <v>2</v>
      </c>
      <c r="M49" s="5">
        <v>2</v>
      </c>
      <c r="N49" s="5">
        <v>0</v>
      </c>
      <c r="O49" s="5">
        <v>758.59</v>
      </c>
      <c r="P49" s="6">
        <v>0</v>
      </c>
    </row>
    <row r="50" spans="1:16" ht="23.4" x14ac:dyDescent="0.45">
      <c r="A50" s="4" t="s">
        <v>54</v>
      </c>
      <c r="B50" s="5" t="s">
        <v>18</v>
      </c>
      <c r="C50" s="5">
        <v>66372.5</v>
      </c>
      <c r="D50" s="5">
        <v>43</v>
      </c>
      <c r="E50" s="5">
        <v>1</v>
      </c>
      <c r="F50" s="5">
        <v>0.90610000000000002</v>
      </c>
      <c r="G50" s="5">
        <v>0.46750000000000003</v>
      </c>
      <c r="H50" s="5">
        <v>1</v>
      </c>
      <c r="I50" s="5">
        <v>48057.34</v>
      </c>
      <c r="J50" s="5">
        <v>28146.19</v>
      </c>
      <c r="K50" s="5">
        <v>76</v>
      </c>
      <c r="L50" s="5">
        <v>2</v>
      </c>
      <c r="M50" s="5">
        <v>2</v>
      </c>
      <c r="N50" s="5">
        <v>0</v>
      </c>
      <c r="O50" s="5">
        <v>724.65</v>
      </c>
      <c r="P50" s="6">
        <v>0</v>
      </c>
    </row>
    <row r="51" spans="1:16" ht="23.4" x14ac:dyDescent="0.45">
      <c r="A51" s="4" t="s">
        <v>55</v>
      </c>
      <c r="B51" s="5" t="s">
        <v>1</v>
      </c>
      <c r="C51" s="5">
        <v>135893.82</v>
      </c>
      <c r="D51" s="5">
        <v>36</v>
      </c>
      <c r="E51" s="5">
        <v>1</v>
      </c>
      <c r="F51" s="5">
        <v>0.59489999999999998</v>
      </c>
      <c r="G51" s="5">
        <v>6.4600000000000005E-2</v>
      </c>
      <c r="H51" s="5">
        <v>0</v>
      </c>
      <c r="I51" s="5">
        <v>10306.549999999999</v>
      </c>
      <c r="J51" s="5">
        <v>11297.34</v>
      </c>
      <c r="K51" s="5">
        <v>68</v>
      </c>
      <c r="L51" s="5">
        <v>1</v>
      </c>
      <c r="M51" s="5">
        <v>2</v>
      </c>
      <c r="N51" s="5">
        <v>1</v>
      </c>
      <c r="O51" s="5">
        <v>739.67</v>
      </c>
      <c r="P51" s="6">
        <v>0</v>
      </c>
    </row>
    <row r="52" spans="1:16" ht="23.4" x14ac:dyDescent="0.45">
      <c r="A52" s="4" t="s">
        <v>56</v>
      </c>
      <c r="B52" s="5" t="s">
        <v>1</v>
      </c>
      <c r="C52" s="5">
        <v>23519.72</v>
      </c>
      <c r="D52" s="5">
        <v>42</v>
      </c>
      <c r="E52" s="5">
        <v>0</v>
      </c>
      <c r="F52" s="5">
        <v>0.84940000000000004</v>
      </c>
      <c r="G52" s="5">
        <v>0.2359</v>
      </c>
      <c r="H52" s="5">
        <v>3</v>
      </c>
      <c r="I52" s="5">
        <v>1765.39</v>
      </c>
      <c r="J52" s="5">
        <v>6734.98</v>
      </c>
      <c r="K52" s="5">
        <v>55</v>
      </c>
      <c r="L52" s="5">
        <v>1</v>
      </c>
      <c r="M52" s="5">
        <v>2</v>
      </c>
      <c r="N52" s="5">
        <v>3</v>
      </c>
      <c r="O52" s="5">
        <v>718.69</v>
      </c>
      <c r="P52" s="6">
        <v>0</v>
      </c>
    </row>
    <row r="53" spans="1:16" ht="23.4" x14ac:dyDescent="0.45">
      <c r="A53" s="4" t="s">
        <v>57</v>
      </c>
      <c r="B53" s="5" t="s">
        <v>6</v>
      </c>
      <c r="C53" s="5">
        <v>62704.57</v>
      </c>
      <c r="D53" s="5">
        <v>38</v>
      </c>
      <c r="E53" s="5">
        <v>0</v>
      </c>
      <c r="F53" s="5">
        <v>0.61280000000000001</v>
      </c>
      <c r="G53" s="5">
        <v>0</v>
      </c>
      <c r="H53" s="5">
        <v>0</v>
      </c>
      <c r="I53" s="5">
        <v>500</v>
      </c>
      <c r="J53" s="5">
        <v>4564.46</v>
      </c>
      <c r="K53" s="5">
        <v>64</v>
      </c>
      <c r="L53" s="5">
        <v>2</v>
      </c>
      <c r="M53" s="5">
        <v>1</v>
      </c>
      <c r="N53" s="5">
        <v>1</v>
      </c>
      <c r="O53" s="5">
        <v>746.82</v>
      </c>
      <c r="P53" s="6">
        <v>0</v>
      </c>
    </row>
    <row r="54" spans="1:16" ht="23.4" x14ac:dyDescent="0.45">
      <c r="A54" s="4" t="s">
        <v>58</v>
      </c>
      <c r="B54" s="5" t="s">
        <v>15</v>
      </c>
      <c r="C54" s="5">
        <v>104457.11</v>
      </c>
      <c r="D54" s="5">
        <v>39</v>
      </c>
      <c r="E54" s="5">
        <v>1</v>
      </c>
      <c r="F54" s="5">
        <v>0.71889999999999998</v>
      </c>
      <c r="G54" s="5">
        <v>0.3579</v>
      </c>
      <c r="H54" s="5">
        <v>1</v>
      </c>
      <c r="I54" s="5">
        <v>49188.7</v>
      </c>
      <c r="J54" s="5">
        <v>26982.62</v>
      </c>
      <c r="K54" s="5">
        <v>9</v>
      </c>
      <c r="L54" s="5">
        <v>2</v>
      </c>
      <c r="M54" s="5">
        <v>1</v>
      </c>
      <c r="N54" s="5">
        <v>0</v>
      </c>
      <c r="O54" s="5">
        <v>715.45</v>
      </c>
      <c r="P54" s="6">
        <v>0</v>
      </c>
    </row>
    <row r="55" spans="1:16" ht="23.4" x14ac:dyDescent="0.45">
      <c r="A55" s="4" t="s">
        <v>59</v>
      </c>
      <c r="B55" s="5" t="s">
        <v>4</v>
      </c>
      <c r="C55" s="5">
        <v>103390.08</v>
      </c>
      <c r="D55" s="5">
        <v>51</v>
      </c>
      <c r="E55" s="5">
        <v>1</v>
      </c>
      <c r="F55" s="5">
        <v>0.75539999999999996</v>
      </c>
      <c r="G55" s="5">
        <v>0.46039999999999998</v>
      </c>
      <c r="H55" s="5">
        <v>0</v>
      </c>
      <c r="I55" s="5">
        <v>48619.02</v>
      </c>
      <c r="J55" s="5">
        <v>32354.73</v>
      </c>
      <c r="K55" s="5">
        <v>150</v>
      </c>
      <c r="L55" s="5">
        <v>3</v>
      </c>
      <c r="M55" s="5">
        <v>1</v>
      </c>
      <c r="N55" s="5">
        <v>0</v>
      </c>
      <c r="O55" s="5">
        <v>672.11</v>
      </c>
      <c r="P55" s="6">
        <v>0</v>
      </c>
    </row>
    <row r="56" spans="1:16" ht="23.4" x14ac:dyDescent="0.45">
      <c r="A56" s="4" t="s">
        <v>60</v>
      </c>
      <c r="B56" s="5" t="s">
        <v>6</v>
      </c>
      <c r="C56" s="5">
        <v>37615.82</v>
      </c>
      <c r="D56" s="5">
        <v>60</v>
      </c>
      <c r="E56" s="5">
        <v>0</v>
      </c>
      <c r="F56" s="5">
        <v>0.83540000000000003</v>
      </c>
      <c r="G56" s="5">
        <v>0.44629999999999997</v>
      </c>
      <c r="H56" s="5">
        <v>5</v>
      </c>
      <c r="I56" s="5">
        <v>1343.53</v>
      </c>
      <c r="J56" s="5">
        <v>3633.06</v>
      </c>
      <c r="K56" s="5">
        <v>156</v>
      </c>
      <c r="L56" s="5">
        <v>4</v>
      </c>
      <c r="M56" s="5">
        <v>1</v>
      </c>
      <c r="N56" s="5">
        <v>1</v>
      </c>
      <c r="O56" s="5">
        <v>638.51</v>
      </c>
      <c r="P56" s="6">
        <v>0</v>
      </c>
    </row>
    <row r="57" spans="1:16" ht="23.4" x14ac:dyDescent="0.45">
      <c r="A57" s="4" t="s">
        <v>61</v>
      </c>
      <c r="B57" s="5" t="s">
        <v>1</v>
      </c>
      <c r="C57" s="5">
        <v>43044.480000000003</v>
      </c>
      <c r="D57" s="5">
        <v>34</v>
      </c>
      <c r="E57" s="5">
        <v>0</v>
      </c>
      <c r="F57" s="5">
        <v>0.58950000000000002</v>
      </c>
      <c r="G57" s="5">
        <v>0.26090000000000002</v>
      </c>
      <c r="H57" s="5">
        <v>3</v>
      </c>
      <c r="I57" s="5">
        <v>16656.560000000001</v>
      </c>
      <c r="J57" s="5">
        <v>6168.95</v>
      </c>
      <c r="K57" s="5">
        <v>110</v>
      </c>
      <c r="L57" s="5">
        <v>2</v>
      </c>
      <c r="M57" s="5">
        <v>2</v>
      </c>
      <c r="N57" s="5">
        <v>0</v>
      </c>
      <c r="O57" s="5">
        <v>688.63</v>
      </c>
      <c r="P57" s="6">
        <v>0</v>
      </c>
    </row>
    <row r="58" spans="1:16" ht="23.4" x14ac:dyDescent="0.45">
      <c r="A58" s="4" t="s">
        <v>62</v>
      </c>
      <c r="B58" s="5" t="s">
        <v>6</v>
      </c>
      <c r="C58" s="5">
        <v>71266.44</v>
      </c>
      <c r="D58" s="5">
        <v>50</v>
      </c>
      <c r="E58" s="5">
        <v>0</v>
      </c>
      <c r="F58" s="5">
        <v>0.3997</v>
      </c>
      <c r="G58" s="5">
        <v>0.56440000000000001</v>
      </c>
      <c r="H58" s="5">
        <v>4</v>
      </c>
      <c r="I58" s="5">
        <v>37794.93</v>
      </c>
      <c r="J58" s="5">
        <v>35262.01</v>
      </c>
      <c r="K58" s="5">
        <v>156</v>
      </c>
      <c r="L58" s="5">
        <v>2</v>
      </c>
      <c r="M58" s="5">
        <v>3</v>
      </c>
      <c r="N58" s="5">
        <v>0</v>
      </c>
      <c r="O58" s="5">
        <v>569.53</v>
      </c>
      <c r="P58" s="6">
        <v>0</v>
      </c>
    </row>
    <row r="59" spans="1:16" ht="23.4" x14ac:dyDescent="0.45">
      <c r="A59" s="4" t="s">
        <v>63</v>
      </c>
      <c r="B59" s="5" t="s">
        <v>18</v>
      </c>
      <c r="C59" s="5">
        <v>72038.34</v>
      </c>
      <c r="D59" s="5">
        <v>30</v>
      </c>
      <c r="E59" s="5">
        <v>1</v>
      </c>
      <c r="F59" s="5">
        <v>0.80859999999999999</v>
      </c>
      <c r="G59" s="5">
        <v>0.46529999999999999</v>
      </c>
      <c r="H59" s="5">
        <v>2</v>
      </c>
      <c r="I59" s="5">
        <v>56844.160000000003</v>
      </c>
      <c r="J59" s="5">
        <v>35134.480000000003</v>
      </c>
      <c r="K59" s="5">
        <v>37</v>
      </c>
      <c r="L59" s="5">
        <v>2</v>
      </c>
      <c r="M59" s="5">
        <v>1</v>
      </c>
      <c r="N59" s="5">
        <v>0</v>
      </c>
      <c r="O59" s="5">
        <v>688.94</v>
      </c>
      <c r="P59" s="6">
        <v>0</v>
      </c>
    </row>
    <row r="60" spans="1:16" ht="23.4" x14ac:dyDescent="0.45">
      <c r="A60" s="4" t="s">
        <v>64</v>
      </c>
      <c r="B60" s="5" t="s">
        <v>15</v>
      </c>
      <c r="C60" s="5">
        <v>43224.07</v>
      </c>
      <c r="D60" s="5">
        <v>59</v>
      </c>
      <c r="E60" s="5">
        <v>1</v>
      </c>
      <c r="F60" s="5">
        <v>0.64659999999999995</v>
      </c>
      <c r="G60" s="5">
        <v>0.65759999999999996</v>
      </c>
      <c r="H60" s="5">
        <v>4</v>
      </c>
      <c r="I60" s="5">
        <v>23426.54</v>
      </c>
      <c r="J60" s="5">
        <v>20887.169999999998</v>
      </c>
      <c r="K60" s="5">
        <v>29</v>
      </c>
      <c r="L60" s="5">
        <v>1</v>
      </c>
      <c r="M60" s="5">
        <v>2</v>
      </c>
      <c r="N60" s="5">
        <v>2</v>
      </c>
      <c r="O60" s="5">
        <v>664.5</v>
      </c>
      <c r="P60" s="6">
        <v>0</v>
      </c>
    </row>
    <row r="61" spans="1:16" ht="23.4" x14ac:dyDescent="0.45">
      <c r="A61" s="4" t="s">
        <v>65</v>
      </c>
      <c r="B61" s="5" t="s">
        <v>18</v>
      </c>
      <c r="C61" s="5">
        <v>85204.18</v>
      </c>
      <c r="D61" s="5">
        <v>38</v>
      </c>
      <c r="E61" s="5">
        <v>0</v>
      </c>
      <c r="F61" s="5">
        <v>0.39879999999999999</v>
      </c>
      <c r="G61" s="5">
        <v>0.2044</v>
      </c>
      <c r="H61" s="5">
        <v>3</v>
      </c>
      <c r="I61" s="5">
        <v>33596.6</v>
      </c>
      <c r="J61" s="5">
        <v>12759.41</v>
      </c>
      <c r="K61" s="5">
        <v>155</v>
      </c>
      <c r="L61" s="5">
        <v>2</v>
      </c>
      <c r="M61" s="5">
        <v>2</v>
      </c>
      <c r="N61" s="5">
        <v>3</v>
      </c>
      <c r="O61" s="5">
        <v>698.7</v>
      </c>
      <c r="P61" s="6">
        <v>0</v>
      </c>
    </row>
    <row r="62" spans="1:16" ht="23.4" x14ac:dyDescent="0.45">
      <c r="A62" s="4" t="s">
        <v>66</v>
      </c>
      <c r="B62" s="5" t="s">
        <v>6</v>
      </c>
      <c r="C62" s="5">
        <v>56785.79</v>
      </c>
      <c r="D62" s="5">
        <v>27</v>
      </c>
      <c r="E62" s="5">
        <v>1</v>
      </c>
      <c r="F62" s="5">
        <v>0.79579999999999995</v>
      </c>
      <c r="G62" s="5">
        <v>0.54010000000000002</v>
      </c>
      <c r="H62" s="5">
        <v>2</v>
      </c>
      <c r="I62" s="5">
        <v>26383.1</v>
      </c>
      <c r="J62" s="5">
        <v>12764.02</v>
      </c>
      <c r="K62" s="5">
        <v>108</v>
      </c>
      <c r="L62" s="5">
        <v>3</v>
      </c>
      <c r="M62" s="5">
        <v>2</v>
      </c>
      <c r="N62" s="5">
        <v>1</v>
      </c>
      <c r="O62" s="5">
        <v>681.38</v>
      </c>
      <c r="P62" s="6">
        <v>0</v>
      </c>
    </row>
    <row r="63" spans="1:16" ht="23.4" x14ac:dyDescent="0.45">
      <c r="A63" s="4" t="s">
        <v>67</v>
      </c>
      <c r="B63" s="5" t="s">
        <v>15</v>
      </c>
      <c r="C63" s="5">
        <v>126544.83</v>
      </c>
      <c r="D63" s="5">
        <v>46</v>
      </c>
      <c r="E63" s="5">
        <v>0</v>
      </c>
      <c r="F63" s="5">
        <v>0.94679999999999997</v>
      </c>
      <c r="G63" s="5">
        <v>4.9700000000000001E-2</v>
      </c>
      <c r="H63" s="5">
        <v>5</v>
      </c>
      <c r="I63" s="5">
        <v>6513.42</v>
      </c>
      <c r="J63" s="5">
        <v>2477.06</v>
      </c>
      <c r="K63" s="5">
        <v>138</v>
      </c>
      <c r="L63" s="5">
        <v>2</v>
      </c>
      <c r="M63" s="5">
        <v>2</v>
      </c>
      <c r="N63" s="5">
        <v>1</v>
      </c>
      <c r="O63" s="5">
        <v>764.37</v>
      </c>
      <c r="P63" s="6">
        <v>0</v>
      </c>
    </row>
    <row r="64" spans="1:16" ht="23.4" x14ac:dyDescent="0.45">
      <c r="A64" s="4" t="s">
        <v>68</v>
      </c>
      <c r="B64" s="5" t="s">
        <v>1</v>
      </c>
      <c r="C64" s="5">
        <v>106341.92</v>
      </c>
      <c r="D64" s="5">
        <v>39</v>
      </c>
      <c r="E64" s="5">
        <v>1</v>
      </c>
      <c r="F64" s="5">
        <v>0.94179999999999997</v>
      </c>
      <c r="G64" s="5">
        <v>4.19E-2</v>
      </c>
      <c r="H64" s="5">
        <v>2</v>
      </c>
      <c r="I64" s="5">
        <v>33616.85</v>
      </c>
      <c r="J64" s="5">
        <v>40980.9</v>
      </c>
      <c r="K64" s="5">
        <v>161</v>
      </c>
      <c r="L64" s="5">
        <v>3</v>
      </c>
      <c r="M64" s="5">
        <v>2</v>
      </c>
      <c r="N64" s="5">
        <v>0</v>
      </c>
      <c r="O64" s="5">
        <v>820.88</v>
      </c>
      <c r="P64" s="6">
        <v>0</v>
      </c>
    </row>
    <row r="65" spans="1:16" ht="23.4" x14ac:dyDescent="0.45">
      <c r="A65" s="4" t="s">
        <v>69</v>
      </c>
      <c r="B65" s="5" t="s">
        <v>15</v>
      </c>
      <c r="C65" s="5">
        <v>93954.08</v>
      </c>
      <c r="D65" s="5">
        <v>28</v>
      </c>
      <c r="E65" s="5">
        <v>1</v>
      </c>
      <c r="F65" s="5">
        <v>0.60289999999999999</v>
      </c>
      <c r="G65" s="5">
        <v>0.43</v>
      </c>
      <c r="H65" s="5">
        <v>4</v>
      </c>
      <c r="I65" s="5">
        <v>25073.61</v>
      </c>
      <c r="J65" s="5">
        <v>14089.33</v>
      </c>
      <c r="K65" s="5">
        <v>75</v>
      </c>
      <c r="L65" s="5">
        <v>2</v>
      </c>
      <c r="M65" s="5">
        <v>1</v>
      </c>
      <c r="N65" s="5">
        <v>1</v>
      </c>
      <c r="O65" s="5">
        <v>617.97</v>
      </c>
      <c r="P65" s="6">
        <v>0</v>
      </c>
    </row>
    <row r="66" spans="1:16" ht="23.4" x14ac:dyDescent="0.45">
      <c r="A66" s="4" t="s">
        <v>70</v>
      </c>
      <c r="B66" s="5" t="s">
        <v>6</v>
      </c>
      <c r="C66" s="5">
        <v>107989.04</v>
      </c>
      <c r="D66" s="5">
        <v>59</v>
      </c>
      <c r="E66" s="5">
        <v>1</v>
      </c>
      <c r="F66" s="5">
        <v>0.80259999999999998</v>
      </c>
      <c r="G66" s="5">
        <v>0</v>
      </c>
      <c r="H66" s="5">
        <v>0</v>
      </c>
      <c r="I66" s="5">
        <v>7921.16</v>
      </c>
      <c r="J66" s="5">
        <v>860.1</v>
      </c>
      <c r="K66" s="5">
        <v>112</v>
      </c>
      <c r="L66" s="5">
        <v>1</v>
      </c>
      <c r="M66" s="5">
        <v>2</v>
      </c>
      <c r="N66" s="5">
        <v>0</v>
      </c>
      <c r="O66" s="5">
        <v>842.85</v>
      </c>
      <c r="P66" s="6">
        <v>0</v>
      </c>
    </row>
    <row r="67" spans="1:16" ht="23.4" x14ac:dyDescent="0.45">
      <c r="A67" s="4" t="s">
        <v>71</v>
      </c>
      <c r="B67" s="5" t="s">
        <v>1</v>
      </c>
      <c r="C67" s="5">
        <v>91167.14</v>
      </c>
      <c r="D67" s="5">
        <v>58</v>
      </c>
      <c r="E67" s="5">
        <v>1</v>
      </c>
      <c r="F67" s="5">
        <v>0.93200000000000005</v>
      </c>
      <c r="G67" s="5">
        <v>0.39800000000000002</v>
      </c>
      <c r="H67" s="5">
        <v>4</v>
      </c>
      <c r="I67" s="5">
        <v>51280.31</v>
      </c>
      <c r="J67" s="5">
        <v>33924.47</v>
      </c>
      <c r="K67" s="5">
        <v>145</v>
      </c>
      <c r="L67" s="5">
        <v>2</v>
      </c>
      <c r="M67" s="5">
        <v>3</v>
      </c>
      <c r="N67" s="5">
        <v>2</v>
      </c>
      <c r="O67" s="5">
        <v>792.84</v>
      </c>
      <c r="P67" s="6">
        <v>0</v>
      </c>
    </row>
    <row r="68" spans="1:16" ht="23.4" x14ac:dyDescent="0.45">
      <c r="A68" s="4" t="s">
        <v>72</v>
      </c>
      <c r="B68" s="5" t="s">
        <v>1</v>
      </c>
      <c r="C68" s="5">
        <v>93107.8</v>
      </c>
      <c r="D68" s="5">
        <v>70</v>
      </c>
      <c r="E68" s="5">
        <v>1</v>
      </c>
      <c r="F68" s="5">
        <v>0.89610000000000001</v>
      </c>
      <c r="G68" s="5">
        <v>0.2147</v>
      </c>
      <c r="H68" s="5">
        <v>3</v>
      </c>
      <c r="I68" s="5">
        <v>500</v>
      </c>
      <c r="J68" s="5">
        <v>3369.69</v>
      </c>
      <c r="K68" s="5">
        <v>103</v>
      </c>
      <c r="L68" s="5">
        <v>2</v>
      </c>
      <c r="M68" s="5">
        <v>2</v>
      </c>
      <c r="N68" s="5">
        <v>2</v>
      </c>
      <c r="O68" s="5">
        <v>810.01</v>
      </c>
      <c r="P68" s="6">
        <v>0</v>
      </c>
    </row>
    <row r="69" spans="1:16" ht="23.4" x14ac:dyDescent="0.45">
      <c r="A69" s="4" t="s">
        <v>73</v>
      </c>
      <c r="B69" s="5" t="s">
        <v>4</v>
      </c>
      <c r="C69" s="5">
        <v>83672.59</v>
      </c>
      <c r="D69" s="5">
        <v>53</v>
      </c>
      <c r="E69" s="5">
        <v>0</v>
      </c>
      <c r="F69" s="5">
        <v>0.87539999999999996</v>
      </c>
      <c r="G69" s="5">
        <v>0.35149999999999998</v>
      </c>
      <c r="H69" s="5">
        <v>5</v>
      </c>
      <c r="I69" s="5">
        <v>46490.54</v>
      </c>
      <c r="J69" s="5">
        <v>49112.05</v>
      </c>
      <c r="K69" s="5">
        <v>9</v>
      </c>
      <c r="L69" s="5">
        <v>2</v>
      </c>
      <c r="M69" s="5">
        <v>1</v>
      </c>
      <c r="N69" s="5">
        <v>1</v>
      </c>
      <c r="O69" s="5">
        <v>804.21</v>
      </c>
      <c r="P69" s="6">
        <v>0</v>
      </c>
    </row>
    <row r="70" spans="1:16" ht="23.4" x14ac:dyDescent="0.45">
      <c r="A70" s="4" t="s">
        <v>74</v>
      </c>
      <c r="B70" s="5" t="s">
        <v>15</v>
      </c>
      <c r="C70" s="5">
        <v>2000</v>
      </c>
      <c r="D70" s="5">
        <v>42</v>
      </c>
      <c r="E70" s="5">
        <v>0</v>
      </c>
      <c r="F70" s="5">
        <v>0.80049999999999999</v>
      </c>
      <c r="G70" s="5">
        <v>0.22009999999999999</v>
      </c>
      <c r="H70" s="5">
        <v>0</v>
      </c>
      <c r="I70" s="5">
        <v>12159.89</v>
      </c>
      <c r="J70" s="5">
        <v>12210.08</v>
      </c>
      <c r="K70" s="5">
        <v>178</v>
      </c>
      <c r="L70" s="5">
        <v>3</v>
      </c>
      <c r="M70" s="5">
        <v>1</v>
      </c>
      <c r="N70" s="5">
        <v>0</v>
      </c>
      <c r="O70" s="5">
        <v>708.68</v>
      </c>
      <c r="P70" s="6">
        <v>0</v>
      </c>
    </row>
    <row r="71" spans="1:16" ht="23.4" x14ac:dyDescent="0.45">
      <c r="A71" s="4" t="s">
        <v>75</v>
      </c>
      <c r="B71" s="5" t="s">
        <v>1</v>
      </c>
      <c r="C71" s="5">
        <v>15503.76</v>
      </c>
      <c r="D71" s="5">
        <v>23</v>
      </c>
      <c r="E71" s="5">
        <v>0</v>
      </c>
      <c r="F71" s="5">
        <v>0.59179999999999999</v>
      </c>
      <c r="G71" s="5">
        <v>0.27689999999999998</v>
      </c>
      <c r="H71" s="5">
        <v>1</v>
      </c>
      <c r="I71" s="5">
        <v>500</v>
      </c>
      <c r="J71" s="5">
        <v>809.28</v>
      </c>
      <c r="K71" s="5">
        <v>31</v>
      </c>
      <c r="L71" s="5">
        <v>3</v>
      </c>
      <c r="M71" s="5">
        <v>2</v>
      </c>
      <c r="N71" s="5">
        <v>0</v>
      </c>
      <c r="O71" s="5">
        <v>724.71</v>
      </c>
      <c r="P71" s="6">
        <v>0</v>
      </c>
    </row>
    <row r="72" spans="1:16" ht="23.4" x14ac:dyDescent="0.45">
      <c r="A72" s="4" t="s">
        <v>76</v>
      </c>
      <c r="B72" s="5" t="s">
        <v>15</v>
      </c>
      <c r="C72" s="5">
        <v>86664.31</v>
      </c>
      <c r="D72" s="5">
        <v>41</v>
      </c>
      <c r="E72" s="5">
        <v>0</v>
      </c>
      <c r="F72" s="5">
        <v>0.74619999999999997</v>
      </c>
      <c r="G72" s="5">
        <v>0.45960000000000001</v>
      </c>
      <c r="H72" s="5">
        <v>1</v>
      </c>
      <c r="I72" s="5">
        <v>33883.93</v>
      </c>
      <c r="J72" s="5">
        <v>26842.880000000001</v>
      </c>
      <c r="K72" s="5">
        <v>141</v>
      </c>
      <c r="L72" s="5">
        <v>2</v>
      </c>
      <c r="M72" s="5">
        <v>2</v>
      </c>
      <c r="N72" s="5">
        <v>0</v>
      </c>
      <c r="O72" s="5">
        <v>740.1</v>
      </c>
      <c r="P72" s="6">
        <v>0</v>
      </c>
    </row>
    <row r="73" spans="1:16" ht="23.4" x14ac:dyDescent="0.45">
      <c r="A73" s="4" t="s">
        <v>77</v>
      </c>
      <c r="B73" s="5" t="s">
        <v>4</v>
      </c>
      <c r="C73" s="5">
        <v>144997.06</v>
      </c>
      <c r="D73" s="5">
        <v>64</v>
      </c>
      <c r="E73" s="5">
        <v>1</v>
      </c>
      <c r="F73" s="5">
        <v>0.72540000000000004</v>
      </c>
      <c r="G73" s="5">
        <v>0.95130000000000003</v>
      </c>
      <c r="H73" s="5">
        <v>7</v>
      </c>
      <c r="I73" s="5">
        <v>150999.72</v>
      </c>
      <c r="J73" s="5">
        <v>104062.99</v>
      </c>
      <c r="K73" s="5">
        <v>8</v>
      </c>
      <c r="L73" s="5">
        <v>3</v>
      </c>
      <c r="M73" s="5">
        <v>1</v>
      </c>
      <c r="N73" s="5">
        <v>0</v>
      </c>
      <c r="O73" s="5">
        <v>707</v>
      </c>
      <c r="P73" s="6">
        <v>0</v>
      </c>
    </row>
    <row r="74" spans="1:16" ht="23.4" x14ac:dyDescent="0.45">
      <c r="A74" s="4" t="s">
        <v>78</v>
      </c>
      <c r="B74" s="5" t="s">
        <v>15</v>
      </c>
      <c r="C74" s="5">
        <v>186990.37</v>
      </c>
      <c r="D74" s="5">
        <v>58</v>
      </c>
      <c r="E74" s="5">
        <v>0</v>
      </c>
      <c r="F74" s="5">
        <v>0.91579999999999995</v>
      </c>
      <c r="G74" s="5">
        <v>0.2056</v>
      </c>
      <c r="H74" s="5">
        <v>6</v>
      </c>
      <c r="I74" s="5">
        <v>32382.36</v>
      </c>
      <c r="J74" s="5">
        <v>16590.400000000001</v>
      </c>
      <c r="K74" s="5">
        <v>83</v>
      </c>
      <c r="L74" s="5">
        <v>1</v>
      </c>
      <c r="M74" s="5">
        <v>1</v>
      </c>
      <c r="N74" s="5">
        <v>1</v>
      </c>
      <c r="O74" s="5">
        <v>749.72</v>
      </c>
      <c r="P74" s="6">
        <v>0</v>
      </c>
    </row>
    <row r="75" spans="1:16" ht="23.4" x14ac:dyDescent="0.45">
      <c r="A75" s="4" t="s">
        <v>79</v>
      </c>
      <c r="B75" s="5" t="s">
        <v>15</v>
      </c>
      <c r="C75" s="5">
        <v>148430.04</v>
      </c>
      <c r="D75" s="5">
        <v>65</v>
      </c>
      <c r="E75" s="5">
        <v>0</v>
      </c>
      <c r="F75" s="5">
        <v>0.54510000000000003</v>
      </c>
      <c r="G75" s="5">
        <v>1</v>
      </c>
      <c r="H75" s="5">
        <v>5</v>
      </c>
      <c r="I75" s="5">
        <v>138356.63</v>
      </c>
      <c r="J75" s="5">
        <v>74367.31</v>
      </c>
      <c r="K75" s="5">
        <v>18</v>
      </c>
      <c r="L75" s="5">
        <v>3</v>
      </c>
      <c r="M75" s="5">
        <v>2</v>
      </c>
      <c r="N75" s="5">
        <v>2</v>
      </c>
      <c r="O75" s="5">
        <v>598.66999999999996</v>
      </c>
      <c r="P75" s="6">
        <v>0</v>
      </c>
    </row>
    <row r="76" spans="1:16" ht="23.4" x14ac:dyDescent="0.45">
      <c r="A76" s="4" t="s">
        <v>80</v>
      </c>
      <c r="B76" s="5" t="s">
        <v>18</v>
      </c>
      <c r="C76" s="5">
        <v>95240.69</v>
      </c>
      <c r="D76" s="5">
        <v>43</v>
      </c>
      <c r="E76" s="5">
        <v>1</v>
      </c>
      <c r="F76" s="5">
        <v>0.55720000000000003</v>
      </c>
      <c r="G76" s="5">
        <v>0.43140000000000001</v>
      </c>
      <c r="H76" s="5">
        <v>4</v>
      </c>
      <c r="I76" s="5">
        <v>40989.58</v>
      </c>
      <c r="J76" s="5">
        <v>38961.06</v>
      </c>
      <c r="K76" s="5">
        <v>174</v>
      </c>
      <c r="L76" s="5">
        <v>2</v>
      </c>
      <c r="M76" s="5">
        <v>1</v>
      </c>
      <c r="N76" s="5">
        <v>0</v>
      </c>
      <c r="O76" s="5">
        <v>670.51</v>
      </c>
      <c r="P76" s="6">
        <v>0</v>
      </c>
    </row>
    <row r="77" spans="1:16" ht="23.4" x14ac:dyDescent="0.45">
      <c r="A77" s="4" t="s">
        <v>81</v>
      </c>
      <c r="B77" s="5" t="s">
        <v>1</v>
      </c>
      <c r="C77" s="5">
        <v>80836.899999999994</v>
      </c>
      <c r="D77" s="5">
        <v>23</v>
      </c>
      <c r="E77" s="5">
        <v>1</v>
      </c>
      <c r="F77" s="5">
        <v>0.41499999999999998</v>
      </c>
      <c r="G77" s="5">
        <v>0.2054</v>
      </c>
      <c r="H77" s="5">
        <v>3</v>
      </c>
      <c r="I77" s="5">
        <v>23334.92</v>
      </c>
      <c r="J77" s="5">
        <v>13129.05</v>
      </c>
      <c r="K77" s="5">
        <v>39</v>
      </c>
      <c r="L77" s="5">
        <v>3</v>
      </c>
      <c r="M77" s="5">
        <v>2</v>
      </c>
      <c r="N77" s="5">
        <v>0</v>
      </c>
      <c r="O77" s="5">
        <v>646.08000000000004</v>
      </c>
      <c r="P77" s="6">
        <v>0</v>
      </c>
    </row>
    <row r="78" spans="1:16" ht="23.4" x14ac:dyDescent="0.45">
      <c r="A78" s="4" t="s">
        <v>82</v>
      </c>
      <c r="B78" s="5" t="s">
        <v>9</v>
      </c>
      <c r="C78" s="5">
        <v>86193.42</v>
      </c>
      <c r="D78" s="5">
        <v>51</v>
      </c>
      <c r="E78" s="5">
        <v>0</v>
      </c>
      <c r="F78" s="5">
        <v>0.81869999999999998</v>
      </c>
      <c r="G78" s="5">
        <v>0.60470000000000002</v>
      </c>
      <c r="H78" s="5">
        <v>3</v>
      </c>
      <c r="I78" s="5">
        <v>70716.3</v>
      </c>
      <c r="J78" s="5">
        <v>40937.980000000003</v>
      </c>
      <c r="K78" s="5">
        <v>125</v>
      </c>
      <c r="L78" s="5">
        <v>4</v>
      </c>
      <c r="M78" s="5">
        <v>1</v>
      </c>
      <c r="N78" s="5">
        <v>3</v>
      </c>
      <c r="O78" s="5">
        <v>761.32</v>
      </c>
      <c r="P78" s="6">
        <v>0</v>
      </c>
    </row>
    <row r="79" spans="1:16" ht="23.4" x14ac:dyDescent="0.45">
      <c r="A79" s="4" t="s">
        <v>83</v>
      </c>
      <c r="B79" s="5" t="s">
        <v>15</v>
      </c>
      <c r="C79" s="5">
        <v>34387.620000000003</v>
      </c>
      <c r="D79" s="5">
        <v>56</v>
      </c>
      <c r="E79" s="5">
        <v>0</v>
      </c>
      <c r="F79" s="5">
        <v>0.46479999999999999</v>
      </c>
      <c r="G79" s="5">
        <v>0.73019999999999996</v>
      </c>
      <c r="H79" s="5">
        <v>7</v>
      </c>
      <c r="I79" s="5">
        <v>26735.62</v>
      </c>
      <c r="J79" s="5">
        <v>4185.53</v>
      </c>
      <c r="K79" s="5">
        <v>178</v>
      </c>
      <c r="L79" s="5">
        <v>1</v>
      </c>
      <c r="M79" s="5">
        <v>1</v>
      </c>
      <c r="N79" s="5">
        <v>1</v>
      </c>
      <c r="O79" s="5">
        <v>672.5</v>
      </c>
      <c r="P79" s="6">
        <v>0</v>
      </c>
    </row>
    <row r="80" spans="1:16" ht="23.4" x14ac:dyDescent="0.45">
      <c r="A80" s="4" t="s">
        <v>84</v>
      </c>
      <c r="B80" s="5" t="s">
        <v>18</v>
      </c>
      <c r="C80" s="5">
        <v>66882.22</v>
      </c>
      <c r="D80" s="5">
        <v>60</v>
      </c>
      <c r="E80" s="5">
        <v>1</v>
      </c>
      <c r="F80" s="5">
        <v>0.49890000000000001</v>
      </c>
      <c r="G80" s="5">
        <v>0.63970000000000005</v>
      </c>
      <c r="H80" s="5">
        <v>2</v>
      </c>
      <c r="I80" s="5">
        <v>51929.49</v>
      </c>
      <c r="J80" s="5">
        <v>28261.06</v>
      </c>
      <c r="K80" s="5">
        <v>22</v>
      </c>
      <c r="L80" s="5">
        <v>2</v>
      </c>
      <c r="M80" s="5">
        <v>1</v>
      </c>
      <c r="N80" s="5">
        <v>1</v>
      </c>
      <c r="O80" s="5">
        <v>641</v>
      </c>
      <c r="P80" s="6">
        <v>1</v>
      </c>
    </row>
    <row r="81" spans="1:16" ht="23.4" x14ac:dyDescent="0.45">
      <c r="A81" s="4" t="s">
        <v>85</v>
      </c>
      <c r="B81" s="5" t="s">
        <v>6</v>
      </c>
      <c r="C81" s="5">
        <v>71928.63</v>
      </c>
      <c r="D81" s="5">
        <v>23</v>
      </c>
      <c r="E81" s="5">
        <v>0</v>
      </c>
      <c r="F81" s="5">
        <v>0.622</v>
      </c>
      <c r="G81" s="5">
        <v>0.6744</v>
      </c>
      <c r="H81" s="5">
        <v>7</v>
      </c>
      <c r="I81" s="5">
        <v>66479.8</v>
      </c>
      <c r="J81" s="5">
        <v>48920.41</v>
      </c>
      <c r="K81" s="5">
        <v>177</v>
      </c>
      <c r="L81" s="5">
        <v>3</v>
      </c>
      <c r="M81" s="5">
        <v>2</v>
      </c>
      <c r="N81" s="5">
        <v>1</v>
      </c>
      <c r="O81" s="5">
        <v>720.35</v>
      </c>
      <c r="P81" s="6">
        <v>0</v>
      </c>
    </row>
    <row r="82" spans="1:16" ht="23.4" x14ac:dyDescent="0.45">
      <c r="A82" s="4" t="s">
        <v>86</v>
      </c>
      <c r="B82" s="5" t="s">
        <v>15</v>
      </c>
      <c r="C82" s="5">
        <v>76277.119999999995</v>
      </c>
      <c r="D82" s="5">
        <v>62</v>
      </c>
      <c r="E82" s="5">
        <v>1</v>
      </c>
      <c r="F82" s="5">
        <v>0.28820000000000001</v>
      </c>
      <c r="G82" s="5">
        <v>0.63549999999999995</v>
      </c>
      <c r="H82" s="5">
        <v>5</v>
      </c>
      <c r="I82" s="5">
        <v>17552.64</v>
      </c>
      <c r="J82" s="5">
        <v>19786.919999999998</v>
      </c>
      <c r="K82" s="5">
        <v>14</v>
      </c>
      <c r="L82" s="5">
        <v>2</v>
      </c>
      <c r="M82" s="5">
        <v>1</v>
      </c>
      <c r="N82" s="5">
        <v>0</v>
      </c>
      <c r="O82" s="5">
        <v>638.70000000000005</v>
      </c>
      <c r="P82" s="6">
        <v>0</v>
      </c>
    </row>
    <row r="83" spans="1:16" ht="23.4" x14ac:dyDescent="0.45">
      <c r="A83" s="4" t="s">
        <v>87</v>
      </c>
      <c r="B83" s="5" t="s">
        <v>6</v>
      </c>
      <c r="C83" s="5">
        <v>132551.62</v>
      </c>
      <c r="D83" s="5">
        <v>44</v>
      </c>
      <c r="E83" s="5">
        <v>0</v>
      </c>
      <c r="F83" s="5">
        <v>0.16930000000000001</v>
      </c>
      <c r="G83" s="5">
        <v>0.2097</v>
      </c>
      <c r="H83" s="5">
        <v>0</v>
      </c>
      <c r="I83" s="5">
        <v>39522.839999999997</v>
      </c>
      <c r="J83" s="5">
        <v>19994.310000000001</v>
      </c>
      <c r="K83" s="5">
        <v>122</v>
      </c>
      <c r="L83" s="5">
        <v>1</v>
      </c>
      <c r="M83" s="5">
        <v>1</v>
      </c>
      <c r="N83" s="5">
        <v>1</v>
      </c>
      <c r="O83" s="5">
        <v>682.01</v>
      </c>
      <c r="P83" s="6">
        <v>0</v>
      </c>
    </row>
    <row r="84" spans="1:16" ht="23.4" x14ac:dyDescent="0.45">
      <c r="A84" s="4" t="s">
        <v>88</v>
      </c>
      <c r="B84" s="5" t="s">
        <v>18</v>
      </c>
      <c r="C84" s="5">
        <v>128506.65</v>
      </c>
      <c r="D84" s="5">
        <v>29</v>
      </c>
      <c r="E84" s="5">
        <v>1</v>
      </c>
      <c r="F84" s="5">
        <v>0.75629999999999997</v>
      </c>
      <c r="G84" s="5">
        <v>0.439</v>
      </c>
      <c r="H84" s="5">
        <v>1</v>
      </c>
      <c r="I84" s="5">
        <v>65582.740000000005</v>
      </c>
      <c r="J84" s="5">
        <v>37156.18</v>
      </c>
      <c r="K84" s="5">
        <v>156</v>
      </c>
      <c r="L84" s="5">
        <v>1</v>
      </c>
      <c r="M84" s="5">
        <v>2</v>
      </c>
      <c r="N84" s="5">
        <v>0</v>
      </c>
      <c r="O84" s="5">
        <v>783</v>
      </c>
      <c r="P84" s="6">
        <v>1</v>
      </c>
    </row>
    <row r="85" spans="1:16" ht="23.4" x14ac:dyDescent="0.45">
      <c r="A85" s="4" t="s">
        <v>89</v>
      </c>
      <c r="B85" s="5" t="s">
        <v>1</v>
      </c>
      <c r="C85" s="5">
        <v>167333.32</v>
      </c>
      <c r="D85" s="5">
        <v>30</v>
      </c>
      <c r="E85" s="5">
        <v>0</v>
      </c>
      <c r="F85" s="5">
        <v>0.9486</v>
      </c>
      <c r="G85" s="5">
        <v>0.37559999999999999</v>
      </c>
      <c r="H85" s="5">
        <v>3</v>
      </c>
      <c r="I85" s="5">
        <v>55945.39</v>
      </c>
      <c r="J85" s="5">
        <v>46446.75</v>
      </c>
      <c r="K85" s="5">
        <v>97</v>
      </c>
      <c r="L85" s="5">
        <v>3</v>
      </c>
      <c r="M85" s="5">
        <v>1</v>
      </c>
      <c r="N85" s="5">
        <v>0</v>
      </c>
      <c r="O85" s="5">
        <v>710.04</v>
      </c>
      <c r="P85" s="6">
        <v>0</v>
      </c>
    </row>
    <row r="86" spans="1:16" ht="23.4" x14ac:dyDescent="0.45">
      <c r="A86" s="4" t="s">
        <v>90</v>
      </c>
      <c r="B86" s="5" t="s">
        <v>1</v>
      </c>
      <c r="C86" s="5">
        <v>160067.04999999999</v>
      </c>
      <c r="D86" s="5">
        <v>54</v>
      </c>
      <c r="E86" s="5">
        <v>0</v>
      </c>
      <c r="F86" s="5">
        <v>0.80640000000000001</v>
      </c>
      <c r="G86" s="5">
        <v>0.46850000000000003</v>
      </c>
      <c r="H86" s="5">
        <v>3</v>
      </c>
      <c r="I86" s="5">
        <v>61508.56</v>
      </c>
      <c r="J86" s="5">
        <v>46865.54</v>
      </c>
      <c r="K86" s="5">
        <v>157</v>
      </c>
      <c r="L86" s="5">
        <v>1</v>
      </c>
      <c r="M86" s="5">
        <v>2</v>
      </c>
      <c r="N86" s="5">
        <v>2</v>
      </c>
      <c r="O86" s="5">
        <v>810.34</v>
      </c>
      <c r="P86" s="6">
        <v>0</v>
      </c>
    </row>
    <row r="87" spans="1:16" ht="23.4" x14ac:dyDescent="0.45">
      <c r="A87" s="4" t="s">
        <v>91</v>
      </c>
      <c r="B87" s="5" t="s">
        <v>15</v>
      </c>
      <c r="C87" s="5">
        <v>111176.31</v>
      </c>
      <c r="D87" s="5">
        <v>54</v>
      </c>
      <c r="E87" s="5">
        <v>1</v>
      </c>
      <c r="F87" s="5">
        <v>0.60850000000000004</v>
      </c>
      <c r="G87" s="5">
        <v>0.74029999999999996</v>
      </c>
      <c r="H87" s="5">
        <v>11</v>
      </c>
      <c r="I87" s="5">
        <v>92867.63</v>
      </c>
      <c r="J87" s="5">
        <v>64589.9</v>
      </c>
      <c r="K87" s="5">
        <v>33</v>
      </c>
      <c r="L87" s="5">
        <v>2</v>
      </c>
      <c r="M87" s="5">
        <v>3</v>
      </c>
      <c r="N87" s="5">
        <v>0</v>
      </c>
      <c r="O87" s="5">
        <v>612</v>
      </c>
      <c r="P87" s="6">
        <v>1</v>
      </c>
    </row>
    <row r="88" spans="1:16" ht="23.4" x14ac:dyDescent="0.45">
      <c r="A88" s="4" t="s">
        <v>92</v>
      </c>
      <c r="B88" s="5" t="s">
        <v>9</v>
      </c>
      <c r="C88" s="5">
        <v>77106.58</v>
      </c>
      <c r="D88" s="5">
        <v>38</v>
      </c>
      <c r="E88" s="5">
        <v>0</v>
      </c>
      <c r="F88" s="5">
        <v>0.65359999999999996</v>
      </c>
      <c r="G88" s="5">
        <v>0.16439999999999999</v>
      </c>
      <c r="H88" s="5">
        <v>0</v>
      </c>
      <c r="I88" s="5">
        <v>9218.2000000000007</v>
      </c>
      <c r="J88" s="5">
        <v>0</v>
      </c>
      <c r="K88" s="5">
        <v>158</v>
      </c>
      <c r="L88" s="5">
        <v>2</v>
      </c>
      <c r="M88" s="5">
        <v>1</v>
      </c>
      <c r="N88" s="5">
        <v>1</v>
      </c>
      <c r="O88" s="5">
        <v>791.07</v>
      </c>
      <c r="P88" s="6">
        <v>0</v>
      </c>
    </row>
    <row r="89" spans="1:16" ht="23.4" x14ac:dyDescent="0.45">
      <c r="A89" s="4" t="s">
        <v>93</v>
      </c>
      <c r="B89" s="5" t="s">
        <v>1</v>
      </c>
      <c r="C89" s="5">
        <v>130852.86</v>
      </c>
      <c r="D89" s="5">
        <v>62</v>
      </c>
      <c r="E89" s="5">
        <v>1</v>
      </c>
      <c r="F89" s="5">
        <v>0.8821</v>
      </c>
      <c r="G89" s="5">
        <v>0.18</v>
      </c>
      <c r="H89" s="5">
        <v>3</v>
      </c>
      <c r="I89" s="5">
        <v>11657.85</v>
      </c>
      <c r="J89" s="5">
        <v>15083.62</v>
      </c>
      <c r="K89" s="5">
        <v>122</v>
      </c>
      <c r="L89" s="5">
        <v>2</v>
      </c>
      <c r="M89" s="5">
        <v>2</v>
      </c>
      <c r="N89" s="5">
        <v>0</v>
      </c>
      <c r="O89" s="5">
        <v>701.35</v>
      </c>
      <c r="P89" s="6">
        <v>0</v>
      </c>
    </row>
    <row r="90" spans="1:16" ht="23.4" x14ac:dyDescent="0.45">
      <c r="A90" s="4" t="s">
        <v>94</v>
      </c>
      <c r="B90" s="5" t="s">
        <v>4</v>
      </c>
      <c r="C90" s="5">
        <v>86574.53</v>
      </c>
      <c r="D90" s="5">
        <v>64</v>
      </c>
      <c r="E90" s="5">
        <v>1</v>
      </c>
      <c r="F90" s="5">
        <v>1</v>
      </c>
      <c r="G90" s="5">
        <v>0.48249999999999998</v>
      </c>
      <c r="H90" s="5">
        <v>3</v>
      </c>
      <c r="I90" s="5">
        <v>45033.91</v>
      </c>
      <c r="J90" s="5">
        <v>32944.76</v>
      </c>
      <c r="K90" s="5">
        <v>30</v>
      </c>
      <c r="L90" s="5">
        <v>2</v>
      </c>
      <c r="M90" s="5">
        <v>1</v>
      </c>
      <c r="N90" s="5">
        <v>0</v>
      </c>
      <c r="O90" s="5">
        <v>850</v>
      </c>
      <c r="P90" s="6">
        <v>0</v>
      </c>
    </row>
    <row r="91" spans="1:16" ht="23.4" x14ac:dyDescent="0.45">
      <c r="A91" s="4" t="s">
        <v>95</v>
      </c>
      <c r="B91" s="5" t="s">
        <v>6</v>
      </c>
      <c r="C91" s="5">
        <v>131486.63</v>
      </c>
      <c r="D91" s="5">
        <v>63</v>
      </c>
      <c r="E91" s="5">
        <v>1</v>
      </c>
      <c r="F91" s="5">
        <v>0.83440000000000003</v>
      </c>
      <c r="G91" s="5">
        <v>0.56220000000000003</v>
      </c>
      <c r="H91" s="5">
        <v>2</v>
      </c>
      <c r="I91" s="5">
        <v>52392.78</v>
      </c>
      <c r="J91" s="5">
        <v>47082.28</v>
      </c>
      <c r="K91" s="5">
        <v>79</v>
      </c>
      <c r="L91" s="5">
        <v>2</v>
      </c>
      <c r="M91" s="5">
        <v>1</v>
      </c>
      <c r="N91" s="5">
        <v>1</v>
      </c>
      <c r="O91" s="5">
        <v>634.47</v>
      </c>
      <c r="P91" s="6">
        <v>0</v>
      </c>
    </row>
    <row r="92" spans="1:16" ht="23.4" x14ac:dyDescent="0.45">
      <c r="A92" s="4" t="s">
        <v>96</v>
      </c>
      <c r="B92" s="5" t="s">
        <v>9</v>
      </c>
      <c r="C92" s="5">
        <v>72265.42</v>
      </c>
      <c r="D92" s="5">
        <v>27</v>
      </c>
      <c r="E92" s="5">
        <v>1</v>
      </c>
      <c r="F92" s="5">
        <v>0.58130000000000004</v>
      </c>
      <c r="G92" s="5">
        <v>0.21249999999999999</v>
      </c>
      <c r="H92" s="5">
        <v>4</v>
      </c>
      <c r="I92" s="5">
        <v>24454.1</v>
      </c>
      <c r="J92" s="5">
        <v>19739.03</v>
      </c>
      <c r="K92" s="5">
        <v>63</v>
      </c>
      <c r="L92" s="5">
        <v>3</v>
      </c>
      <c r="M92" s="5">
        <v>2</v>
      </c>
      <c r="N92" s="5">
        <v>3</v>
      </c>
      <c r="O92" s="5">
        <v>737.24</v>
      </c>
      <c r="P92" s="6">
        <v>0</v>
      </c>
    </row>
    <row r="93" spans="1:16" ht="23.4" x14ac:dyDescent="0.45">
      <c r="A93" s="4" t="s">
        <v>97</v>
      </c>
      <c r="B93" s="5" t="s">
        <v>18</v>
      </c>
      <c r="C93" s="5">
        <v>33592.76</v>
      </c>
      <c r="D93" s="5">
        <v>22</v>
      </c>
      <c r="E93" s="5">
        <v>0</v>
      </c>
      <c r="F93" s="5">
        <v>0.47310000000000002</v>
      </c>
      <c r="G93" s="5">
        <v>0.16839999999999999</v>
      </c>
      <c r="H93" s="5">
        <v>1</v>
      </c>
      <c r="I93" s="5">
        <v>2247.92</v>
      </c>
      <c r="J93" s="5">
        <v>0</v>
      </c>
      <c r="K93" s="5">
        <v>92</v>
      </c>
      <c r="L93" s="5">
        <v>2</v>
      </c>
      <c r="M93" s="5">
        <v>1</v>
      </c>
      <c r="N93" s="5">
        <v>0</v>
      </c>
      <c r="O93" s="5">
        <v>793.94</v>
      </c>
      <c r="P93" s="6">
        <v>0</v>
      </c>
    </row>
    <row r="94" spans="1:16" ht="23.4" x14ac:dyDescent="0.45">
      <c r="A94" s="4" t="s">
        <v>98</v>
      </c>
      <c r="B94" s="5" t="s">
        <v>15</v>
      </c>
      <c r="C94" s="5">
        <v>157007.04000000001</v>
      </c>
      <c r="D94" s="5">
        <v>22</v>
      </c>
      <c r="E94" s="5">
        <v>0</v>
      </c>
      <c r="F94" s="5">
        <v>0.83919999999999995</v>
      </c>
      <c r="G94" s="5">
        <v>0.65769999999999995</v>
      </c>
      <c r="H94" s="5">
        <v>5</v>
      </c>
      <c r="I94" s="5">
        <v>91518.29</v>
      </c>
      <c r="J94" s="5">
        <v>73500.929999999993</v>
      </c>
      <c r="K94" s="5">
        <v>46</v>
      </c>
      <c r="L94" s="5">
        <v>2</v>
      </c>
      <c r="M94" s="5">
        <v>2</v>
      </c>
      <c r="N94" s="5">
        <v>1</v>
      </c>
      <c r="O94" s="5">
        <v>675.05</v>
      </c>
      <c r="P94" s="6">
        <v>1</v>
      </c>
    </row>
    <row r="95" spans="1:16" ht="23.4" x14ac:dyDescent="0.45">
      <c r="A95" s="4" t="s">
        <v>99</v>
      </c>
      <c r="B95" s="5" t="s">
        <v>1</v>
      </c>
      <c r="C95" s="5">
        <v>82186.5</v>
      </c>
      <c r="D95" s="5">
        <v>31</v>
      </c>
      <c r="E95" s="5">
        <v>0</v>
      </c>
      <c r="F95" s="5">
        <v>0.70179999999999998</v>
      </c>
      <c r="G95" s="5">
        <v>0.32019999999999998</v>
      </c>
      <c r="H95" s="5">
        <v>4</v>
      </c>
      <c r="I95" s="5">
        <v>34272.31</v>
      </c>
      <c r="J95" s="5">
        <v>13617.53</v>
      </c>
      <c r="K95" s="5">
        <v>112</v>
      </c>
      <c r="L95" s="5">
        <v>1</v>
      </c>
      <c r="M95" s="5">
        <v>2</v>
      </c>
      <c r="N95" s="5">
        <v>0</v>
      </c>
      <c r="O95" s="5">
        <v>746.29</v>
      </c>
      <c r="P95" s="6">
        <v>0</v>
      </c>
    </row>
    <row r="96" spans="1:16" ht="23.4" x14ac:dyDescent="0.45">
      <c r="A96" s="4" t="s">
        <v>100</v>
      </c>
      <c r="B96" s="5" t="s">
        <v>1</v>
      </c>
      <c r="C96" s="5">
        <v>75941.69</v>
      </c>
      <c r="D96" s="5">
        <v>52</v>
      </c>
      <c r="E96" s="5">
        <v>0</v>
      </c>
      <c r="F96" s="5">
        <v>0.99470000000000003</v>
      </c>
      <c r="G96" s="5">
        <v>0.18840000000000001</v>
      </c>
      <c r="H96" s="5">
        <v>1</v>
      </c>
      <c r="I96" s="5">
        <v>22276.91</v>
      </c>
      <c r="J96" s="5">
        <v>40464.75</v>
      </c>
      <c r="K96" s="5">
        <v>20</v>
      </c>
      <c r="L96" s="5">
        <v>1</v>
      </c>
      <c r="M96" s="5">
        <v>1</v>
      </c>
      <c r="N96" s="5">
        <v>0</v>
      </c>
      <c r="O96" s="5">
        <v>784.29</v>
      </c>
      <c r="P96" s="6">
        <v>0</v>
      </c>
    </row>
    <row r="97" spans="1:16" ht="23.4" x14ac:dyDescent="0.45">
      <c r="A97" s="4" t="s">
        <v>101</v>
      </c>
      <c r="B97" s="5" t="s">
        <v>6</v>
      </c>
      <c r="C97" s="5">
        <v>116249.16</v>
      </c>
      <c r="D97" s="5">
        <v>21</v>
      </c>
      <c r="E97" s="5">
        <v>0</v>
      </c>
      <c r="F97" s="5">
        <v>0.48780000000000001</v>
      </c>
      <c r="G97" s="5">
        <v>0.40439999999999998</v>
      </c>
      <c r="H97" s="5">
        <v>4</v>
      </c>
      <c r="I97" s="5">
        <v>60427.14</v>
      </c>
      <c r="J97" s="5">
        <v>37235.71</v>
      </c>
      <c r="K97" s="5">
        <v>177</v>
      </c>
      <c r="L97" s="5">
        <v>3</v>
      </c>
      <c r="M97" s="5">
        <v>1</v>
      </c>
      <c r="N97" s="5">
        <v>2</v>
      </c>
      <c r="O97" s="5">
        <v>752.33</v>
      </c>
      <c r="P97" s="6">
        <v>1</v>
      </c>
    </row>
    <row r="98" spans="1:16" ht="23.4" x14ac:dyDescent="0.45">
      <c r="A98" s="4" t="s">
        <v>102</v>
      </c>
      <c r="B98" s="5" t="s">
        <v>1</v>
      </c>
      <c r="C98" s="5">
        <v>190729.7</v>
      </c>
      <c r="D98" s="5">
        <v>41</v>
      </c>
      <c r="E98" s="5">
        <v>1</v>
      </c>
      <c r="F98" s="5">
        <v>0.753</v>
      </c>
      <c r="G98" s="5">
        <v>0.11</v>
      </c>
      <c r="H98" s="5">
        <v>0</v>
      </c>
      <c r="I98" s="5">
        <v>17044.080000000002</v>
      </c>
      <c r="J98" s="5">
        <v>3899.3</v>
      </c>
      <c r="K98" s="5">
        <v>35</v>
      </c>
      <c r="L98" s="5">
        <v>2</v>
      </c>
      <c r="M98" s="5">
        <v>3</v>
      </c>
      <c r="N98" s="5">
        <v>0</v>
      </c>
      <c r="O98" s="5">
        <v>794.6</v>
      </c>
      <c r="P98" s="6">
        <v>0</v>
      </c>
    </row>
    <row r="99" spans="1:16" ht="23.4" x14ac:dyDescent="0.45">
      <c r="A99" s="4" t="s">
        <v>103</v>
      </c>
      <c r="B99" s="5" t="s">
        <v>1</v>
      </c>
      <c r="C99" s="5">
        <v>73850.14</v>
      </c>
      <c r="D99" s="5">
        <v>44</v>
      </c>
      <c r="E99" s="5">
        <v>1</v>
      </c>
      <c r="F99" s="5">
        <v>1</v>
      </c>
      <c r="G99" s="5">
        <v>0.65359999999999996</v>
      </c>
      <c r="H99" s="5">
        <v>4</v>
      </c>
      <c r="I99" s="5">
        <v>68252.850000000006</v>
      </c>
      <c r="J99" s="5">
        <v>46662.82</v>
      </c>
      <c r="K99" s="5">
        <v>85</v>
      </c>
      <c r="L99" s="5">
        <v>2</v>
      </c>
      <c r="M99" s="5">
        <v>1</v>
      </c>
      <c r="N99" s="5">
        <v>1</v>
      </c>
      <c r="O99" s="5">
        <v>708.68</v>
      </c>
      <c r="P99" s="6">
        <v>0</v>
      </c>
    </row>
    <row r="100" spans="1:16" ht="23.4" x14ac:dyDescent="0.45">
      <c r="A100" s="4" t="s">
        <v>104</v>
      </c>
      <c r="B100" s="5" t="s">
        <v>6</v>
      </c>
      <c r="C100" s="5">
        <v>52938.97</v>
      </c>
      <c r="D100" s="5">
        <v>33</v>
      </c>
      <c r="E100" s="5">
        <v>0</v>
      </c>
      <c r="F100" s="5">
        <v>0.51729999999999998</v>
      </c>
      <c r="G100" s="5">
        <v>0.59250000000000003</v>
      </c>
      <c r="H100" s="5">
        <v>2</v>
      </c>
      <c r="I100" s="5">
        <v>27436.13</v>
      </c>
      <c r="J100" s="5">
        <v>2010.69</v>
      </c>
      <c r="K100" s="5">
        <v>43</v>
      </c>
      <c r="L100" s="5">
        <v>1</v>
      </c>
      <c r="M100" s="5">
        <v>1</v>
      </c>
      <c r="N100" s="5">
        <v>0</v>
      </c>
      <c r="O100" s="5">
        <v>583.55999999999995</v>
      </c>
      <c r="P100" s="6">
        <v>0</v>
      </c>
    </row>
    <row r="101" spans="1:16" ht="23.4" x14ac:dyDescent="0.45">
      <c r="A101" s="4" t="s">
        <v>105</v>
      </c>
      <c r="B101" s="5" t="s">
        <v>4</v>
      </c>
      <c r="C101" s="5">
        <v>44377.23</v>
      </c>
      <c r="D101" s="5">
        <v>32</v>
      </c>
      <c r="E101" s="5">
        <v>1</v>
      </c>
      <c r="F101" s="5">
        <v>0.96819999999999995</v>
      </c>
      <c r="G101" s="5">
        <v>0.29409999999999997</v>
      </c>
      <c r="H101" s="5">
        <v>0</v>
      </c>
      <c r="I101" s="5">
        <v>17389.09</v>
      </c>
      <c r="J101" s="5">
        <v>3071.1</v>
      </c>
      <c r="K101" s="5">
        <v>150</v>
      </c>
      <c r="L101" s="5">
        <v>2</v>
      </c>
      <c r="M101" s="5">
        <v>3</v>
      </c>
      <c r="N101" s="5">
        <v>0</v>
      </c>
      <c r="O101" s="5">
        <v>699.22</v>
      </c>
      <c r="P101" s="6">
        <v>0</v>
      </c>
    </row>
    <row r="102" spans="1:16" ht="23.4" x14ac:dyDescent="0.45">
      <c r="A102" s="4" t="s">
        <v>106</v>
      </c>
      <c r="B102" s="5" t="s">
        <v>18</v>
      </c>
      <c r="C102" s="5">
        <v>70444.039999999994</v>
      </c>
      <c r="D102" s="5">
        <v>51</v>
      </c>
      <c r="E102" s="5">
        <v>0</v>
      </c>
      <c r="F102" s="5">
        <v>0.89700000000000002</v>
      </c>
      <c r="G102" s="5">
        <v>0.20150000000000001</v>
      </c>
      <c r="H102" s="5">
        <v>2</v>
      </c>
      <c r="I102" s="5">
        <v>13407.2</v>
      </c>
      <c r="J102" s="5">
        <v>12860.87</v>
      </c>
      <c r="K102" s="5">
        <v>135</v>
      </c>
      <c r="L102" s="5">
        <v>1</v>
      </c>
      <c r="M102" s="5">
        <v>1</v>
      </c>
      <c r="N102" s="5">
        <v>0</v>
      </c>
      <c r="O102" s="5">
        <v>708.01</v>
      </c>
      <c r="P102" s="6">
        <v>0</v>
      </c>
    </row>
    <row r="103" spans="1:16" ht="23.4" x14ac:dyDescent="0.45">
      <c r="A103" s="4" t="s">
        <v>107</v>
      </c>
      <c r="B103" s="5" t="s">
        <v>6</v>
      </c>
      <c r="C103" s="5">
        <v>117186.24000000001</v>
      </c>
      <c r="D103" s="5">
        <v>26</v>
      </c>
      <c r="E103" s="5">
        <v>1</v>
      </c>
      <c r="F103" s="5">
        <v>0.52159999999999995</v>
      </c>
      <c r="G103" s="5">
        <v>0.20330000000000001</v>
      </c>
      <c r="H103" s="5">
        <v>0</v>
      </c>
      <c r="I103" s="5">
        <v>28255.86</v>
      </c>
      <c r="J103" s="5">
        <v>21617.040000000001</v>
      </c>
      <c r="K103" s="5">
        <v>121</v>
      </c>
      <c r="L103" s="5">
        <v>3</v>
      </c>
      <c r="M103" s="5">
        <v>2</v>
      </c>
      <c r="N103" s="5">
        <v>0</v>
      </c>
      <c r="O103" s="5">
        <v>573.08000000000004</v>
      </c>
      <c r="P103" s="6">
        <v>0</v>
      </c>
    </row>
    <row r="104" spans="1:16" ht="23.4" x14ac:dyDescent="0.45">
      <c r="A104" s="4" t="s">
        <v>108</v>
      </c>
      <c r="B104" s="5" t="s">
        <v>9</v>
      </c>
      <c r="C104" s="5">
        <v>2000</v>
      </c>
      <c r="D104" s="5">
        <v>49</v>
      </c>
      <c r="E104" s="5">
        <v>1</v>
      </c>
      <c r="F104" s="5">
        <v>0.69569999999999999</v>
      </c>
      <c r="G104" s="5">
        <v>0.82620000000000005</v>
      </c>
      <c r="H104" s="5">
        <v>7</v>
      </c>
      <c r="I104" s="5">
        <v>500</v>
      </c>
      <c r="J104" s="5">
        <v>10882.32</v>
      </c>
      <c r="K104" s="5">
        <v>135</v>
      </c>
      <c r="L104" s="5">
        <v>2</v>
      </c>
      <c r="M104" s="5">
        <v>1</v>
      </c>
      <c r="N104" s="5">
        <v>1</v>
      </c>
      <c r="O104" s="5">
        <v>740.39</v>
      </c>
      <c r="P104" s="6">
        <v>0</v>
      </c>
    </row>
    <row r="105" spans="1:16" ht="23.4" x14ac:dyDescent="0.45">
      <c r="A105" s="4" t="s">
        <v>109</v>
      </c>
      <c r="B105" s="5" t="s">
        <v>1</v>
      </c>
      <c r="C105" s="5">
        <v>86895.91</v>
      </c>
      <c r="D105" s="5">
        <v>44</v>
      </c>
      <c r="E105" s="5">
        <v>1</v>
      </c>
      <c r="F105" s="5">
        <v>0.58620000000000005</v>
      </c>
      <c r="G105" s="5">
        <v>0.54610000000000003</v>
      </c>
      <c r="H105" s="5">
        <v>2</v>
      </c>
      <c r="I105" s="5">
        <v>54847.47</v>
      </c>
      <c r="J105" s="5">
        <v>23270.22</v>
      </c>
      <c r="K105" s="5">
        <v>171</v>
      </c>
      <c r="L105" s="5">
        <v>1</v>
      </c>
      <c r="M105" s="5">
        <v>1</v>
      </c>
      <c r="N105" s="5">
        <v>1</v>
      </c>
      <c r="O105" s="5">
        <v>615.57000000000005</v>
      </c>
      <c r="P105" s="6">
        <v>0</v>
      </c>
    </row>
    <row r="106" spans="1:16" ht="23.4" x14ac:dyDescent="0.45">
      <c r="A106" s="4" t="s">
        <v>110</v>
      </c>
      <c r="B106" s="5" t="s">
        <v>15</v>
      </c>
      <c r="C106" s="5">
        <v>88897.81</v>
      </c>
      <c r="D106" s="5">
        <v>59</v>
      </c>
      <c r="E106" s="5">
        <v>1</v>
      </c>
      <c r="F106" s="5">
        <v>1</v>
      </c>
      <c r="G106" s="5">
        <v>0.5575</v>
      </c>
      <c r="H106" s="5">
        <v>2</v>
      </c>
      <c r="I106" s="5">
        <v>42368.52</v>
      </c>
      <c r="J106" s="5">
        <v>31700.14</v>
      </c>
      <c r="K106" s="5">
        <v>95</v>
      </c>
      <c r="L106" s="5">
        <v>1</v>
      </c>
      <c r="M106" s="5">
        <v>2</v>
      </c>
      <c r="N106" s="5">
        <v>1</v>
      </c>
      <c r="O106" s="5">
        <v>790.37</v>
      </c>
      <c r="P106" s="6">
        <v>0</v>
      </c>
    </row>
    <row r="107" spans="1:16" ht="23.4" x14ac:dyDescent="0.45">
      <c r="A107" s="4" t="s">
        <v>111</v>
      </c>
      <c r="B107" s="5" t="s">
        <v>15</v>
      </c>
      <c r="C107" s="5">
        <v>141211.26</v>
      </c>
      <c r="D107" s="5">
        <v>56</v>
      </c>
      <c r="E107" s="5">
        <v>1</v>
      </c>
      <c r="F107" s="5">
        <v>0.44690000000000002</v>
      </c>
      <c r="G107" s="5">
        <v>0.70979999999999999</v>
      </c>
      <c r="H107" s="5">
        <v>5</v>
      </c>
      <c r="I107" s="5">
        <v>79627.899999999994</v>
      </c>
      <c r="J107" s="5">
        <v>52324.56</v>
      </c>
      <c r="K107" s="5">
        <v>140</v>
      </c>
      <c r="L107" s="5">
        <v>1</v>
      </c>
      <c r="M107" s="5">
        <v>2</v>
      </c>
      <c r="N107" s="5">
        <v>1</v>
      </c>
      <c r="O107" s="5">
        <v>560.38</v>
      </c>
      <c r="P107" s="6">
        <v>1</v>
      </c>
    </row>
    <row r="108" spans="1:16" ht="23.4" x14ac:dyDescent="0.45">
      <c r="A108" s="4" t="s">
        <v>112</v>
      </c>
      <c r="B108" s="5" t="s">
        <v>1</v>
      </c>
      <c r="C108" s="5">
        <v>50025.33</v>
      </c>
      <c r="D108" s="5">
        <v>42</v>
      </c>
      <c r="E108" s="5">
        <v>0</v>
      </c>
      <c r="F108" s="5">
        <v>1</v>
      </c>
      <c r="G108" s="5">
        <v>0.67310000000000003</v>
      </c>
      <c r="H108" s="5">
        <v>3</v>
      </c>
      <c r="I108" s="5">
        <v>34869.74</v>
      </c>
      <c r="J108" s="5">
        <v>32201.02</v>
      </c>
      <c r="K108" s="5">
        <v>25</v>
      </c>
      <c r="L108" s="5">
        <v>1</v>
      </c>
      <c r="M108" s="5">
        <v>2</v>
      </c>
      <c r="N108" s="5">
        <v>1</v>
      </c>
      <c r="O108" s="5">
        <v>620.91</v>
      </c>
      <c r="P108" s="6">
        <v>0</v>
      </c>
    </row>
    <row r="109" spans="1:16" ht="23.4" x14ac:dyDescent="0.45">
      <c r="A109" s="4" t="s">
        <v>113</v>
      </c>
      <c r="B109" s="5" t="s">
        <v>18</v>
      </c>
      <c r="C109" s="5">
        <v>71769.539999999994</v>
      </c>
      <c r="D109" s="5">
        <v>63</v>
      </c>
      <c r="E109" s="5">
        <v>1</v>
      </c>
      <c r="F109" s="5">
        <v>0.5232</v>
      </c>
      <c r="G109" s="5">
        <v>0.76449999999999996</v>
      </c>
      <c r="H109" s="5">
        <v>6</v>
      </c>
      <c r="I109" s="5">
        <v>65565.399999999994</v>
      </c>
      <c r="J109" s="5">
        <v>47853.62</v>
      </c>
      <c r="K109" s="5">
        <v>165</v>
      </c>
      <c r="L109" s="5">
        <v>3</v>
      </c>
      <c r="M109" s="5">
        <v>1</v>
      </c>
      <c r="N109" s="5">
        <v>0</v>
      </c>
      <c r="O109" s="5">
        <v>748.05</v>
      </c>
      <c r="P109" s="6">
        <v>0</v>
      </c>
    </row>
    <row r="110" spans="1:16" ht="23.4" x14ac:dyDescent="0.45">
      <c r="A110" s="4" t="s">
        <v>114</v>
      </c>
      <c r="B110" s="5" t="s">
        <v>6</v>
      </c>
      <c r="C110" s="5">
        <v>75207.7</v>
      </c>
      <c r="D110" s="5">
        <v>49</v>
      </c>
      <c r="E110" s="5">
        <v>1</v>
      </c>
      <c r="F110" s="5">
        <v>0.56820000000000004</v>
      </c>
      <c r="G110" s="5">
        <v>7.9100000000000004E-2</v>
      </c>
      <c r="H110" s="5">
        <v>0</v>
      </c>
      <c r="I110" s="5">
        <v>8260.64</v>
      </c>
      <c r="J110" s="5">
        <v>0</v>
      </c>
      <c r="K110" s="5">
        <v>67</v>
      </c>
      <c r="L110" s="5">
        <v>1</v>
      </c>
      <c r="M110" s="5">
        <v>2</v>
      </c>
      <c r="N110" s="5">
        <v>1</v>
      </c>
      <c r="O110" s="5">
        <v>741.14</v>
      </c>
      <c r="P110" s="6">
        <v>0</v>
      </c>
    </row>
    <row r="111" spans="1:16" ht="23.4" x14ac:dyDescent="0.45">
      <c r="A111" s="4" t="s">
        <v>115</v>
      </c>
      <c r="B111" s="5" t="s">
        <v>4</v>
      </c>
      <c r="C111" s="5">
        <v>52919.88</v>
      </c>
      <c r="D111" s="5">
        <v>49</v>
      </c>
      <c r="E111" s="5">
        <v>1</v>
      </c>
      <c r="F111" s="5">
        <v>0.54200000000000004</v>
      </c>
      <c r="G111" s="5">
        <v>0.44850000000000001</v>
      </c>
      <c r="H111" s="5">
        <v>1</v>
      </c>
      <c r="I111" s="5">
        <v>36149.08</v>
      </c>
      <c r="J111" s="5">
        <v>36707.72</v>
      </c>
      <c r="K111" s="5">
        <v>160</v>
      </c>
      <c r="L111" s="5">
        <v>1</v>
      </c>
      <c r="M111" s="5">
        <v>1</v>
      </c>
      <c r="N111" s="5">
        <v>1</v>
      </c>
      <c r="O111" s="5">
        <v>655.9</v>
      </c>
      <c r="P111" s="6">
        <v>0</v>
      </c>
    </row>
    <row r="112" spans="1:16" ht="23.4" x14ac:dyDescent="0.45">
      <c r="A112" s="4" t="s">
        <v>116</v>
      </c>
      <c r="B112" s="5" t="s">
        <v>15</v>
      </c>
      <c r="C112" s="5">
        <v>70279.89</v>
      </c>
      <c r="D112" s="5">
        <v>54</v>
      </c>
      <c r="E112" s="5">
        <v>1</v>
      </c>
      <c r="F112" s="5">
        <v>0.66869999999999996</v>
      </c>
      <c r="G112" s="5">
        <v>0.52159999999999995</v>
      </c>
      <c r="H112" s="5">
        <v>2</v>
      </c>
      <c r="I112" s="5">
        <v>37643.040000000001</v>
      </c>
      <c r="J112" s="5">
        <v>18762.72</v>
      </c>
      <c r="K112" s="5">
        <v>137</v>
      </c>
      <c r="L112" s="5">
        <v>1</v>
      </c>
      <c r="M112" s="5">
        <v>1</v>
      </c>
      <c r="N112" s="5">
        <v>2</v>
      </c>
      <c r="O112" s="5">
        <v>700.01</v>
      </c>
      <c r="P112" s="6">
        <v>0</v>
      </c>
    </row>
    <row r="113" spans="1:16" ht="23.4" x14ac:dyDescent="0.45">
      <c r="A113" s="4" t="s">
        <v>117</v>
      </c>
      <c r="B113" s="5" t="s">
        <v>1</v>
      </c>
      <c r="C113" s="5">
        <v>138531.74</v>
      </c>
      <c r="D113" s="5">
        <v>22</v>
      </c>
      <c r="E113" s="5">
        <v>1</v>
      </c>
      <c r="F113" s="5">
        <v>0.52710000000000001</v>
      </c>
      <c r="G113" s="5">
        <v>0.52800000000000002</v>
      </c>
      <c r="H113" s="5">
        <v>2</v>
      </c>
      <c r="I113" s="5">
        <v>83695.48</v>
      </c>
      <c r="J113" s="5">
        <v>56095.15</v>
      </c>
      <c r="K113" s="5">
        <v>87</v>
      </c>
      <c r="L113" s="5">
        <v>3</v>
      </c>
      <c r="M113" s="5">
        <v>2</v>
      </c>
      <c r="N113" s="5">
        <v>1</v>
      </c>
      <c r="O113" s="5">
        <v>692</v>
      </c>
      <c r="P113" s="6">
        <v>0</v>
      </c>
    </row>
    <row r="114" spans="1:16" ht="23.4" x14ac:dyDescent="0.45">
      <c r="A114" s="4" t="s">
        <v>118</v>
      </c>
      <c r="B114" s="5" t="s">
        <v>4</v>
      </c>
      <c r="C114" s="5">
        <v>114014.81</v>
      </c>
      <c r="D114" s="5">
        <v>51</v>
      </c>
      <c r="E114" s="5">
        <v>1</v>
      </c>
      <c r="F114" s="5">
        <v>0.82509999999999994</v>
      </c>
      <c r="G114" s="5">
        <v>0.35460000000000003</v>
      </c>
      <c r="H114" s="5">
        <v>1</v>
      </c>
      <c r="I114" s="5">
        <v>35913.29</v>
      </c>
      <c r="J114" s="5">
        <v>17827.810000000001</v>
      </c>
      <c r="K114" s="5">
        <v>7</v>
      </c>
      <c r="L114" s="5">
        <v>3</v>
      </c>
      <c r="M114" s="5">
        <v>1</v>
      </c>
      <c r="N114" s="5">
        <v>0</v>
      </c>
      <c r="O114" s="5">
        <v>804.71</v>
      </c>
      <c r="P114" s="6">
        <v>0</v>
      </c>
    </row>
    <row r="115" spans="1:16" ht="23.4" x14ac:dyDescent="0.45">
      <c r="A115" s="4" t="s">
        <v>119</v>
      </c>
      <c r="B115" s="5" t="s">
        <v>18</v>
      </c>
      <c r="C115" s="5">
        <v>176225.82</v>
      </c>
      <c r="D115" s="5">
        <v>48</v>
      </c>
      <c r="E115" s="5">
        <v>1</v>
      </c>
      <c r="F115" s="5">
        <v>0.82630000000000003</v>
      </c>
      <c r="G115" s="5">
        <v>0.53259999999999996</v>
      </c>
      <c r="H115" s="5">
        <v>3</v>
      </c>
      <c r="I115" s="5">
        <v>98301.77</v>
      </c>
      <c r="J115" s="5">
        <v>59357.53</v>
      </c>
      <c r="K115" s="5">
        <v>123</v>
      </c>
      <c r="L115" s="5">
        <v>1</v>
      </c>
      <c r="M115" s="5">
        <v>2</v>
      </c>
      <c r="N115" s="5">
        <v>1</v>
      </c>
      <c r="O115" s="5">
        <v>758.02</v>
      </c>
      <c r="P115" s="6">
        <v>0</v>
      </c>
    </row>
    <row r="116" spans="1:16" ht="23.4" x14ac:dyDescent="0.45">
      <c r="A116" s="4" t="s">
        <v>120</v>
      </c>
      <c r="B116" s="5" t="s">
        <v>1</v>
      </c>
      <c r="C116" s="5">
        <v>50229.59</v>
      </c>
      <c r="D116" s="5">
        <v>66</v>
      </c>
      <c r="E116" s="5">
        <v>1</v>
      </c>
      <c r="F116" s="5">
        <v>0.5071</v>
      </c>
      <c r="G116" s="5">
        <v>0.56410000000000005</v>
      </c>
      <c r="H116" s="5">
        <v>5</v>
      </c>
      <c r="I116" s="5">
        <v>19980.419999999998</v>
      </c>
      <c r="J116" s="5">
        <v>8125.33</v>
      </c>
      <c r="K116" s="5">
        <v>112</v>
      </c>
      <c r="L116" s="5">
        <v>1</v>
      </c>
      <c r="M116" s="5">
        <v>2</v>
      </c>
      <c r="N116" s="5">
        <v>1</v>
      </c>
      <c r="O116" s="5">
        <v>570.57000000000005</v>
      </c>
      <c r="P116" s="6">
        <v>0</v>
      </c>
    </row>
    <row r="117" spans="1:16" ht="23.4" x14ac:dyDescent="0.45">
      <c r="A117" s="4" t="s">
        <v>121</v>
      </c>
      <c r="B117" s="5" t="s">
        <v>15</v>
      </c>
      <c r="C117" s="5">
        <v>175593.75</v>
      </c>
      <c r="D117" s="5">
        <v>53</v>
      </c>
      <c r="E117" s="5">
        <v>1</v>
      </c>
      <c r="F117" s="5">
        <v>0.51239999999999997</v>
      </c>
      <c r="G117" s="5">
        <v>0.317</v>
      </c>
      <c r="H117" s="5">
        <v>0</v>
      </c>
      <c r="I117" s="5">
        <v>59636.98</v>
      </c>
      <c r="J117" s="5">
        <v>42154.14</v>
      </c>
      <c r="K117" s="5">
        <v>10</v>
      </c>
      <c r="L117" s="5">
        <v>2</v>
      </c>
      <c r="M117" s="5">
        <v>1</v>
      </c>
      <c r="N117" s="5">
        <v>0</v>
      </c>
      <c r="O117" s="5">
        <v>680.67</v>
      </c>
      <c r="P117" s="6">
        <v>0</v>
      </c>
    </row>
    <row r="118" spans="1:16" ht="23.4" x14ac:dyDescent="0.45">
      <c r="A118" s="4" t="s">
        <v>122</v>
      </c>
      <c r="B118" s="5" t="s">
        <v>6</v>
      </c>
      <c r="C118" s="5">
        <v>137262.03</v>
      </c>
      <c r="D118" s="5">
        <v>69</v>
      </c>
      <c r="E118" s="5">
        <v>1</v>
      </c>
      <c r="F118" s="5">
        <v>0.86009999999999998</v>
      </c>
      <c r="G118" s="5">
        <v>0.36270000000000002</v>
      </c>
      <c r="H118" s="5">
        <v>3</v>
      </c>
      <c r="I118" s="5">
        <v>23434.09</v>
      </c>
      <c r="J118" s="5">
        <v>13256.14</v>
      </c>
      <c r="K118" s="5">
        <v>50</v>
      </c>
      <c r="L118" s="5">
        <v>3</v>
      </c>
      <c r="M118" s="5">
        <v>2</v>
      </c>
      <c r="N118" s="5">
        <v>3</v>
      </c>
      <c r="O118" s="5">
        <v>686.48</v>
      </c>
      <c r="P118" s="6">
        <v>0</v>
      </c>
    </row>
    <row r="119" spans="1:16" ht="23.4" x14ac:dyDescent="0.45">
      <c r="A119" s="4" t="s">
        <v>123</v>
      </c>
      <c r="B119" s="5" t="s">
        <v>15</v>
      </c>
      <c r="C119" s="5">
        <v>93839.26</v>
      </c>
      <c r="D119" s="5">
        <v>66</v>
      </c>
      <c r="E119" s="5">
        <v>0</v>
      </c>
      <c r="F119" s="5">
        <v>0.73619999999999997</v>
      </c>
      <c r="G119" s="5">
        <v>0.12720000000000001</v>
      </c>
      <c r="H119" s="5">
        <v>1</v>
      </c>
      <c r="I119" s="5">
        <v>16257.31</v>
      </c>
      <c r="J119" s="5">
        <v>12021.44</v>
      </c>
      <c r="K119" s="5">
        <v>85</v>
      </c>
      <c r="L119" s="5">
        <v>2</v>
      </c>
      <c r="M119" s="5">
        <v>3</v>
      </c>
      <c r="N119" s="5">
        <v>1</v>
      </c>
      <c r="O119" s="5">
        <v>744.85</v>
      </c>
      <c r="P119" s="6">
        <v>0</v>
      </c>
    </row>
    <row r="120" spans="1:16" ht="23.4" x14ac:dyDescent="0.45">
      <c r="A120" s="4" t="s">
        <v>124</v>
      </c>
      <c r="B120" s="5" t="s">
        <v>18</v>
      </c>
      <c r="C120" s="5">
        <v>90605.97</v>
      </c>
      <c r="D120" s="5">
        <v>43</v>
      </c>
      <c r="E120" s="5">
        <v>1</v>
      </c>
      <c r="F120" s="5">
        <v>0.56979999999999997</v>
      </c>
      <c r="G120" s="5">
        <v>0.45069999999999999</v>
      </c>
      <c r="H120" s="5">
        <v>2</v>
      </c>
      <c r="I120" s="5">
        <v>34144.480000000003</v>
      </c>
      <c r="J120" s="5">
        <v>16137.07</v>
      </c>
      <c r="K120" s="5">
        <v>100</v>
      </c>
      <c r="L120" s="5">
        <v>2</v>
      </c>
      <c r="M120" s="5">
        <v>1</v>
      </c>
      <c r="N120" s="5">
        <v>0</v>
      </c>
      <c r="O120" s="5">
        <v>734.89</v>
      </c>
      <c r="P120" s="6">
        <v>0</v>
      </c>
    </row>
    <row r="121" spans="1:16" ht="23.4" x14ac:dyDescent="0.45">
      <c r="A121" s="4" t="s">
        <v>125</v>
      </c>
      <c r="B121" s="5" t="s">
        <v>1</v>
      </c>
      <c r="C121" s="5">
        <v>78941.070000000007</v>
      </c>
      <c r="D121" s="5">
        <v>65</v>
      </c>
      <c r="E121" s="5">
        <v>0</v>
      </c>
      <c r="F121" s="5">
        <v>0.24560000000000001</v>
      </c>
      <c r="G121" s="5">
        <v>0.4088</v>
      </c>
      <c r="H121" s="5">
        <v>0</v>
      </c>
      <c r="I121" s="5">
        <v>29016.91</v>
      </c>
      <c r="J121" s="5">
        <v>13992.36</v>
      </c>
      <c r="K121" s="5">
        <v>160</v>
      </c>
      <c r="L121" s="5">
        <v>4</v>
      </c>
      <c r="M121" s="5">
        <v>1</v>
      </c>
      <c r="N121" s="5">
        <v>0</v>
      </c>
      <c r="O121" s="5">
        <v>622.69000000000005</v>
      </c>
      <c r="P121" s="6">
        <v>0</v>
      </c>
    </row>
    <row r="122" spans="1:16" ht="23.4" x14ac:dyDescent="0.45">
      <c r="A122" s="4" t="s">
        <v>126</v>
      </c>
      <c r="B122" s="5" t="s">
        <v>4</v>
      </c>
      <c r="C122" s="5">
        <v>72283.08</v>
      </c>
      <c r="D122" s="5">
        <v>49</v>
      </c>
      <c r="E122" s="5">
        <v>1</v>
      </c>
      <c r="F122" s="5">
        <v>0.8478</v>
      </c>
      <c r="G122" s="5">
        <v>0.18940000000000001</v>
      </c>
      <c r="H122" s="5">
        <v>0</v>
      </c>
      <c r="I122" s="5">
        <v>8533.73</v>
      </c>
      <c r="J122" s="5">
        <v>0</v>
      </c>
      <c r="K122" s="5">
        <v>16</v>
      </c>
      <c r="L122" s="5">
        <v>2</v>
      </c>
      <c r="M122" s="5">
        <v>3</v>
      </c>
      <c r="N122" s="5">
        <v>1</v>
      </c>
      <c r="O122" s="5">
        <v>657.94</v>
      </c>
      <c r="P122" s="6">
        <v>0</v>
      </c>
    </row>
    <row r="123" spans="1:16" ht="23.4" x14ac:dyDescent="0.45">
      <c r="A123" s="4" t="s">
        <v>127</v>
      </c>
      <c r="B123" s="5" t="s">
        <v>4</v>
      </c>
      <c r="C123" s="5">
        <v>115550.11</v>
      </c>
      <c r="D123" s="5">
        <v>24</v>
      </c>
      <c r="E123" s="5">
        <v>1</v>
      </c>
      <c r="F123" s="5">
        <v>0.95379999999999998</v>
      </c>
      <c r="G123" s="5">
        <v>0.56179999999999997</v>
      </c>
      <c r="H123" s="5">
        <v>1</v>
      </c>
      <c r="I123" s="5">
        <v>85322.22</v>
      </c>
      <c r="J123" s="5">
        <v>58198.93</v>
      </c>
      <c r="K123" s="5">
        <v>42</v>
      </c>
      <c r="L123" s="5">
        <v>3</v>
      </c>
      <c r="M123" s="5">
        <v>2</v>
      </c>
      <c r="N123" s="5">
        <v>0</v>
      </c>
      <c r="O123" s="5">
        <v>585.6</v>
      </c>
      <c r="P123" s="6">
        <v>0</v>
      </c>
    </row>
    <row r="124" spans="1:16" ht="23.4" x14ac:dyDescent="0.45">
      <c r="A124" s="4" t="s">
        <v>128</v>
      </c>
      <c r="B124" s="5" t="s">
        <v>9</v>
      </c>
      <c r="C124" s="5">
        <v>95692.7</v>
      </c>
      <c r="D124" s="5">
        <v>44</v>
      </c>
      <c r="E124" s="5">
        <v>1</v>
      </c>
      <c r="F124" s="5">
        <v>0.98680000000000001</v>
      </c>
      <c r="G124" s="5">
        <v>0.16020000000000001</v>
      </c>
      <c r="H124" s="5">
        <v>3</v>
      </c>
      <c r="I124" s="5">
        <v>500</v>
      </c>
      <c r="J124" s="5">
        <v>0</v>
      </c>
      <c r="K124" s="5">
        <v>100</v>
      </c>
      <c r="L124" s="5">
        <v>2</v>
      </c>
      <c r="M124" s="5">
        <v>2</v>
      </c>
      <c r="N124" s="5">
        <v>1</v>
      </c>
      <c r="O124" s="5">
        <v>696.18</v>
      </c>
      <c r="P124" s="6">
        <v>0</v>
      </c>
    </row>
    <row r="125" spans="1:16" ht="23.4" x14ac:dyDescent="0.45">
      <c r="A125" s="4" t="s">
        <v>129</v>
      </c>
      <c r="B125" s="5" t="s">
        <v>1</v>
      </c>
      <c r="C125" s="5">
        <v>81655.570000000007</v>
      </c>
      <c r="D125" s="5">
        <v>36</v>
      </c>
      <c r="E125" s="5">
        <v>1</v>
      </c>
      <c r="F125" s="5">
        <v>0.74439999999999995</v>
      </c>
      <c r="G125" s="5">
        <v>0.38590000000000002</v>
      </c>
      <c r="H125" s="5">
        <v>3</v>
      </c>
      <c r="I125" s="5">
        <v>48186.45</v>
      </c>
      <c r="J125" s="5">
        <v>37051.279999999999</v>
      </c>
      <c r="K125" s="5">
        <v>72</v>
      </c>
      <c r="L125" s="5">
        <v>2</v>
      </c>
      <c r="M125" s="5">
        <v>1</v>
      </c>
      <c r="N125" s="5">
        <v>1</v>
      </c>
      <c r="O125" s="5">
        <v>692.93</v>
      </c>
      <c r="P125" s="6">
        <v>0</v>
      </c>
    </row>
    <row r="126" spans="1:16" ht="23.4" x14ac:dyDescent="0.45">
      <c r="A126" s="4" t="s">
        <v>130</v>
      </c>
      <c r="B126" s="5" t="s">
        <v>1</v>
      </c>
      <c r="C126" s="5">
        <v>120076.02</v>
      </c>
      <c r="D126" s="5">
        <v>29</v>
      </c>
      <c r="E126" s="5">
        <v>1</v>
      </c>
      <c r="F126" s="5">
        <v>0.69879999999999998</v>
      </c>
      <c r="G126" s="5">
        <v>0.56510000000000005</v>
      </c>
      <c r="H126" s="5">
        <v>2</v>
      </c>
      <c r="I126" s="5">
        <v>80945.36</v>
      </c>
      <c r="J126" s="5">
        <v>49843.83</v>
      </c>
      <c r="K126" s="5">
        <v>28</v>
      </c>
      <c r="L126" s="5">
        <v>3</v>
      </c>
      <c r="M126" s="5">
        <v>3</v>
      </c>
      <c r="N126" s="5">
        <v>3</v>
      </c>
      <c r="O126" s="5">
        <v>642.08000000000004</v>
      </c>
      <c r="P126" s="6">
        <v>0</v>
      </c>
    </row>
    <row r="127" spans="1:16" ht="23.4" x14ac:dyDescent="0.45">
      <c r="A127" s="4" t="s">
        <v>131</v>
      </c>
      <c r="B127" s="5" t="s">
        <v>15</v>
      </c>
      <c r="C127" s="5">
        <v>28460.92</v>
      </c>
      <c r="D127" s="5">
        <v>39</v>
      </c>
      <c r="E127" s="5">
        <v>1</v>
      </c>
      <c r="F127" s="5">
        <v>1</v>
      </c>
      <c r="G127" s="5">
        <v>9.1999999999999998E-2</v>
      </c>
      <c r="H127" s="5">
        <v>0</v>
      </c>
      <c r="I127" s="5">
        <v>500</v>
      </c>
      <c r="J127" s="5">
        <v>0</v>
      </c>
      <c r="K127" s="5">
        <v>136</v>
      </c>
      <c r="L127" s="5">
        <v>1</v>
      </c>
      <c r="M127" s="5">
        <v>3</v>
      </c>
      <c r="N127" s="5">
        <v>1</v>
      </c>
      <c r="O127" s="5">
        <v>681.49</v>
      </c>
      <c r="P127" s="6">
        <v>0</v>
      </c>
    </row>
    <row r="128" spans="1:16" ht="23.4" x14ac:dyDescent="0.45">
      <c r="A128" s="4" t="s">
        <v>132</v>
      </c>
      <c r="B128" s="5" t="s">
        <v>4</v>
      </c>
      <c r="C128" s="5">
        <v>47449.05</v>
      </c>
      <c r="D128" s="5">
        <v>57</v>
      </c>
      <c r="E128" s="5">
        <v>0</v>
      </c>
      <c r="F128" s="5">
        <v>0.70709999999999995</v>
      </c>
      <c r="G128" s="5">
        <v>9.35E-2</v>
      </c>
      <c r="H128" s="5">
        <v>4</v>
      </c>
      <c r="I128" s="5">
        <v>500</v>
      </c>
      <c r="J128" s="5">
        <v>0</v>
      </c>
      <c r="K128" s="5">
        <v>28</v>
      </c>
      <c r="L128" s="5">
        <v>1</v>
      </c>
      <c r="M128" s="5">
        <v>1</v>
      </c>
      <c r="N128" s="5">
        <v>1</v>
      </c>
      <c r="O128" s="5">
        <v>666.22</v>
      </c>
      <c r="P128" s="6">
        <v>0</v>
      </c>
    </row>
    <row r="129" spans="1:16" ht="23.4" x14ac:dyDescent="0.45">
      <c r="A129" s="4" t="s">
        <v>133</v>
      </c>
      <c r="B129" s="5" t="s">
        <v>9</v>
      </c>
      <c r="C129" s="5">
        <v>96186.09</v>
      </c>
      <c r="D129" s="5">
        <v>57</v>
      </c>
      <c r="E129" s="5">
        <v>1</v>
      </c>
      <c r="F129" s="5">
        <v>1</v>
      </c>
      <c r="G129" s="5">
        <v>0.69940000000000002</v>
      </c>
      <c r="H129" s="5">
        <v>3</v>
      </c>
      <c r="I129" s="5">
        <v>54482.35</v>
      </c>
      <c r="J129" s="5">
        <v>40459.74</v>
      </c>
      <c r="K129" s="5">
        <v>147</v>
      </c>
      <c r="L129" s="5">
        <v>2</v>
      </c>
      <c r="M129" s="5">
        <v>1</v>
      </c>
      <c r="N129" s="5">
        <v>3</v>
      </c>
      <c r="O129" s="5">
        <v>664.13</v>
      </c>
      <c r="P129" s="6">
        <v>0</v>
      </c>
    </row>
    <row r="130" spans="1:16" ht="23.4" x14ac:dyDescent="0.45">
      <c r="A130" s="4" t="s">
        <v>134</v>
      </c>
      <c r="B130" s="5" t="s">
        <v>4</v>
      </c>
      <c r="C130" s="5">
        <v>102865.64</v>
      </c>
      <c r="D130" s="5">
        <v>28</v>
      </c>
      <c r="E130" s="5">
        <v>0</v>
      </c>
      <c r="F130" s="5">
        <v>0.66410000000000002</v>
      </c>
      <c r="G130" s="5">
        <v>0.1885</v>
      </c>
      <c r="H130" s="5">
        <v>1</v>
      </c>
      <c r="I130" s="5">
        <v>37799.79</v>
      </c>
      <c r="J130" s="5">
        <v>41064.559999999998</v>
      </c>
      <c r="K130" s="5">
        <v>63</v>
      </c>
      <c r="L130" s="5">
        <v>1</v>
      </c>
      <c r="M130" s="5">
        <v>3</v>
      </c>
      <c r="N130" s="5">
        <v>2</v>
      </c>
      <c r="O130" s="5">
        <v>740.45</v>
      </c>
      <c r="P130" s="6">
        <v>0</v>
      </c>
    </row>
    <row r="131" spans="1:16" ht="23.4" x14ac:dyDescent="0.45">
      <c r="A131" s="4" t="s">
        <v>135</v>
      </c>
      <c r="B131" s="5" t="s">
        <v>6</v>
      </c>
      <c r="C131" s="5">
        <v>61842.26</v>
      </c>
      <c r="D131" s="5">
        <v>56</v>
      </c>
      <c r="E131" s="5">
        <v>1</v>
      </c>
      <c r="F131" s="5">
        <v>0.65710000000000002</v>
      </c>
      <c r="G131" s="5">
        <v>0.746</v>
      </c>
      <c r="H131" s="5">
        <v>4</v>
      </c>
      <c r="I131" s="5">
        <v>41760.85</v>
      </c>
      <c r="J131" s="5">
        <v>20906.240000000002</v>
      </c>
      <c r="K131" s="5">
        <v>154</v>
      </c>
      <c r="L131" s="5">
        <v>1</v>
      </c>
      <c r="M131" s="5">
        <v>2</v>
      </c>
      <c r="N131" s="5">
        <v>1</v>
      </c>
      <c r="O131" s="5">
        <v>606.97</v>
      </c>
      <c r="P131" s="6">
        <v>0</v>
      </c>
    </row>
    <row r="132" spans="1:16" ht="23.4" x14ac:dyDescent="0.45">
      <c r="A132" s="4" t="s">
        <v>136</v>
      </c>
      <c r="B132" s="5" t="s">
        <v>4</v>
      </c>
      <c r="C132" s="5">
        <v>121825.99</v>
      </c>
      <c r="D132" s="5">
        <v>22</v>
      </c>
      <c r="E132" s="5">
        <v>0</v>
      </c>
      <c r="F132" s="5">
        <v>0.48480000000000001</v>
      </c>
      <c r="G132" s="5">
        <v>0.93140000000000001</v>
      </c>
      <c r="H132" s="5">
        <v>8</v>
      </c>
      <c r="I132" s="5">
        <v>115018.28</v>
      </c>
      <c r="J132" s="5">
        <v>62091.24</v>
      </c>
      <c r="K132" s="5">
        <v>59</v>
      </c>
      <c r="L132" s="5">
        <v>3</v>
      </c>
      <c r="M132" s="5">
        <v>1</v>
      </c>
      <c r="N132" s="5">
        <v>1</v>
      </c>
      <c r="O132" s="5">
        <v>549.38</v>
      </c>
      <c r="P132" s="6">
        <v>1</v>
      </c>
    </row>
    <row r="133" spans="1:16" ht="23.4" x14ac:dyDescent="0.45">
      <c r="A133" s="4" t="s">
        <v>137</v>
      </c>
      <c r="B133" s="5" t="s">
        <v>9</v>
      </c>
      <c r="C133" s="5">
        <v>90779.21</v>
      </c>
      <c r="D133" s="5">
        <v>40</v>
      </c>
      <c r="E133" s="5">
        <v>0</v>
      </c>
      <c r="F133" s="5">
        <v>0.34060000000000001</v>
      </c>
      <c r="G133" s="5">
        <v>0.44829999999999998</v>
      </c>
      <c r="H133" s="5">
        <v>2</v>
      </c>
      <c r="I133" s="5">
        <v>29131.65</v>
      </c>
      <c r="J133" s="5">
        <v>18143.43</v>
      </c>
      <c r="K133" s="5">
        <v>118</v>
      </c>
      <c r="L133" s="5">
        <v>2</v>
      </c>
      <c r="M133" s="5">
        <v>1</v>
      </c>
      <c r="N133" s="5">
        <v>0</v>
      </c>
      <c r="O133" s="5">
        <v>664.34</v>
      </c>
      <c r="P133" s="6">
        <v>0</v>
      </c>
    </row>
    <row r="134" spans="1:16" ht="23.4" x14ac:dyDescent="0.45">
      <c r="A134" s="4" t="s">
        <v>138</v>
      </c>
      <c r="B134" s="5" t="s">
        <v>18</v>
      </c>
      <c r="C134" s="5">
        <v>115441.66</v>
      </c>
      <c r="D134" s="5">
        <v>43</v>
      </c>
      <c r="E134" s="5">
        <v>0</v>
      </c>
      <c r="F134" s="5">
        <v>0.56589999999999996</v>
      </c>
      <c r="G134" s="5">
        <v>0.53080000000000005</v>
      </c>
      <c r="H134" s="5">
        <v>3</v>
      </c>
      <c r="I134" s="5">
        <v>48038.16</v>
      </c>
      <c r="J134" s="5">
        <v>37554.81</v>
      </c>
      <c r="K134" s="5">
        <v>87</v>
      </c>
      <c r="L134" s="5">
        <v>1</v>
      </c>
      <c r="M134" s="5">
        <v>1</v>
      </c>
      <c r="N134" s="5">
        <v>0</v>
      </c>
      <c r="O134" s="5">
        <v>687.69</v>
      </c>
      <c r="P134" s="6">
        <v>0</v>
      </c>
    </row>
    <row r="135" spans="1:16" ht="23.4" x14ac:dyDescent="0.45">
      <c r="A135" s="4" t="s">
        <v>139</v>
      </c>
      <c r="B135" s="5" t="s">
        <v>1</v>
      </c>
      <c r="C135" s="5">
        <v>101225.08</v>
      </c>
      <c r="D135" s="5">
        <v>60</v>
      </c>
      <c r="E135" s="5">
        <v>1</v>
      </c>
      <c r="F135" s="5">
        <v>0.2535</v>
      </c>
      <c r="G135" s="5">
        <v>0.71540000000000004</v>
      </c>
      <c r="H135" s="5">
        <v>7</v>
      </c>
      <c r="I135" s="5">
        <v>56586.44</v>
      </c>
      <c r="J135" s="5">
        <v>40064.97</v>
      </c>
      <c r="K135" s="5">
        <v>54</v>
      </c>
      <c r="L135" s="5">
        <v>3</v>
      </c>
      <c r="M135" s="5">
        <v>1</v>
      </c>
      <c r="N135" s="5">
        <v>1</v>
      </c>
      <c r="O135" s="5">
        <v>584.41</v>
      </c>
      <c r="P135" s="6">
        <v>0</v>
      </c>
    </row>
    <row r="136" spans="1:16" ht="23.4" x14ac:dyDescent="0.45">
      <c r="A136" s="4" t="s">
        <v>140</v>
      </c>
      <c r="B136" s="5" t="s">
        <v>1</v>
      </c>
      <c r="C136" s="5">
        <v>86495.8</v>
      </c>
      <c r="D136" s="5">
        <v>46</v>
      </c>
      <c r="E136" s="5">
        <v>1</v>
      </c>
      <c r="F136" s="5">
        <v>0.74039999999999995</v>
      </c>
      <c r="G136" s="5">
        <v>0</v>
      </c>
      <c r="H136" s="5">
        <v>0</v>
      </c>
      <c r="I136" s="5">
        <v>3040.53</v>
      </c>
      <c r="J136" s="5">
        <v>9402.4500000000007</v>
      </c>
      <c r="K136" s="5">
        <v>18</v>
      </c>
      <c r="L136" s="5">
        <v>1</v>
      </c>
      <c r="M136" s="5">
        <v>2</v>
      </c>
      <c r="N136" s="5">
        <v>2</v>
      </c>
      <c r="O136" s="5">
        <v>715.82</v>
      </c>
      <c r="P136" s="6">
        <v>1</v>
      </c>
    </row>
    <row r="137" spans="1:16" ht="23.4" x14ac:dyDescent="0.45">
      <c r="A137" s="4" t="s">
        <v>141</v>
      </c>
      <c r="B137" s="5" t="s">
        <v>1</v>
      </c>
      <c r="C137" s="5">
        <v>57371.3</v>
      </c>
      <c r="D137" s="5">
        <v>27</v>
      </c>
      <c r="E137" s="5">
        <v>0</v>
      </c>
      <c r="F137" s="5">
        <v>0.32450000000000001</v>
      </c>
      <c r="G137" s="5">
        <v>0.61750000000000005</v>
      </c>
      <c r="H137" s="5">
        <v>3</v>
      </c>
      <c r="I137" s="5">
        <v>10197.469999999999</v>
      </c>
      <c r="J137" s="5">
        <v>14.47</v>
      </c>
      <c r="K137" s="5">
        <v>151</v>
      </c>
      <c r="L137" s="5">
        <v>2</v>
      </c>
      <c r="M137" s="5">
        <v>1</v>
      </c>
      <c r="N137" s="5">
        <v>0</v>
      </c>
      <c r="O137" s="5">
        <v>684.84</v>
      </c>
      <c r="P137" s="6">
        <v>0</v>
      </c>
    </row>
    <row r="138" spans="1:16" ht="23.4" x14ac:dyDescent="0.45">
      <c r="A138" s="4" t="s">
        <v>142</v>
      </c>
      <c r="B138" s="5" t="s">
        <v>15</v>
      </c>
      <c r="C138" s="5">
        <v>35887.199999999997</v>
      </c>
      <c r="D138" s="5">
        <v>60</v>
      </c>
      <c r="E138" s="5">
        <v>0</v>
      </c>
      <c r="F138" s="5">
        <v>0.77759999999999996</v>
      </c>
      <c r="G138" s="5">
        <v>0.34670000000000001</v>
      </c>
      <c r="H138" s="5">
        <v>1</v>
      </c>
      <c r="I138" s="5">
        <v>27270.97</v>
      </c>
      <c r="J138" s="5">
        <v>18141.97</v>
      </c>
      <c r="K138" s="5">
        <v>92</v>
      </c>
      <c r="L138" s="5">
        <v>2</v>
      </c>
      <c r="M138" s="5">
        <v>1</v>
      </c>
      <c r="N138" s="5">
        <v>0</v>
      </c>
      <c r="O138" s="5">
        <v>666.95</v>
      </c>
      <c r="P138" s="6">
        <v>0</v>
      </c>
    </row>
    <row r="139" spans="1:16" ht="23.4" x14ac:dyDescent="0.45">
      <c r="A139" s="4" t="s">
        <v>143</v>
      </c>
      <c r="B139" s="5" t="s">
        <v>9</v>
      </c>
      <c r="C139" s="5">
        <v>62636.85</v>
      </c>
      <c r="D139" s="5">
        <v>23</v>
      </c>
      <c r="E139" s="5">
        <v>0</v>
      </c>
      <c r="F139" s="5">
        <v>0.81730000000000003</v>
      </c>
      <c r="G139" s="5">
        <v>0.57069999999999999</v>
      </c>
      <c r="H139" s="5">
        <v>1</v>
      </c>
      <c r="I139" s="5">
        <v>38467.25</v>
      </c>
      <c r="J139" s="5">
        <v>20399.7</v>
      </c>
      <c r="K139" s="5">
        <v>89</v>
      </c>
      <c r="L139" s="5">
        <v>3</v>
      </c>
      <c r="M139" s="5">
        <v>1</v>
      </c>
      <c r="N139" s="5">
        <v>0</v>
      </c>
      <c r="O139" s="5">
        <v>657.7</v>
      </c>
      <c r="P139" s="6">
        <v>0</v>
      </c>
    </row>
    <row r="140" spans="1:16" ht="23.4" x14ac:dyDescent="0.45">
      <c r="A140" s="4" t="s">
        <v>144</v>
      </c>
      <c r="B140" s="5" t="s">
        <v>1</v>
      </c>
      <c r="C140" s="5">
        <v>123192.27</v>
      </c>
      <c r="D140" s="5">
        <v>53</v>
      </c>
      <c r="E140" s="5">
        <v>1</v>
      </c>
      <c r="F140" s="5">
        <v>0.47570000000000001</v>
      </c>
      <c r="G140" s="5">
        <v>0.54559999999999997</v>
      </c>
      <c r="H140" s="5">
        <v>1</v>
      </c>
      <c r="I140" s="5">
        <v>63964.42</v>
      </c>
      <c r="J140" s="5">
        <v>31229.5</v>
      </c>
      <c r="K140" s="5">
        <v>10</v>
      </c>
      <c r="L140" s="5">
        <v>2</v>
      </c>
      <c r="M140" s="5">
        <v>2</v>
      </c>
      <c r="N140" s="5">
        <v>3</v>
      </c>
      <c r="O140" s="5">
        <v>570.80999999999995</v>
      </c>
      <c r="P140" s="6">
        <v>0</v>
      </c>
    </row>
    <row r="141" spans="1:16" ht="23.4" x14ac:dyDescent="0.45">
      <c r="A141" s="4" t="s">
        <v>145</v>
      </c>
      <c r="B141" s="5" t="s">
        <v>18</v>
      </c>
      <c r="C141" s="5">
        <v>49673.5</v>
      </c>
      <c r="D141" s="5">
        <v>65</v>
      </c>
      <c r="E141" s="5">
        <v>1</v>
      </c>
      <c r="F141" s="5">
        <v>0.51449999999999996</v>
      </c>
      <c r="G141" s="5">
        <v>0.15540000000000001</v>
      </c>
      <c r="H141" s="5">
        <v>1</v>
      </c>
      <c r="I141" s="5">
        <v>29516.68</v>
      </c>
      <c r="J141" s="5">
        <v>28235.42</v>
      </c>
      <c r="K141" s="5">
        <v>64</v>
      </c>
      <c r="L141" s="5">
        <v>2</v>
      </c>
      <c r="M141" s="5">
        <v>2</v>
      </c>
      <c r="N141" s="5">
        <v>0</v>
      </c>
      <c r="O141" s="5">
        <v>685.54</v>
      </c>
      <c r="P141" s="6">
        <v>0</v>
      </c>
    </row>
    <row r="142" spans="1:16" ht="23.4" x14ac:dyDescent="0.45">
      <c r="A142" s="4" t="s">
        <v>146</v>
      </c>
      <c r="B142" s="5" t="s">
        <v>1</v>
      </c>
      <c r="C142" s="5">
        <v>26975.47</v>
      </c>
      <c r="D142" s="5">
        <v>30</v>
      </c>
      <c r="E142" s="5">
        <v>0</v>
      </c>
      <c r="F142" s="5">
        <v>0.43780000000000002</v>
      </c>
      <c r="G142" s="5">
        <v>0.48099999999999998</v>
      </c>
      <c r="H142" s="5">
        <v>2</v>
      </c>
      <c r="I142" s="5">
        <v>500</v>
      </c>
      <c r="J142" s="5">
        <v>0</v>
      </c>
      <c r="K142" s="5">
        <v>54</v>
      </c>
      <c r="L142" s="5">
        <v>1</v>
      </c>
      <c r="M142" s="5">
        <v>1</v>
      </c>
      <c r="N142" s="5">
        <v>0</v>
      </c>
      <c r="O142" s="5">
        <v>641.53</v>
      </c>
      <c r="P142" s="6">
        <v>0</v>
      </c>
    </row>
    <row r="143" spans="1:16" ht="23.4" x14ac:dyDescent="0.45">
      <c r="A143" s="4" t="s">
        <v>147</v>
      </c>
      <c r="B143" s="5" t="s">
        <v>1</v>
      </c>
      <c r="C143" s="5">
        <v>46940.09</v>
      </c>
      <c r="D143" s="5">
        <v>51</v>
      </c>
      <c r="E143" s="5">
        <v>1</v>
      </c>
      <c r="F143" s="5">
        <v>0.92759999999999998</v>
      </c>
      <c r="G143" s="5">
        <v>0.1076</v>
      </c>
      <c r="H143" s="5">
        <v>2</v>
      </c>
      <c r="I143" s="5">
        <v>8171.05</v>
      </c>
      <c r="J143" s="5">
        <v>8178.71</v>
      </c>
      <c r="K143" s="5">
        <v>175</v>
      </c>
      <c r="L143" s="5">
        <v>2</v>
      </c>
      <c r="M143" s="5">
        <v>1</v>
      </c>
      <c r="N143" s="5">
        <v>3</v>
      </c>
      <c r="O143" s="5">
        <v>804</v>
      </c>
      <c r="P143" s="6">
        <v>0</v>
      </c>
    </row>
    <row r="144" spans="1:16" ht="23.4" x14ac:dyDescent="0.45">
      <c r="A144" s="4" t="s">
        <v>148</v>
      </c>
      <c r="B144" s="5" t="s">
        <v>15</v>
      </c>
      <c r="C144" s="5">
        <v>34647.629999999997</v>
      </c>
      <c r="D144" s="5">
        <v>64</v>
      </c>
      <c r="E144" s="5">
        <v>0</v>
      </c>
      <c r="F144" s="5">
        <v>0.64800000000000002</v>
      </c>
      <c r="G144" s="5">
        <v>0.45500000000000002</v>
      </c>
      <c r="H144" s="5">
        <v>0</v>
      </c>
      <c r="I144" s="5">
        <v>1437.21</v>
      </c>
      <c r="J144" s="5">
        <v>0</v>
      </c>
      <c r="K144" s="5">
        <v>162</v>
      </c>
      <c r="L144" s="5">
        <v>2</v>
      </c>
      <c r="M144" s="5">
        <v>3</v>
      </c>
      <c r="N144" s="5">
        <v>0</v>
      </c>
      <c r="O144" s="5">
        <v>648.47</v>
      </c>
      <c r="P144" s="6">
        <v>0</v>
      </c>
    </row>
    <row r="145" spans="1:16" ht="23.4" x14ac:dyDescent="0.45">
      <c r="A145" s="4" t="s">
        <v>149</v>
      </c>
      <c r="B145" s="5" t="s">
        <v>6</v>
      </c>
      <c r="C145" s="5">
        <v>192278.95</v>
      </c>
      <c r="D145" s="5">
        <v>70</v>
      </c>
      <c r="E145" s="5">
        <v>1</v>
      </c>
      <c r="F145" s="5">
        <v>0.66690000000000005</v>
      </c>
      <c r="G145" s="5">
        <v>0.56530000000000002</v>
      </c>
      <c r="H145" s="5">
        <v>3</v>
      </c>
      <c r="I145" s="5">
        <v>96117.46</v>
      </c>
      <c r="J145" s="5">
        <v>53247.42</v>
      </c>
      <c r="K145" s="5">
        <v>76</v>
      </c>
      <c r="L145" s="5">
        <v>1</v>
      </c>
      <c r="M145" s="5">
        <v>2</v>
      </c>
      <c r="N145" s="5">
        <v>1</v>
      </c>
      <c r="O145" s="5">
        <v>798.5</v>
      </c>
      <c r="P145" s="6">
        <v>0</v>
      </c>
    </row>
    <row r="146" spans="1:16" ht="23.4" x14ac:dyDescent="0.45">
      <c r="A146" s="4" t="s">
        <v>150</v>
      </c>
      <c r="B146" s="5" t="s">
        <v>4</v>
      </c>
      <c r="C146" s="5">
        <v>57357.42</v>
      </c>
      <c r="D146" s="5">
        <v>70</v>
      </c>
      <c r="E146" s="5">
        <v>0</v>
      </c>
      <c r="F146" s="5">
        <v>0.81320000000000003</v>
      </c>
      <c r="G146" s="5">
        <v>0.46970000000000001</v>
      </c>
      <c r="H146" s="5">
        <v>1</v>
      </c>
      <c r="I146" s="5">
        <v>21379.24</v>
      </c>
      <c r="J146" s="5">
        <v>27814.38</v>
      </c>
      <c r="K146" s="5">
        <v>94</v>
      </c>
      <c r="L146" s="5">
        <v>3</v>
      </c>
      <c r="M146" s="5">
        <v>2</v>
      </c>
      <c r="N146" s="5">
        <v>1</v>
      </c>
      <c r="O146" s="5">
        <v>735.27</v>
      </c>
      <c r="P146" s="6">
        <v>0</v>
      </c>
    </row>
    <row r="147" spans="1:16" ht="23.4" x14ac:dyDescent="0.45">
      <c r="A147" s="4" t="s">
        <v>151</v>
      </c>
      <c r="B147" s="5" t="s">
        <v>18</v>
      </c>
      <c r="C147" s="5">
        <v>172274.82</v>
      </c>
      <c r="D147" s="5">
        <v>56</v>
      </c>
      <c r="E147" s="5">
        <v>0</v>
      </c>
      <c r="F147" s="5">
        <v>0.66390000000000005</v>
      </c>
      <c r="G147" s="5">
        <v>0.27179999999999999</v>
      </c>
      <c r="H147" s="5">
        <v>0</v>
      </c>
      <c r="I147" s="5">
        <v>33578.54</v>
      </c>
      <c r="J147" s="5">
        <v>22913.21</v>
      </c>
      <c r="K147" s="5">
        <v>141</v>
      </c>
      <c r="L147" s="5">
        <v>1</v>
      </c>
      <c r="M147" s="5">
        <v>1</v>
      </c>
      <c r="N147" s="5">
        <v>0</v>
      </c>
      <c r="O147" s="5">
        <v>797.15</v>
      </c>
      <c r="P147" s="6">
        <v>0</v>
      </c>
    </row>
    <row r="148" spans="1:16" ht="23.4" x14ac:dyDescent="0.45">
      <c r="A148" s="4" t="s">
        <v>152</v>
      </c>
      <c r="B148" s="5" t="s">
        <v>15</v>
      </c>
      <c r="C148" s="5">
        <v>22977.48</v>
      </c>
      <c r="D148" s="5">
        <v>29</v>
      </c>
      <c r="E148" s="5">
        <v>1</v>
      </c>
      <c r="F148" s="5">
        <v>0.75219999999999998</v>
      </c>
      <c r="G148" s="5">
        <v>0.71589999999999998</v>
      </c>
      <c r="H148" s="5">
        <v>4</v>
      </c>
      <c r="I148" s="5">
        <v>30286.05</v>
      </c>
      <c r="J148" s="5">
        <v>17703.05</v>
      </c>
      <c r="K148" s="5">
        <v>127</v>
      </c>
      <c r="L148" s="5">
        <v>2</v>
      </c>
      <c r="M148" s="5">
        <v>1</v>
      </c>
      <c r="N148" s="5">
        <v>3</v>
      </c>
      <c r="O148" s="5">
        <v>645.6</v>
      </c>
      <c r="P148" s="6">
        <v>0</v>
      </c>
    </row>
    <row r="149" spans="1:16" ht="23.4" x14ac:dyDescent="0.45">
      <c r="A149" s="4" t="s">
        <v>153</v>
      </c>
      <c r="B149" s="5" t="s">
        <v>1</v>
      </c>
      <c r="C149" s="5">
        <v>148467.38</v>
      </c>
      <c r="D149" s="5">
        <v>26</v>
      </c>
      <c r="E149" s="5">
        <v>1</v>
      </c>
      <c r="F149" s="5">
        <v>0.61619999999999997</v>
      </c>
      <c r="G149" s="5">
        <v>0.25140000000000001</v>
      </c>
      <c r="H149" s="5">
        <v>1</v>
      </c>
      <c r="I149" s="5">
        <v>8168.7</v>
      </c>
      <c r="J149" s="5">
        <v>22834.04</v>
      </c>
      <c r="K149" s="5">
        <v>112</v>
      </c>
      <c r="L149" s="5">
        <v>3</v>
      </c>
      <c r="M149" s="5">
        <v>1</v>
      </c>
      <c r="N149" s="5">
        <v>2</v>
      </c>
      <c r="O149" s="5">
        <v>735.26</v>
      </c>
      <c r="P149" s="6">
        <v>0</v>
      </c>
    </row>
    <row r="150" spans="1:16" ht="23.4" x14ac:dyDescent="0.45">
      <c r="A150" s="4" t="s">
        <v>154</v>
      </c>
      <c r="B150" s="5" t="s">
        <v>1</v>
      </c>
      <c r="C150" s="5">
        <v>48012.32</v>
      </c>
      <c r="D150" s="5">
        <v>68</v>
      </c>
      <c r="E150" s="5">
        <v>0</v>
      </c>
      <c r="F150" s="5">
        <v>0.84099999999999997</v>
      </c>
      <c r="G150" s="5">
        <v>0.95450000000000002</v>
      </c>
      <c r="H150" s="5">
        <v>4</v>
      </c>
      <c r="I150" s="5">
        <v>47289.760000000002</v>
      </c>
      <c r="J150" s="5">
        <v>34061.53</v>
      </c>
      <c r="K150" s="5">
        <v>151</v>
      </c>
      <c r="L150" s="5">
        <v>2</v>
      </c>
      <c r="M150" s="5">
        <v>3</v>
      </c>
      <c r="N150" s="5">
        <v>0</v>
      </c>
      <c r="O150" s="5">
        <v>592.16</v>
      </c>
      <c r="P150" s="6">
        <v>0</v>
      </c>
    </row>
    <row r="151" spans="1:16" ht="23.4" x14ac:dyDescent="0.45">
      <c r="A151" s="4" t="s">
        <v>155</v>
      </c>
      <c r="B151" s="5" t="s">
        <v>18</v>
      </c>
      <c r="C151" s="5">
        <v>108231.05</v>
      </c>
      <c r="D151" s="5">
        <v>29</v>
      </c>
      <c r="E151" s="5">
        <v>0</v>
      </c>
      <c r="F151" s="5">
        <v>0.83330000000000004</v>
      </c>
      <c r="G151" s="5">
        <v>0.1739</v>
      </c>
      <c r="H151" s="5">
        <v>2</v>
      </c>
      <c r="I151" s="5">
        <v>25682.99</v>
      </c>
      <c r="J151" s="5">
        <v>23466.7</v>
      </c>
      <c r="K151" s="5">
        <v>71</v>
      </c>
      <c r="L151" s="5">
        <v>2</v>
      </c>
      <c r="M151" s="5">
        <v>1</v>
      </c>
      <c r="N151" s="5">
        <v>0</v>
      </c>
      <c r="O151" s="5">
        <v>792.78</v>
      </c>
      <c r="P151" s="6">
        <v>0</v>
      </c>
    </row>
    <row r="152" spans="1:16" ht="23.4" x14ac:dyDescent="0.45">
      <c r="A152" s="4" t="s">
        <v>156</v>
      </c>
      <c r="B152" s="5" t="s">
        <v>9</v>
      </c>
      <c r="C152" s="5">
        <v>76516.17</v>
      </c>
      <c r="D152" s="5">
        <v>60</v>
      </c>
      <c r="E152" s="5">
        <v>0</v>
      </c>
      <c r="F152" s="5">
        <v>0.58350000000000002</v>
      </c>
      <c r="G152" s="5">
        <v>0.7298</v>
      </c>
      <c r="H152" s="5">
        <v>1</v>
      </c>
      <c r="I152" s="5">
        <v>64234.26</v>
      </c>
      <c r="J152" s="5">
        <v>32162.05</v>
      </c>
      <c r="K152" s="5">
        <v>28</v>
      </c>
      <c r="L152" s="5">
        <v>2</v>
      </c>
      <c r="M152" s="5">
        <v>1</v>
      </c>
      <c r="N152" s="5">
        <v>3</v>
      </c>
      <c r="O152" s="5">
        <v>522.42999999999995</v>
      </c>
      <c r="P152" s="6">
        <v>1</v>
      </c>
    </row>
    <row r="153" spans="1:16" ht="23.4" x14ac:dyDescent="0.45">
      <c r="A153" s="4" t="s">
        <v>157</v>
      </c>
      <c r="B153" s="5" t="s">
        <v>1</v>
      </c>
      <c r="C153" s="5">
        <v>104889.61</v>
      </c>
      <c r="D153" s="5">
        <v>45</v>
      </c>
      <c r="E153" s="5">
        <v>1</v>
      </c>
      <c r="F153" s="5">
        <v>0.73040000000000005</v>
      </c>
      <c r="G153" s="5">
        <v>0.81679999999999997</v>
      </c>
      <c r="H153" s="5">
        <v>6</v>
      </c>
      <c r="I153" s="5">
        <v>82052.960000000006</v>
      </c>
      <c r="J153" s="5">
        <v>56588.66</v>
      </c>
      <c r="K153" s="5">
        <v>173</v>
      </c>
      <c r="L153" s="5">
        <v>2</v>
      </c>
      <c r="M153" s="5">
        <v>1</v>
      </c>
      <c r="N153" s="5">
        <v>1</v>
      </c>
      <c r="O153" s="5">
        <v>663.34</v>
      </c>
      <c r="P153" s="6">
        <v>0</v>
      </c>
    </row>
    <row r="154" spans="1:16" ht="23.4" x14ac:dyDescent="0.45">
      <c r="A154" s="4" t="s">
        <v>158</v>
      </c>
      <c r="B154" s="5" t="s">
        <v>6</v>
      </c>
      <c r="C154" s="5">
        <v>126807.24</v>
      </c>
      <c r="D154" s="5">
        <v>66</v>
      </c>
      <c r="E154" s="5">
        <v>0</v>
      </c>
      <c r="F154" s="5">
        <v>0.95679999999999998</v>
      </c>
      <c r="G154" s="5">
        <v>0.4476</v>
      </c>
      <c r="H154" s="5">
        <v>0</v>
      </c>
      <c r="I154" s="5">
        <v>33813.300000000003</v>
      </c>
      <c r="J154" s="5">
        <v>11914.96</v>
      </c>
      <c r="K154" s="5">
        <v>100</v>
      </c>
      <c r="L154" s="5">
        <v>2</v>
      </c>
      <c r="M154" s="5">
        <v>1</v>
      </c>
      <c r="N154" s="5">
        <v>0</v>
      </c>
      <c r="O154" s="5">
        <v>785.91</v>
      </c>
      <c r="P154" s="6">
        <v>0</v>
      </c>
    </row>
    <row r="155" spans="1:16" ht="23.4" x14ac:dyDescent="0.45">
      <c r="A155" s="4" t="s">
        <v>159</v>
      </c>
      <c r="B155" s="5" t="s">
        <v>4</v>
      </c>
      <c r="C155" s="5">
        <v>151288.54999999999</v>
      </c>
      <c r="D155" s="5">
        <v>47</v>
      </c>
      <c r="E155" s="5">
        <v>1</v>
      </c>
      <c r="F155" s="5">
        <v>0.56859999999999999</v>
      </c>
      <c r="G155" s="5">
        <v>0</v>
      </c>
      <c r="H155" s="5">
        <v>1</v>
      </c>
      <c r="I155" s="5">
        <v>500</v>
      </c>
      <c r="J155" s="5">
        <v>6512.11</v>
      </c>
      <c r="K155" s="5">
        <v>180</v>
      </c>
      <c r="L155" s="5">
        <v>3</v>
      </c>
      <c r="M155" s="5">
        <v>2</v>
      </c>
      <c r="N155" s="5">
        <v>0</v>
      </c>
      <c r="O155" s="5">
        <v>627.85</v>
      </c>
      <c r="P155" s="6">
        <v>0</v>
      </c>
    </row>
    <row r="156" spans="1:16" ht="23.4" x14ac:dyDescent="0.45">
      <c r="A156" s="4" t="s">
        <v>160</v>
      </c>
      <c r="B156" s="5" t="s">
        <v>9</v>
      </c>
      <c r="C156" s="5">
        <v>84801.9</v>
      </c>
      <c r="D156" s="5">
        <v>57</v>
      </c>
      <c r="E156" s="5">
        <v>0</v>
      </c>
      <c r="F156" s="5">
        <v>0.62270000000000003</v>
      </c>
      <c r="G156" s="5">
        <v>0.75770000000000004</v>
      </c>
      <c r="H156" s="5">
        <v>7</v>
      </c>
      <c r="I156" s="5">
        <v>72516.62</v>
      </c>
      <c r="J156" s="5">
        <v>43988.87</v>
      </c>
      <c r="K156" s="5">
        <v>143</v>
      </c>
      <c r="L156" s="5">
        <v>1</v>
      </c>
      <c r="M156" s="5">
        <v>1</v>
      </c>
      <c r="N156" s="5">
        <v>1</v>
      </c>
      <c r="O156" s="5">
        <v>694.42</v>
      </c>
      <c r="P156" s="6">
        <v>0</v>
      </c>
    </row>
    <row r="157" spans="1:16" ht="23.4" x14ac:dyDescent="0.45">
      <c r="A157" s="4" t="s">
        <v>161</v>
      </c>
      <c r="B157" s="5" t="s">
        <v>6</v>
      </c>
      <c r="C157" s="5">
        <v>110357.7</v>
      </c>
      <c r="D157" s="5">
        <v>26</v>
      </c>
      <c r="E157" s="5">
        <v>0</v>
      </c>
      <c r="F157" s="5">
        <v>0.87480000000000002</v>
      </c>
      <c r="G157" s="5">
        <v>0.2389</v>
      </c>
      <c r="H157" s="5">
        <v>3</v>
      </c>
      <c r="I157" s="5">
        <v>29096.66</v>
      </c>
      <c r="J157" s="5">
        <v>12934.98</v>
      </c>
      <c r="K157" s="5">
        <v>149</v>
      </c>
      <c r="L157" s="5">
        <v>2</v>
      </c>
      <c r="M157" s="5">
        <v>2</v>
      </c>
      <c r="N157" s="5">
        <v>1</v>
      </c>
      <c r="O157" s="5">
        <v>775.04</v>
      </c>
      <c r="P157" s="6">
        <v>0</v>
      </c>
    </row>
    <row r="158" spans="1:16" ht="23.4" x14ac:dyDescent="0.45">
      <c r="A158" s="4" t="s">
        <v>162</v>
      </c>
      <c r="B158" s="5" t="s">
        <v>1</v>
      </c>
      <c r="C158" s="5">
        <v>120201.97</v>
      </c>
      <c r="D158" s="5">
        <v>58</v>
      </c>
      <c r="E158" s="5">
        <v>1</v>
      </c>
      <c r="F158" s="5">
        <v>0.39739999999999998</v>
      </c>
      <c r="G158" s="5">
        <v>0.63529999999999998</v>
      </c>
      <c r="H158" s="5">
        <v>5</v>
      </c>
      <c r="I158" s="5">
        <v>70623.789999999994</v>
      </c>
      <c r="J158" s="5">
        <v>29971.79</v>
      </c>
      <c r="K158" s="5">
        <v>21</v>
      </c>
      <c r="L158" s="5">
        <v>3</v>
      </c>
      <c r="M158" s="5">
        <v>1</v>
      </c>
      <c r="N158" s="5">
        <v>2</v>
      </c>
      <c r="O158" s="5">
        <v>707.17</v>
      </c>
      <c r="P158" s="6">
        <v>0</v>
      </c>
    </row>
    <row r="159" spans="1:16" ht="23.4" x14ac:dyDescent="0.45">
      <c r="A159" s="4" t="s">
        <v>163</v>
      </c>
      <c r="B159" s="5" t="s">
        <v>15</v>
      </c>
      <c r="C159" s="5">
        <v>99139.81</v>
      </c>
      <c r="D159" s="5">
        <v>70</v>
      </c>
      <c r="E159" s="5">
        <v>0</v>
      </c>
      <c r="F159" s="5">
        <v>0.49630000000000002</v>
      </c>
      <c r="G159" s="5">
        <v>8.6099999999999996E-2</v>
      </c>
      <c r="H159" s="5">
        <v>3</v>
      </c>
      <c r="I159" s="5">
        <v>5262.17</v>
      </c>
      <c r="J159" s="5">
        <v>9921.17</v>
      </c>
      <c r="K159" s="5">
        <v>102</v>
      </c>
      <c r="L159" s="5">
        <v>2</v>
      </c>
      <c r="M159" s="5">
        <v>2</v>
      </c>
      <c r="N159" s="5">
        <v>1</v>
      </c>
      <c r="O159" s="5">
        <v>661.36</v>
      </c>
      <c r="P159" s="6">
        <v>0</v>
      </c>
    </row>
    <row r="160" spans="1:16" ht="23.4" x14ac:dyDescent="0.45">
      <c r="A160" s="4" t="s">
        <v>164</v>
      </c>
      <c r="B160" s="5" t="s">
        <v>1</v>
      </c>
      <c r="C160" s="5">
        <v>66299.789999999994</v>
      </c>
      <c r="D160" s="5">
        <v>32</v>
      </c>
      <c r="E160" s="5">
        <v>0</v>
      </c>
      <c r="F160" s="5">
        <v>0.54800000000000004</v>
      </c>
      <c r="G160" s="5">
        <v>0.64959999999999996</v>
      </c>
      <c r="H160" s="5">
        <v>4</v>
      </c>
      <c r="I160" s="5">
        <v>72062.539999999994</v>
      </c>
      <c r="J160" s="5">
        <v>60549.440000000002</v>
      </c>
      <c r="K160" s="5">
        <v>6</v>
      </c>
      <c r="L160" s="5">
        <v>3</v>
      </c>
      <c r="M160" s="5">
        <v>3</v>
      </c>
      <c r="N160" s="5">
        <v>1</v>
      </c>
      <c r="O160" s="5">
        <v>651.63</v>
      </c>
      <c r="P160" s="6">
        <v>0</v>
      </c>
    </row>
    <row r="161" spans="1:16" ht="23.4" x14ac:dyDescent="0.45">
      <c r="A161" s="4" t="s">
        <v>165</v>
      </c>
      <c r="B161" s="5" t="s">
        <v>1</v>
      </c>
      <c r="C161" s="5">
        <v>43612.02</v>
      </c>
      <c r="D161" s="5">
        <v>35</v>
      </c>
      <c r="E161" s="5">
        <v>1</v>
      </c>
      <c r="F161" s="5">
        <v>0.70289999999999997</v>
      </c>
      <c r="G161" s="5">
        <v>0.63039999999999996</v>
      </c>
      <c r="H161" s="5">
        <v>3</v>
      </c>
      <c r="I161" s="5">
        <v>62349.94</v>
      </c>
      <c r="J161" s="5">
        <v>41858</v>
      </c>
      <c r="K161" s="5">
        <v>175</v>
      </c>
      <c r="L161" s="5">
        <v>2</v>
      </c>
      <c r="M161" s="5">
        <v>2</v>
      </c>
      <c r="N161" s="5">
        <v>2</v>
      </c>
      <c r="O161" s="5">
        <v>654.91</v>
      </c>
      <c r="P161" s="6">
        <v>1</v>
      </c>
    </row>
    <row r="162" spans="1:16" ht="23.4" x14ac:dyDescent="0.45">
      <c r="A162" s="4" t="s">
        <v>166</v>
      </c>
      <c r="B162" s="5" t="s">
        <v>4</v>
      </c>
      <c r="C162" s="5">
        <v>95654.73</v>
      </c>
      <c r="D162" s="5">
        <v>23</v>
      </c>
      <c r="E162" s="5">
        <v>0</v>
      </c>
      <c r="F162" s="5">
        <v>0.78879999999999995</v>
      </c>
      <c r="G162" s="5">
        <v>4.7600000000000003E-2</v>
      </c>
      <c r="H162" s="5">
        <v>2</v>
      </c>
      <c r="I162" s="5">
        <v>12363.57</v>
      </c>
      <c r="J162" s="5">
        <v>4534.18</v>
      </c>
      <c r="K162" s="5">
        <v>17</v>
      </c>
      <c r="L162" s="5">
        <v>2</v>
      </c>
      <c r="M162" s="5">
        <v>1</v>
      </c>
      <c r="N162" s="5">
        <v>0</v>
      </c>
      <c r="O162" s="5">
        <v>754.24</v>
      </c>
      <c r="P162" s="6">
        <v>0</v>
      </c>
    </row>
    <row r="163" spans="1:16" ht="23.4" x14ac:dyDescent="0.45">
      <c r="A163" s="4" t="s">
        <v>167</v>
      </c>
      <c r="B163" s="5" t="s">
        <v>18</v>
      </c>
      <c r="C163" s="5">
        <v>78413.03</v>
      </c>
      <c r="D163" s="5">
        <v>39</v>
      </c>
      <c r="E163" s="5">
        <v>0</v>
      </c>
      <c r="F163" s="5">
        <v>0.74429999999999996</v>
      </c>
      <c r="G163" s="5">
        <v>0.95420000000000005</v>
      </c>
      <c r="H163" s="5">
        <v>3</v>
      </c>
      <c r="I163" s="5">
        <v>65761.38</v>
      </c>
      <c r="J163" s="5">
        <v>47967.76</v>
      </c>
      <c r="K163" s="5">
        <v>66</v>
      </c>
      <c r="L163" s="5">
        <v>1</v>
      </c>
      <c r="M163" s="5">
        <v>1</v>
      </c>
      <c r="N163" s="5">
        <v>1</v>
      </c>
      <c r="O163" s="5">
        <v>553.26</v>
      </c>
      <c r="P163" s="6">
        <v>0</v>
      </c>
    </row>
    <row r="164" spans="1:16" ht="23.4" x14ac:dyDescent="0.45">
      <c r="A164" s="4" t="s">
        <v>168</v>
      </c>
      <c r="B164" s="5" t="s">
        <v>9</v>
      </c>
      <c r="C164" s="5">
        <v>85020.32</v>
      </c>
      <c r="D164" s="5">
        <v>58</v>
      </c>
      <c r="E164" s="5">
        <v>1</v>
      </c>
      <c r="F164" s="5">
        <v>0.76739999999999997</v>
      </c>
      <c r="G164" s="5">
        <v>0.80069999999999997</v>
      </c>
      <c r="H164" s="5">
        <v>1</v>
      </c>
      <c r="I164" s="5">
        <v>56950.54</v>
      </c>
      <c r="J164" s="5">
        <v>34252.660000000003</v>
      </c>
      <c r="K164" s="5">
        <v>132</v>
      </c>
      <c r="L164" s="5">
        <v>1</v>
      </c>
      <c r="M164" s="5">
        <v>1</v>
      </c>
      <c r="N164" s="5">
        <v>1</v>
      </c>
      <c r="O164" s="5">
        <v>624.34</v>
      </c>
      <c r="P164" s="6">
        <v>0</v>
      </c>
    </row>
    <row r="165" spans="1:16" ht="23.4" x14ac:dyDescent="0.45">
      <c r="A165" s="4" t="s">
        <v>169</v>
      </c>
      <c r="B165" s="5" t="s">
        <v>9</v>
      </c>
      <c r="C165" s="5">
        <v>127268.02</v>
      </c>
      <c r="D165" s="5">
        <v>47</v>
      </c>
      <c r="E165" s="5">
        <v>0</v>
      </c>
      <c r="F165" s="5">
        <v>0.81499999999999995</v>
      </c>
      <c r="G165" s="5">
        <v>0.59589999999999999</v>
      </c>
      <c r="H165" s="5">
        <v>4</v>
      </c>
      <c r="I165" s="5">
        <v>58851.59</v>
      </c>
      <c r="J165" s="5">
        <v>46681.69</v>
      </c>
      <c r="K165" s="5">
        <v>42</v>
      </c>
      <c r="L165" s="5">
        <v>3</v>
      </c>
      <c r="M165" s="5">
        <v>3</v>
      </c>
      <c r="N165" s="5">
        <v>1</v>
      </c>
      <c r="O165" s="5">
        <v>658.95</v>
      </c>
      <c r="P165" s="6">
        <v>0</v>
      </c>
    </row>
    <row r="166" spans="1:16" ht="23.4" x14ac:dyDescent="0.45">
      <c r="A166" s="4" t="s">
        <v>170</v>
      </c>
      <c r="B166" s="5" t="s">
        <v>6</v>
      </c>
      <c r="C166" s="5">
        <v>67399.81</v>
      </c>
      <c r="D166" s="5">
        <v>36</v>
      </c>
      <c r="E166" s="5">
        <v>1</v>
      </c>
      <c r="F166" s="5">
        <v>0.66220000000000001</v>
      </c>
      <c r="G166" s="5">
        <v>0.39300000000000002</v>
      </c>
      <c r="H166" s="5">
        <v>4</v>
      </c>
      <c r="I166" s="5">
        <v>40900.870000000003</v>
      </c>
      <c r="J166" s="5">
        <v>31362.21</v>
      </c>
      <c r="K166" s="5">
        <v>100</v>
      </c>
      <c r="L166" s="5">
        <v>1</v>
      </c>
      <c r="M166" s="5">
        <v>2</v>
      </c>
      <c r="N166" s="5">
        <v>0</v>
      </c>
      <c r="O166" s="5">
        <v>687.63</v>
      </c>
      <c r="P166" s="6">
        <v>0</v>
      </c>
    </row>
    <row r="167" spans="1:16" ht="23.4" x14ac:dyDescent="0.45">
      <c r="A167" s="4" t="s">
        <v>171</v>
      </c>
      <c r="B167" s="5" t="s">
        <v>1</v>
      </c>
      <c r="C167" s="5">
        <v>156892.81</v>
      </c>
      <c r="D167" s="5">
        <v>25</v>
      </c>
      <c r="E167" s="5">
        <v>0</v>
      </c>
      <c r="F167" s="5">
        <v>0.82830000000000004</v>
      </c>
      <c r="G167" s="5">
        <v>0.79190000000000005</v>
      </c>
      <c r="H167" s="5">
        <v>4</v>
      </c>
      <c r="I167" s="5">
        <v>105295.14</v>
      </c>
      <c r="J167" s="5">
        <v>60996.34</v>
      </c>
      <c r="K167" s="5">
        <v>91</v>
      </c>
      <c r="L167" s="5">
        <v>1</v>
      </c>
      <c r="M167" s="5">
        <v>3</v>
      </c>
      <c r="N167" s="5">
        <v>0</v>
      </c>
      <c r="O167" s="5">
        <v>701.68</v>
      </c>
      <c r="P167" s="6">
        <v>0</v>
      </c>
    </row>
    <row r="168" spans="1:16" ht="23.4" x14ac:dyDescent="0.45">
      <c r="A168" s="4" t="s">
        <v>172</v>
      </c>
      <c r="B168" s="5" t="s">
        <v>4</v>
      </c>
      <c r="C168" s="5">
        <v>86006.45</v>
      </c>
      <c r="D168" s="5">
        <v>69</v>
      </c>
      <c r="E168" s="5">
        <v>0</v>
      </c>
      <c r="F168" s="5">
        <v>0.36890000000000001</v>
      </c>
      <c r="G168" s="5">
        <v>0.21529999999999999</v>
      </c>
      <c r="H168" s="5">
        <v>2</v>
      </c>
      <c r="I168" s="5">
        <v>10473.39</v>
      </c>
      <c r="J168" s="5">
        <v>2434.2399999999998</v>
      </c>
      <c r="K168" s="5">
        <v>67</v>
      </c>
      <c r="L168" s="5">
        <v>2</v>
      </c>
      <c r="M168" s="5">
        <v>2</v>
      </c>
      <c r="N168" s="5">
        <v>0</v>
      </c>
      <c r="O168" s="5">
        <v>621.70000000000005</v>
      </c>
      <c r="P168" s="6">
        <v>0</v>
      </c>
    </row>
    <row r="169" spans="1:16" ht="23.4" x14ac:dyDescent="0.45">
      <c r="A169" s="4" t="s">
        <v>173</v>
      </c>
      <c r="B169" s="5" t="s">
        <v>18</v>
      </c>
      <c r="C169" s="5">
        <v>81089.600000000006</v>
      </c>
      <c r="D169" s="5">
        <v>53</v>
      </c>
      <c r="E169" s="5">
        <v>1</v>
      </c>
      <c r="F169" s="5">
        <v>0.86599999999999999</v>
      </c>
      <c r="G169" s="5">
        <v>0.21190000000000001</v>
      </c>
      <c r="H169" s="5">
        <v>3</v>
      </c>
      <c r="I169" s="5">
        <v>500</v>
      </c>
      <c r="J169" s="5">
        <v>886.34</v>
      </c>
      <c r="K169" s="5">
        <v>58</v>
      </c>
      <c r="L169" s="5">
        <v>2</v>
      </c>
      <c r="M169" s="5">
        <v>1</v>
      </c>
      <c r="N169" s="5">
        <v>1</v>
      </c>
      <c r="O169" s="5">
        <v>684.39</v>
      </c>
      <c r="P169" s="6">
        <v>0</v>
      </c>
    </row>
    <row r="170" spans="1:16" ht="23.4" x14ac:dyDescent="0.45">
      <c r="A170" s="4" t="s">
        <v>174</v>
      </c>
      <c r="B170" s="5" t="s">
        <v>9</v>
      </c>
      <c r="C170" s="5">
        <v>111279.88</v>
      </c>
      <c r="D170" s="5">
        <v>58</v>
      </c>
      <c r="E170" s="5">
        <v>1</v>
      </c>
      <c r="F170" s="5">
        <v>0.82340000000000002</v>
      </c>
      <c r="G170" s="5">
        <v>0.17150000000000001</v>
      </c>
      <c r="H170" s="5">
        <v>0</v>
      </c>
      <c r="I170" s="5">
        <v>26812.2</v>
      </c>
      <c r="J170" s="5">
        <v>25409.67</v>
      </c>
      <c r="K170" s="5">
        <v>103</v>
      </c>
      <c r="L170" s="5">
        <v>2</v>
      </c>
      <c r="M170" s="5">
        <v>1</v>
      </c>
      <c r="N170" s="5">
        <v>1</v>
      </c>
      <c r="O170" s="5">
        <v>786.14</v>
      </c>
      <c r="P170" s="6">
        <v>0</v>
      </c>
    </row>
    <row r="171" spans="1:16" ht="23.4" x14ac:dyDescent="0.45">
      <c r="A171" s="4" t="s">
        <v>175</v>
      </c>
      <c r="B171" s="5" t="s">
        <v>4</v>
      </c>
      <c r="C171" s="5">
        <v>75795.820000000007</v>
      </c>
      <c r="D171" s="5">
        <v>52</v>
      </c>
      <c r="E171" s="5">
        <v>0</v>
      </c>
      <c r="F171" s="5">
        <v>0.98019999999999996</v>
      </c>
      <c r="G171" s="5">
        <v>0.32519999999999999</v>
      </c>
      <c r="H171" s="5">
        <v>1</v>
      </c>
      <c r="I171" s="5">
        <v>25185</v>
      </c>
      <c r="J171" s="5">
        <v>21307.34</v>
      </c>
      <c r="K171" s="5">
        <v>145</v>
      </c>
      <c r="L171" s="5">
        <v>2</v>
      </c>
      <c r="M171" s="5">
        <v>3</v>
      </c>
      <c r="N171" s="5">
        <v>1</v>
      </c>
      <c r="O171" s="5">
        <v>706.52</v>
      </c>
      <c r="P171" s="6">
        <v>0</v>
      </c>
    </row>
    <row r="172" spans="1:16" ht="23.4" x14ac:dyDescent="0.45">
      <c r="A172" s="4" t="s">
        <v>176</v>
      </c>
      <c r="B172" s="5" t="s">
        <v>4</v>
      </c>
      <c r="C172" s="5">
        <v>101010.22</v>
      </c>
      <c r="D172" s="5">
        <v>25</v>
      </c>
      <c r="E172" s="5">
        <v>0</v>
      </c>
      <c r="F172" s="5">
        <v>0.71889999999999998</v>
      </c>
      <c r="G172" s="5">
        <v>0.74960000000000004</v>
      </c>
      <c r="H172" s="5">
        <v>3</v>
      </c>
      <c r="I172" s="5">
        <v>77104.36</v>
      </c>
      <c r="J172" s="5">
        <v>44798.43</v>
      </c>
      <c r="K172" s="5">
        <v>167</v>
      </c>
      <c r="L172" s="5">
        <v>1</v>
      </c>
      <c r="M172" s="5">
        <v>2</v>
      </c>
      <c r="N172" s="5">
        <v>0</v>
      </c>
      <c r="O172" s="5">
        <v>618.35</v>
      </c>
      <c r="P172" s="6">
        <v>0</v>
      </c>
    </row>
    <row r="173" spans="1:16" ht="23.4" x14ac:dyDescent="0.45">
      <c r="A173" s="4" t="s">
        <v>177</v>
      </c>
      <c r="B173" s="5" t="s">
        <v>6</v>
      </c>
      <c r="C173" s="5">
        <v>88433.58</v>
      </c>
      <c r="D173" s="5">
        <v>63</v>
      </c>
      <c r="E173" s="5">
        <v>1</v>
      </c>
      <c r="F173" s="5">
        <v>1</v>
      </c>
      <c r="G173" s="5">
        <v>0.1772</v>
      </c>
      <c r="H173" s="5">
        <v>1</v>
      </c>
      <c r="I173" s="5">
        <v>13423.94</v>
      </c>
      <c r="J173" s="5">
        <v>2671.51</v>
      </c>
      <c r="K173" s="5">
        <v>10</v>
      </c>
      <c r="L173" s="5">
        <v>2</v>
      </c>
      <c r="M173" s="5">
        <v>1</v>
      </c>
      <c r="N173" s="5">
        <v>3</v>
      </c>
      <c r="O173" s="5">
        <v>743.41</v>
      </c>
      <c r="P173" s="6">
        <v>0</v>
      </c>
    </row>
    <row r="174" spans="1:16" ht="23.4" x14ac:dyDescent="0.45">
      <c r="A174" s="4" t="s">
        <v>178</v>
      </c>
      <c r="B174" s="5" t="s">
        <v>1</v>
      </c>
      <c r="C174" s="5">
        <v>116041.53</v>
      </c>
      <c r="D174" s="5">
        <v>32</v>
      </c>
      <c r="E174" s="5">
        <v>1</v>
      </c>
      <c r="F174" s="5">
        <v>0.42380000000000001</v>
      </c>
      <c r="G174" s="5">
        <v>0.48799999999999999</v>
      </c>
      <c r="H174" s="5">
        <v>4</v>
      </c>
      <c r="I174" s="5">
        <v>62441.61</v>
      </c>
      <c r="J174" s="5">
        <v>39765.99</v>
      </c>
      <c r="K174" s="5">
        <v>140</v>
      </c>
      <c r="L174" s="5">
        <v>1</v>
      </c>
      <c r="M174" s="5">
        <v>1</v>
      </c>
      <c r="N174" s="5">
        <v>1</v>
      </c>
      <c r="O174" s="5">
        <v>795.31</v>
      </c>
      <c r="P174" s="6">
        <v>0</v>
      </c>
    </row>
    <row r="175" spans="1:16" ht="23.4" x14ac:dyDescent="0.45">
      <c r="A175" s="4" t="s">
        <v>179</v>
      </c>
      <c r="B175" s="5" t="s">
        <v>4</v>
      </c>
      <c r="C175" s="5">
        <v>144240.49</v>
      </c>
      <c r="D175" s="5">
        <v>36</v>
      </c>
      <c r="E175" s="5">
        <v>1</v>
      </c>
      <c r="F175" s="5">
        <v>0.84279999999999999</v>
      </c>
      <c r="G175" s="5">
        <v>0.38900000000000001</v>
      </c>
      <c r="H175" s="5">
        <v>1</v>
      </c>
      <c r="I175" s="5">
        <v>29468.67</v>
      </c>
      <c r="J175" s="5">
        <v>12730.68</v>
      </c>
      <c r="K175" s="5">
        <v>14</v>
      </c>
      <c r="L175" s="5">
        <v>1</v>
      </c>
      <c r="M175" s="5">
        <v>1</v>
      </c>
      <c r="N175" s="5">
        <v>1</v>
      </c>
      <c r="O175" s="5">
        <v>622.46</v>
      </c>
      <c r="P175" s="6">
        <v>0</v>
      </c>
    </row>
    <row r="176" spans="1:16" ht="23.4" x14ac:dyDescent="0.45">
      <c r="A176" s="4" t="s">
        <v>180</v>
      </c>
      <c r="B176" s="5" t="s">
        <v>18</v>
      </c>
      <c r="C176" s="5">
        <v>117544.7</v>
      </c>
      <c r="D176" s="5">
        <v>52</v>
      </c>
      <c r="E176" s="5">
        <v>1</v>
      </c>
      <c r="F176" s="5">
        <v>0.70730000000000004</v>
      </c>
      <c r="G176" s="5">
        <v>0.6028</v>
      </c>
      <c r="H176" s="5">
        <v>1</v>
      </c>
      <c r="I176" s="5">
        <v>50684.38</v>
      </c>
      <c r="J176" s="5">
        <v>53820.21</v>
      </c>
      <c r="K176" s="5">
        <v>30</v>
      </c>
      <c r="L176" s="5">
        <v>3</v>
      </c>
      <c r="M176" s="5">
        <v>3</v>
      </c>
      <c r="N176" s="5">
        <v>0</v>
      </c>
      <c r="O176" s="5">
        <v>761.6</v>
      </c>
      <c r="P176" s="6">
        <v>0</v>
      </c>
    </row>
    <row r="177" spans="1:16" ht="23.4" x14ac:dyDescent="0.45">
      <c r="A177" s="4" t="s">
        <v>181</v>
      </c>
      <c r="B177" s="5" t="s">
        <v>9</v>
      </c>
      <c r="C177" s="5">
        <v>49838.85</v>
      </c>
      <c r="D177" s="5">
        <v>38</v>
      </c>
      <c r="E177" s="5">
        <v>1</v>
      </c>
      <c r="F177" s="5">
        <v>0.77529999999999999</v>
      </c>
      <c r="G177" s="5">
        <v>0.42830000000000001</v>
      </c>
      <c r="H177" s="5">
        <v>6</v>
      </c>
      <c r="I177" s="5">
        <v>6861.44</v>
      </c>
      <c r="J177" s="5">
        <v>2965.6</v>
      </c>
      <c r="K177" s="5">
        <v>86</v>
      </c>
      <c r="L177" s="5">
        <v>1</v>
      </c>
      <c r="M177" s="5">
        <v>1</v>
      </c>
      <c r="N177" s="5">
        <v>0</v>
      </c>
      <c r="O177" s="5">
        <v>702.74</v>
      </c>
      <c r="P177" s="6">
        <v>0</v>
      </c>
    </row>
    <row r="178" spans="1:16" ht="23.4" x14ac:dyDescent="0.45">
      <c r="A178" s="4" t="s">
        <v>182</v>
      </c>
      <c r="B178" s="5" t="s">
        <v>6</v>
      </c>
      <c r="C178" s="5">
        <v>134584.22</v>
      </c>
      <c r="D178" s="5">
        <v>40</v>
      </c>
      <c r="E178" s="5">
        <v>1</v>
      </c>
      <c r="F178" s="5">
        <v>0.28499999999999998</v>
      </c>
      <c r="G178" s="5">
        <v>0.49690000000000001</v>
      </c>
      <c r="H178" s="5">
        <v>4</v>
      </c>
      <c r="I178" s="5">
        <v>74432.570000000007</v>
      </c>
      <c r="J178" s="5">
        <v>31413.37</v>
      </c>
      <c r="K178" s="5">
        <v>144</v>
      </c>
      <c r="L178" s="5">
        <v>1</v>
      </c>
      <c r="M178" s="5">
        <v>2</v>
      </c>
      <c r="N178" s="5">
        <v>0</v>
      </c>
      <c r="O178" s="5">
        <v>740.49</v>
      </c>
      <c r="P178" s="6">
        <v>0</v>
      </c>
    </row>
    <row r="179" spans="1:16" ht="23.4" x14ac:dyDescent="0.45">
      <c r="A179" s="4" t="s">
        <v>183</v>
      </c>
      <c r="B179" s="5" t="s">
        <v>4</v>
      </c>
      <c r="C179" s="5">
        <v>84775.96</v>
      </c>
      <c r="D179" s="5">
        <v>43</v>
      </c>
      <c r="E179" s="5">
        <v>0</v>
      </c>
      <c r="F179" s="5">
        <v>0.90229999999999999</v>
      </c>
      <c r="G179" s="5">
        <v>0.48870000000000002</v>
      </c>
      <c r="H179" s="5">
        <v>4</v>
      </c>
      <c r="I179" s="5">
        <v>29812.81</v>
      </c>
      <c r="J179" s="5">
        <v>25057.71</v>
      </c>
      <c r="K179" s="5">
        <v>107</v>
      </c>
      <c r="L179" s="5">
        <v>4</v>
      </c>
      <c r="M179" s="5">
        <v>1</v>
      </c>
      <c r="N179" s="5">
        <v>1</v>
      </c>
      <c r="O179" s="5">
        <v>570.9</v>
      </c>
      <c r="P179" s="6">
        <v>0</v>
      </c>
    </row>
    <row r="180" spans="1:16" ht="23.4" x14ac:dyDescent="0.45">
      <c r="A180" s="4" t="s">
        <v>184</v>
      </c>
      <c r="B180" s="5" t="s">
        <v>15</v>
      </c>
      <c r="C180" s="5">
        <v>59166.22</v>
      </c>
      <c r="D180" s="5">
        <v>56</v>
      </c>
      <c r="E180" s="5">
        <v>0</v>
      </c>
      <c r="F180" s="5">
        <v>0.74399999999999999</v>
      </c>
      <c r="G180" s="5">
        <v>0.64790000000000003</v>
      </c>
      <c r="H180" s="5">
        <v>3</v>
      </c>
      <c r="I180" s="5">
        <v>28903.75</v>
      </c>
      <c r="J180" s="5">
        <v>9530.49</v>
      </c>
      <c r="K180" s="5">
        <v>27</v>
      </c>
      <c r="L180" s="5">
        <v>3</v>
      </c>
      <c r="M180" s="5">
        <v>1</v>
      </c>
      <c r="N180" s="5">
        <v>0</v>
      </c>
      <c r="O180" s="5">
        <v>729.88</v>
      </c>
      <c r="P180" s="6">
        <v>0</v>
      </c>
    </row>
    <row r="181" spans="1:16" ht="23.4" x14ac:dyDescent="0.45">
      <c r="A181" s="4" t="s">
        <v>185</v>
      </c>
      <c r="B181" s="5" t="s">
        <v>18</v>
      </c>
      <c r="C181" s="5">
        <v>105838.57</v>
      </c>
      <c r="D181" s="5">
        <v>61</v>
      </c>
      <c r="E181" s="5">
        <v>1</v>
      </c>
      <c r="F181" s="5">
        <v>0.81240000000000001</v>
      </c>
      <c r="G181" s="5">
        <v>0.6048</v>
      </c>
      <c r="H181" s="5">
        <v>3</v>
      </c>
      <c r="I181" s="5">
        <v>69058.899999999994</v>
      </c>
      <c r="J181" s="5">
        <v>58192.71</v>
      </c>
      <c r="K181" s="5">
        <v>75</v>
      </c>
      <c r="L181" s="5">
        <v>1</v>
      </c>
      <c r="M181" s="5">
        <v>1</v>
      </c>
      <c r="N181" s="5">
        <v>0</v>
      </c>
      <c r="O181" s="5">
        <v>676.28</v>
      </c>
      <c r="P181" s="6">
        <v>0</v>
      </c>
    </row>
    <row r="182" spans="1:16" ht="23.4" x14ac:dyDescent="0.45">
      <c r="A182" s="4" t="s">
        <v>186</v>
      </c>
      <c r="B182" s="5" t="s">
        <v>15</v>
      </c>
      <c r="C182" s="5">
        <v>69050.94</v>
      </c>
      <c r="D182" s="5">
        <v>26</v>
      </c>
      <c r="E182" s="5">
        <v>0</v>
      </c>
      <c r="F182" s="5">
        <v>0.69269999999999998</v>
      </c>
      <c r="G182" s="5">
        <v>0.33289999999999997</v>
      </c>
      <c r="H182" s="5">
        <v>3</v>
      </c>
      <c r="I182" s="5">
        <v>12142.11</v>
      </c>
      <c r="J182" s="5">
        <v>4127.3500000000004</v>
      </c>
      <c r="K182" s="5">
        <v>104</v>
      </c>
      <c r="L182" s="5">
        <v>1</v>
      </c>
      <c r="M182" s="5">
        <v>1</v>
      </c>
      <c r="N182" s="5">
        <v>1</v>
      </c>
      <c r="O182" s="5">
        <v>694.4</v>
      </c>
      <c r="P182" s="6">
        <v>0</v>
      </c>
    </row>
    <row r="183" spans="1:16" ht="23.4" x14ac:dyDescent="0.45">
      <c r="A183" s="4" t="s">
        <v>187</v>
      </c>
      <c r="B183" s="5" t="s">
        <v>9</v>
      </c>
      <c r="C183" s="5">
        <v>33092.76</v>
      </c>
      <c r="D183" s="5">
        <v>36</v>
      </c>
      <c r="E183" s="5">
        <v>0</v>
      </c>
      <c r="F183" s="5">
        <v>0.59030000000000005</v>
      </c>
      <c r="G183" s="5">
        <v>0.33339999999999997</v>
      </c>
      <c r="H183" s="5">
        <v>1</v>
      </c>
      <c r="I183" s="5">
        <v>16620.3</v>
      </c>
      <c r="J183" s="5">
        <v>7627.81</v>
      </c>
      <c r="K183" s="5">
        <v>22</v>
      </c>
      <c r="L183" s="5">
        <v>1</v>
      </c>
      <c r="M183" s="5">
        <v>1</v>
      </c>
      <c r="N183" s="5">
        <v>0</v>
      </c>
      <c r="O183" s="5">
        <v>760.53</v>
      </c>
      <c r="P183" s="6">
        <v>0</v>
      </c>
    </row>
    <row r="184" spans="1:16" ht="23.4" x14ac:dyDescent="0.45">
      <c r="A184" s="4" t="s">
        <v>188</v>
      </c>
      <c r="B184" s="5" t="s">
        <v>18</v>
      </c>
      <c r="C184" s="5">
        <v>20494.89</v>
      </c>
      <c r="D184" s="5">
        <v>67</v>
      </c>
      <c r="E184" s="5">
        <v>0</v>
      </c>
      <c r="F184" s="5">
        <v>1</v>
      </c>
      <c r="G184" s="5">
        <v>0.1628</v>
      </c>
      <c r="H184" s="5">
        <v>0</v>
      </c>
      <c r="I184" s="5">
        <v>5729.54</v>
      </c>
      <c r="J184" s="5">
        <v>8168.55</v>
      </c>
      <c r="K184" s="5">
        <v>83</v>
      </c>
      <c r="L184" s="5">
        <v>1</v>
      </c>
      <c r="M184" s="5">
        <v>1</v>
      </c>
      <c r="N184" s="5">
        <v>2</v>
      </c>
      <c r="O184" s="5">
        <v>669.96</v>
      </c>
      <c r="P184" s="6">
        <v>0</v>
      </c>
    </row>
    <row r="185" spans="1:16" ht="23.4" x14ac:dyDescent="0.45">
      <c r="A185" s="4" t="s">
        <v>189</v>
      </c>
      <c r="B185" s="5" t="s">
        <v>4</v>
      </c>
      <c r="C185" s="5">
        <v>151375.57999999999</v>
      </c>
      <c r="D185" s="5">
        <v>48</v>
      </c>
      <c r="E185" s="5">
        <v>0</v>
      </c>
      <c r="F185" s="5">
        <v>0.85850000000000004</v>
      </c>
      <c r="G185" s="5">
        <v>0</v>
      </c>
      <c r="H185" s="5">
        <v>2</v>
      </c>
      <c r="I185" s="5">
        <v>500</v>
      </c>
      <c r="J185" s="5">
        <v>0</v>
      </c>
      <c r="K185" s="5">
        <v>57</v>
      </c>
      <c r="L185" s="5">
        <v>2</v>
      </c>
      <c r="M185" s="5">
        <v>1</v>
      </c>
      <c r="N185" s="5">
        <v>0</v>
      </c>
      <c r="O185" s="5">
        <v>850</v>
      </c>
      <c r="P185" s="6">
        <v>0</v>
      </c>
    </row>
    <row r="186" spans="1:16" ht="23.4" x14ac:dyDescent="0.45">
      <c r="A186" s="4" t="s">
        <v>190</v>
      </c>
      <c r="B186" s="5" t="s">
        <v>15</v>
      </c>
      <c r="C186" s="5">
        <v>83954.55</v>
      </c>
      <c r="D186" s="5">
        <v>57</v>
      </c>
      <c r="E186" s="5">
        <v>0</v>
      </c>
      <c r="F186" s="5">
        <v>0.41810000000000003</v>
      </c>
      <c r="G186" s="5">
        <v>0.44429999999999997</v>
      </c>
      <c r="H186" s="5">
        <v>1</v>
      </c>
      <c r="I186" s="5">
        <v>32318.03</v>
      </c>
      <c r="J186" s="5">
        <v>32123.97</v>
      </c>
      <c r="K186" s="5">
        <v>99</v>
      </c>
      <c r="L186" s="5">
        <v>1</v>
      </c>
      <c r="M186" s="5">
        <v>2</v>
      </c>
      <c r="N186" s="5">
        <v>1</v>
      </c>
      <c r="O186" s="5">
        <v>577.54999999999995</v>
      </c>
      <c r="P186" s="6">
        <v>0</v>
      </c>
    </row>
    <row r="187" spans="1:16" ht="23.4" x14ac:dyDescent="0.45">
      <c r="A187" s="4" t="s">
        <v>191</v>
      </c>
      <c r="B187" s="5" t="s">
        <v>1</v>
      </c>
      <c r="C187" s="5">
        <v>70744.789999999994</v>
      </c>
      <c r="D187" s="5">
        <v>67</v>
      </c>
      <c r="E187" s="5">
        <v>1</v>
      </c>
      <c r="F187" s="5">
        <v>0.39510000000000001</v>
      </c>
      <c r="G187" s="5">
        <v>0.49370000000000003</v>
      </c>
      <c r="H187" s="5">
        <v>1</v>
      </c>
      <c r="I187" s="5">
        <v>39623.11</v>
      </c>
      <c r="J187" s="5">
        <v>16912.48</v>
      </c>
      <c r="K187" s="5">
        <v>110</v>
      </c>
      <c r="L187" s="5">
        <v>2</v>
      </c>
      <c r="M187" s="5">
        <v>1</v>
      </c>
      <c r="N187" s="5">
        <v>0</v>
      </c>
      <c r="O187" s="5">
        <v>554.05999999999995</v>
      </c>
      <c r="P187" s="6">
        <v>0</v>
      </c>
    </row>
    <row r="188" spans="1:16" ht="23.4" x14ac:dyDescent="0.45">
      <c r="A188" s="4" t="s">
        <v>192</v>
      </c>
      <c r="B188" s="5" t="s">
        <v>6</v>
      </c>
      <c r="C188" s="5">
        <v>116741.34</v>
      </c>
      <c r="D188" s="5">
        <v>45</v>
      </c>
      <c r="E188" s="5">
        <v>0</v>
      </c>
      <c r="F188" s="5">
        <v>0.87290000000000001</v>
      </c>
      <c r="G188" s="5">
        <v>1</v>
      </c>
      <c r="H188" s="5">
        <v>8</v>
      </c>
      <c r="I188" s="5">
        <v>101688.94</v>
      </c>
      <c r="J188" s="5">
        <v>77233.63</v>
      </c>
      <c r="K188" s="5">
        <v>135</v>
      </c>
      <c r="L188" s="5">
        <v>3</v>
      </c>
      <c r="M188" s="5">
        <v>2</v>
      </c>
      <c r="N188" s="5">
        <v>0</v>
      </c>
      <c r="O188" s="5">
        <v>828.29</v>
      </c>
      <c r="P188" s="6">
        <v>0</v>
      </c>
    </row>
    <row r="189" spans="1:16" ht="23.4" x14ac:dyDescent="0.45">
      <c r="A189" s="4" t="s">
        <v>193</v>
      </c>
      <c r="B189" s="5" t="s">
        <v>9</v>
      </c>
      <c r="C189" s="5">
        <v>117085.02</v>
      </c>
      <c r="D189" s="5">
        <v>55</v>
      </c>
      <c r="E189" s="5">
        <v>0</v>
      </c>
      <c r="F189" s="5">
        <v>0.33139999999999997</v>
      </c>
      <c r="G189" s="5">
        <v>9.1800000000000007E-2</v>
      </c>
      <c r="H189" s="5">
        <v>2</v>
      </c>
      <c r="I189" s="5">
        <v>17941.099999999999</v>
      </c>
      <c r="J189" s="5">
        <v>7090.24</v>
      </c>
      <c r="K189" s="5">
        <v>162</v>
      </c>
      <c r="L189" s="5">
        <v>1</v>
      </c>
      <c r="M189" s="5">
        <v>3</v>
      </c>
      <c r="N189" s="5">
        <v>1</v>
      </c>
      <c r="O189" s="5">
        <v>651.29999999999995</v>
      </c>
      <c r="P189" s="6">
        <v>0</v>
      </c>
    </row>
    <row r="190" spans="1:16" ht="23.4" x14ac:dyDescent="0.45">
      <c r="A190" s="4" t="s">
        <v>194</v>
      </c>
      <c r="B190" s="5" t="s">
        <v>1</v>
      </c>
      <c r="C190" s="5">
        <v>91970.09</v>
      </c>
      <c r="D190" s="5">
        <v>48</v>
      </c>
      <c r="E190" s="5">
        <v>1</v>
      </c>
      <c r="F190" s="5">
        <v>0.18060000000000001</v>
      </c>
      <c r="G190" s="5">
        <v>0.48959999999999998</v>
      </c>
      <c r="H190" s="5">
        <v>4</v>
      </c>
      <c r="I190" s="5">
        <v>49379.63</v>
      </c>
      <c r="J190" s="5">
        <v>36375.1</v>
      </c>
      <c r="K190" s="5">
        <v>148</v>
      </c>
      <c r="L190" s="5">
        <v>2</v>
      </c>
      <c r="M190" s="5">
        <v>2</v>
      </c>
      <c r="N190" s="5">
        <v>0</v>
      </c>
      <c r="O190" s="5">
        <v>552.5</v>
      </c>
      <c r="P190" s="6">
        <v>0</v>
      </c>
    </row>
    <row r="191" spans="1:16" ht="23.4" x14ac:dyDescent="0.45">
      <c r="A191" s="4" t="s">
        <v>195</v>
      </c>
      <c r="B191" s="5" t="s">
        <v>4</v>
      </c>
      <c r="C191" s="5">
        <v>138922.14000000001</v>
      </c>
      <c r="D191" s="5">
        <v>53</v>
      </c>
      <c r="E191" s="5">
        <v>1</v>
      </c>
      <c r="F191" s="5">
        <v>1</v>
      </c>
      <c r="G191" s="5">
        <v>1</v>
      </c>
      <c r="H191" s="5">
        <v>4</v>
      </c>
      <c r="I191" s="5">
        <v>140278.38</v>
      </c>
      <c r="J191" s="5">
        <v>115198.72</v>
      </c>
      <c r="K191" s="5">
        <v>42</v>
      </c>
      <c r="L191" s="5">
        <v>1</v>
      </c>
      <c r="M191" s="5">
        <v>1</v>
      </c>
      <c r="N191" s="5">
        <v>1</v>
      </c>
      <c r="O191" s="5">
        <v>677.83</v>
      </c>
      <c r="P191" s="6">
        <v>0</v>
      </c>
    </row>
    <row r="192" spans="1:16" ht="23.4" x14ac:dyDescent="0.45">
      <c r="A192" s="4" t="s">
        <v>196</v>
      </c>
      <c r="B192" s="5" t="s">
        <v>4</v>
      </c>
      <c r="C192" s="5">
        <v>78187.990000000005</v>
      </c>
      <c r="D192" s="5">
        <v>67</v>
      </c>
      <c r="E192" s="5">
        <v>0</v>
      </c>
      <c r="F192" s="5">
        <v>0.77390000000000003</v>
      </c>
      <c r="G192" s="5">
        <v>0.3281</v>
      </c>
      <c r="H192" s="5">
        <v>0</v>
      </c>
      <c r="I192" s="5">
        <v>17157.72</v>
      </c>
      <c r="J192" s="5">
        <v>26037.360000000001</v>
      </c>
      <c r="K192" s="5">
        <v>35</v>
      </c>
      <c r="L192" s="5">
        <v>1</v>
      </c>
      <c r="M192" s="5">
        <v>1</v>
      </c>
      <c r="N192" s="5">
        <v>0</v>
      </c>
      <c r="O192" s="5">
        <v>759.41</v>
      </c>
      <c r="P192" s="6">
        <v>0</v>
      </c>
    </row>
    <row r="193" spans="1:16" ht="23.4" x14ac:dyDescent="0.45">
      <c r="A193" s="4" t="s">
        <v>197</v>
      </c>
      <c r="B193" s="5" t="s">
        <v>18</v>
      </c>
      <c r="C193" s="5">
        <v>2000</v>
      </c>
      <c r="D193" s="5">
        <v>54</v>
      </c>
      <c r="E193" s="5">
        <v>1</v>
      </c>
      <c r="F193" s="5">
        <v>0.754</v>
      </c>
      <c r="G193" s="5">
        <v>0.53139999999999998</v>
      </c>
      <c r="H193" s="5">
        <v>0</v>
      </c>
      <c r="I193" s="5">
        <v>500</v>
      </c>
      <c r="J193" s="5">
        <v>1278.24</v>
      </c>
      <c r="K193" s="5">
        <v>53</v>
      </c>
      <c r="L193" s="5">
        <v>1</v>
      </c>
      <c r="M193" s="5">
        <v>2</v>
      </c>
      <c r="N193" s="5">
        <v>0</v>
      </c>
      <c r="O193" s="5">
        <v>758.72</v>
      </c>
      <c r="P193" s="6">
        <v>0</v>
      </c>
    </row>
    <row r="194" spans="1:16" ht="23.4" x14ac:dyDescent="0.45">
      <c r="A194" s="4" t="s">
        <v>198</v>
      </c>
      <c r="B194" s="5" t="s">
        <v>18</v>
      </c>
      <c r="C194" s="5">
        <v>126494.8</v>
      </c>
      <c r="D194" s="5">
        <v>48</v>
      </c>
      <c r="E194" s="5">
        <v>0</v>
      </c>
      <c r="F194" s="5">
        <v>0.55349999999999999</v>
      </c>
      <c r="G194" s="5">
        <v>0.1009</v>
      </c>
      <c r="H194" s="5">
        <v>3</v>
      </c>
      <c r="I194" s="5">
        <v>19642.41</v>
      </c>
      <c r="J194" s="5">
        <v>25059.16</v>
      </c>
      <c r="K194" s="5">
        <v>22</v>
      </c>
      <c r="L194" s="5">
        <v>2</v>
      </c>
      <c r="M194" s="5">
        <v>2</v>
      </c>
      <c r="N194" s="5">
        <v>1</v>
      </c>
      <c r="O194" s="5">
        <v>681.91</v>
      </c>
      <c r="P194" s="6">
        <v>0</v>
      </c>
    </row>
    <row r="195" spans="1:16" ht="23.4" x14ac:dyDescent="0.45">
      <c r="A195" s="4" t="s">
        <v>199</v>
      </c>
      <c r="B195" s="5" t="s">
        <v>6</v>
      </c>
      <c r="C195" s="5">
        <v>112266.2</v>
      </c>
      <c r="D195" s="5">
        <v>63</v>
      </c>
      <c r="E195" s="5">
        <v>1</v>
      </c>
      <c r="F195" s="5">
        <v>0.85929999999999995</v>
      </c>
      <c r="G195" s="5">
        <v>0.1673</v>
      </c>
      <c r="H195" s="5">
        <v>0</v>
      </c>
      <c r="I195" s="5">
        <v>3275.16</v>
      </c>
      <c r="J195" s="5">
        <v>0</v>
      </c>
      <c r="K195" s="5">
        <v>95</v>
      </c>
      <c r="L195" s="5">
        <v>2</v>
      </c>
      <c r="M195" s="5">
        <v>1</v>
      </c>
      <c r="N195" s="5">
        <v>0</v>
      </c>
      <c r="O195" s="5">
        <v>688.36</v>
      </c>
      <c r="P195" s="6">
        <v>0</v>
      </c>
    </row>
    <row r="196" spans="1:16" ht="23.4" x14ac:dyDescent="0.45">
      <c r="A196" s="4" t="s">
        <v>200</v>
      </c>
      <c r="B196" s="5" t="s">
        <v>18</v>
      </c>
      <c r="C196" s="5">
        <v>121521.89</v>
      </c>
      <c r="D196" s="5">
        <v>58</v>
      </c>
      <c r="E196" s="5">
        <v>0</v>
      </c>
      <c r="F196" s="5">
        <v>0.27439999999999998</v>
      </c>
      <c r="G196" s="5">
        <v>0.51549999999999996</v>
      </c>
      <c r="H196" s="5">
        <v>4</v>
      </c>
      <c r="I196" s="5">
        <v>72097.42</v>
      </c>
      <c r="J196" s="5">
        <v>41360.550000000003</v>
      </c>
      <c r="K196" s="5">
        <v>52</v>
      </c>
      <c r="L196" s="5">
        <v>2</v>
      </c>
      <c r="M196" s="5">
        <v>1</v>
      </c>
      <c r="N196" s="5">
        <v>0</v>
      </c>
      <c r="O196" s="5">
        <v>577.19000000000005</v>
      </c>
      <c r="P196" s="6">
        <v>0</v>
      </c>
    </row>
    <row r="197" spans="1:16" ht="23.4" x14ac:dyDescent="0.45">
      <c r="A197" s="4" t="s">
        <v>201</v>
      </c>
      <c r="B197" s="5" t="s">
        <v>6</v>
      </c>
      <c r="C197" s="5">
        <v>56485.33</v>
      </c>
      <c r="D197" s="5">
        <v>52</v>
      </c>
      <c r="E197" s="5">
        <v>0</v>
      </c>
      <c r="F197" s="5">
        <v>0.49730000000000002</v>
      </c>
      <c r="G197" s="5">
        <v>0.1108</v>
      </c>
      <c r="H197" s="5">
        <v>0</v>
      </c>
      <c r="I197" s="5">
        <v>500</v>
      </c>
      <c r="J197" s="5">
        <v>0</v>
      </c>
      <c r="K197" s="5">
        <v>41</v>
      </c>
      <c r="L197" s="5">
        <v>1</v>
      </c>
      <c r="M197" s="5">
        <v>2</v>
      </c>
      <c r="N197" s="5">
        <v>1</v>
      </c>
      <c r="O197" s="5">
        <v>677.28</v>
      </c>
      <c r="P197" s="6">
        <v>0</v>
      </c>
    </row>
    <row r="198" spans="1:16" ht="23.4" x14ac:dyDescent="0.45">
      <c r="A198" s="4" t="s">
        <v>202</v>
      </c>
      <c r="B198" s="5" t="s">
        <v>4</v>
      </c>
      <c r="C198" s="5">
        <v>139457.91</v>
      </c>
      <c r="D198" s="5">
        <v>33</v>
      </c>
      <c r="E198" s="5">
        <v>1</v>
      </c>
      <c r="F198" s="5">
        <v>0.63139999999999996</v>
      </c>
      <c r="G198" s="5">
        <v>0.65659999999999996</v>
      </c>
      <c r="H198" s="5">
        <v>0</v>
      </c>
      <c r="I198" s="5">
        <v>74048.929999999993</v>
      </c>
      <c r="J198" s="5">
        <v>48001.35</v>
      </c>
      <c r="K198" s="5">
        <v>131</v>
      </c>
      <c r="L198" s="5">
        <v>2</v>
      </c>
      <c r="M198" s="5">
        <v>2</v>
      </c>
      <c r="N198" s="5">
        <v>1</v>
      </c>
      <c r="O198" s="5">
        <v>686.28</v>
      </c>
      <c r="P198" s="6">
        <v>0</v>
      </c>
    </row>
    <row r="199" spans="1:16" ht="23.4" x14ac:dyDescent="0.45">
      <c r="A199" s="4" t="s">
        <v>203</v>
      </c>
      <c r="B199" s="5" t="s">
        <v>1</v>
      </c>
      <c r="C199" s="5">
        <v>95593.04</v>
      </c>
      <c r="D199" s="5">
        <v>39</v>
      </c>
      <c r="E199" s="5">
        <v>1</v>
      </c>
      <c r="F199" s="5">
        <v>0.8397</v>
      </c>
      <c r="G199" s="5">
        <v>0.43640000000000001</v>
      </c>
      <c r="H199" s="5">
        <v>2</v>
      </c>
      <c r="I199" s="5">
        <v>67080.800000000003</v>
      </c>
      <c r="J199" s="5">
        <v>36751.760000000002</v>
      </c>
      <c r="K199" s="5">
        <v>132</v>
      </c>
      <c r="L199" s="5">
        <v>2</v>
      </c>
      <c r="M199" s="5">
        <v>1</v>
      </c>
      <c r="N199" s="5">
        <v>0</v>
      </c>
      <c r="O199" s="5">
        <v>674.46</v>
      </c>
      <c r="P199" s="6">
        <v>0</v>
      </c>
    </row>
    <row r="200" spans="1:16" ht="23.4" x14ac:dyDescent="0.45">
      <c r="A200" s="4" t="s">
        <v>204</v>
      </c>
      <c r="B200" s="5" t="s">
        <v>1</v>
      </c>
      <c r="C200" s="5">
        <v>109118.03</v>
      </c>
      <c r="D200" s="5">
        <v>69</v>
      </c>
      <c r="E200" s="5">
        <v>1</v>
      </c>
      <c r="F200" s="5">
        <v>0.52869999999999995</v>
      </c>
      <c r="G200" s="5">
        <v>0.78480000000000005</v>
      </c>
      <c r="H200" s="5">
        <v>5</v>
      </c>
      <c r="I200" s="5">
        <v>42134.5</v>
      </c>
      <c r="J200" s="5">
        <v>18809.54</v>
      </c>
      <c r="K200" s="5">
        <v>32</v>
      </c>
      <c r="L200" s="5">
        <v>2</v>
      </c>
      <c r="M200" s="5">
        <v>2</v>
      </c>
      <c r="N200" s="5">
        <v>0</v>
      </c>
      <c r="O200" s="5">
        <v>661.51</v>
      </c>
      <c r="P200" s="6">
        <v>0</v>
      </c>
    </row>
    <row r="201" spans="1:16" ht="23.4" x14ac:dyDescent="0.45">
      <c r="A201" s="4" t="s">
        <v>205</v>
      </c>
      <c r="B201" s="5" t="s">
        <v>4</v>
      </c>
      <c r="C201" s="5">
        <v>81845.25</v>
      </c>
      <c r="D201" s="5">
        <v>26</v>
      </c>
      <c r="E201" s="5">
        <v>1</v>
      </c>
      <c r="F201" s="5">
        <v>0.107</v>
      </c>
      <c r="G201" s="5">
        <v>0.69850000000000001</v>
      </c>
      <c r="H201" s="5">
        <v>4</v>
      </c>
      <c r="I201" s="5">
        <v>46281.83</v>
      </c>
      <c r="J201" s="5">
        <v>24458.22</v>
      </c>
      <c r="K201" s="5">
        <v>95</v>
      </c>
      <c r="L201" s="5">
        <v>3</v>
      </c>
      <c r="M201" s="5">
        <v>2</v>
      </c>
      <c r="N201" s="5">
        <v>0</v>
      </c>
      <c r="O201" s="5">
        <v>532.79999999999995</v>
      </c>
      <c r="P201" s="6">
        <v>0</v>
      </c>
    </row>
    <row r="202" spans="1:16" ht="23.4" x14ac:dyDescent="0.45">
      <c r="A202" s="4" t="s">
        <v>206</v>
      </c>
      <c r="B202" s="5" t="s">
        <v>1</v>
      </c>
      <c r="C202" s="5">
        <v>107914.87</v>
      </c>
      <c r="D202" s="5">
        <v>24</v>
      </c>
      <c r="E202" s="5">
        <v>1</v>
      </c>
      <c r="F202" s="5">
        <v>0.3422</v>
      </c>
      <c r="G202" s="5">
        <v>0.1212</v>
      </c>
      <c r="H202" s="5">
        <v>0</v>
      </c>
      <c r="I202" s="5">
        <v>5605.4</v>
      </c>
      <c r="J202" s="5">
        <v>232.12</v>
      </c>
      <c r="K202" s="5">
        <v>80</v>
      </c>
      <c r="L202" s="5">
        <v>1</v>
      </c>
      <c r="M202" s="5">
        <v>1</v>
      </c>
      <c r="N202" s="5">
        <v>2</v>
      </c>
      <c r="O202" s="5">
        <v>771.48</v>
      </c>
      <c r="P202" s="6">
        <v>0</v>
      </c>
    </row>
    <row r="203" spans="1:16" ht="23.4" x14ac:dyDescent="0.45">
      <c r="A203" s="4" t="s">
        <v>207</v>
      </c>
      <c r="B203" s="5" t="s">
        <v>4</v>
      </c>
      <c r="C203" s="5">
        <v>83820.53</v>
      </c>
      <c r="D203" s="5">
        <v>69</v>
      </c>
      <c r="E203" s="5">
        <v>1</v>
      </c>
      <c r="F203" s="5">
        <v>0.79969999999999997</v>
      </c>
      <c r="G203" s="5">
        <v>0</v>
      </c>
      <c r="H203" s="5">
        <v>5</v>
      </c>
      <c r="I203" s="5">
        <v>500</v>
      </c>
      <c r="J203" s="5">
        <v>11567.94</v>
      </c>
      <c r="K203" s="5">
        <v>69</v>
      </c>
      <c r="L203" s="5">
        <v>1</v>
      </c>
      <c r="M203" s="5">
        <v>1</v>
      </c>
      <c r="N203" s="5">
        <v>0</v>
      </c>
      <c r="O203" s="5">
        <v>832.04</v>
      </c>
      <c r="P203" s="6">
        <v>0</v>
      </c>
    </row>
    <row r="204" spans="1:16" ht="23.4" x14ac:dyDescent="0.45">
      <c r="A204" s="4" t="s">
        <v>208</v>
      </c>
      <c r="B204" s="5" t="s">
        <v>4</v>
      </c>
      <c r="C204" s="5">
        <v>70531</v>
      </c>
      <c r="D204" s="5">
        <v>61</v>
      </c>
      <c r="E204" s="5">
        <v>0</v>
      </c>
      <c r="F204" s="5">
        <v>0.76910000000000001</v>
      </c>
      <c r="G204" s="5">
        <v>0.36969999999999997</v>
      </c>
      <c r="H204" s="5">
        <v>4</v>
      </c>
      <c r="I204" s="5">
        <v>5775.74</v>
      </c>
      <c r="J204" s="5">
        <v>7455.34</v>
      </c>
      <c r="K204" s="5">
        <v>29</v>
      </c>
      <c r="L204" s="5">
        <v>2</v>
      </c>
      <c r="M204" s="5">
        <v>2</v>
      </c>
      <c r="N204" s="5">
        <v>1</v>
      </c>
      <c r="O204" s="5">
        <v>760.12</v>
      </c>
      <c r="P204" s="6">
        <v>0</v>
      </c>
    </row>
    <row r="205" spans="1:16" ht="23.4" x14ac:dyDescent="0.45">
      <c r="A205" s="4" t="s">
        <v>209</v>
      </c>
      <c r="B205" s="5" t="s">
        <v>15</v>
      </c>
      <c r="C205" s="5">
        <v>55471.35</v>
      </c>
      <c r="D205" s="5">
        <v>58</v>
      </c>
      <c r="E205" s="5">
        <v>0</v>
      </c>
      <c r="F205" s="5">
        <v>1</v>
      </c>
      <c r="G205" s="5">
        <v>0.40670000000000001</v>
      </c>
      <c r="H205" s="5">
        <v>2</v>
      </c>
      <c r="I205" s="5">
        <v>500</v>
      </c>
      <c r="J205" s="5">
        <v>0</v>
      </c>
      <c r="K205" s="5">
        <v>97</v>
      </c>
      <c r="L205" s="5">
        <v>3</v>
      </c>
      <c r="M205" s="5">
        <v>2</v>
      </c>
      <c r="N205" s="5">
        <v>0</v>
      </c>
      <c r="O205" s="5">
        <v>760.34</v>
      </c>
      <c r="P205" s="6">
        <v>0</v>
      </c>
    </row>
    <row r="206" spans="1:16" ht="23.4" x14ac:dyDescent="0.45">
      <c r="A206" s="4" t="s">
        <v>210</v>
      </c>
      <c r="B206" s="5" t="s">
        <v>9</v>
      </c>
      <c r="C206" s="5">
        <v>113825.99</v>
      </c>
      <c r="D206" s="5">
        <v>41</v>
      </c>
      <c r="E206" s="5">
        <v>0</v>
      </c>
      <c r="F206" s="5">
        <v>0.49170000000000003</v>
      </c>
      <c r="G206" s="5">
        <v>0.50729999999999997</v>
      </c>
      <c r="H206" s="5">
        <v>1</v>
      </c>
      <c r="I206" s="5">
        <v>40633.440000000002</v>
      </c>
      <c r="J206" s="5">
        <v>19382.259999999998</v>
      </c>
      <c r="K206" s="5">
        <v>130</v>
      </c>
      <c r="L206" s="5">
        <v>3</v>
      </c>
      <c r="M206" s="5">
        <v>2</v>
      </c>
      <c r="N206" s="5">
        <v>1</v>
      </c>
      <c r="O206" s="5">
        <v>749.11</v>
      </c>
      <c r="P206" s="6">
        <v>0</v>
      </c>
    </row>
    <row r="207" spans="1:16" ht="23.4" x14ac:dyDescent="0.45">
      <c r="A207" s="4" t="s">
        <v>211</v>
      </c>
      <c r="B207" s="5" t="s">
        <v>6</v>
      </c>
      <c r="C207" s="5">
        <v>107970.93</v>
      </c>
      <c r="D207" s="5">
        <v>22</v>
      </c>
      <c r="E207" s="5">
        <v>0</v>
      </c>
      <c r="F207" s="5">
        <v>0.98060000000000003</v>
      </c>
      <c r="G207" s="5">
        <v>0.74739999999999995</v>
      </c>
      <c r="H207" s="5">
        <v>4</v>
      </c>
      <c r="I207" s="5">
        <v>80894.47</v>
      </c>
      <c r="J207" s="5">
        <v>69280.350000000006</v>
      </c>
      <c r="K207" s="5">
        <v>39</v>
      </c>
      <c r="L207" s="5">
        <v>3</v>
      </c>
      <c r="M207" s="5">
        <v>1</v>
      </c>
      <c r="N207" s="5">
        <v>2</v>
      </c>
      <c r="O207" s="5">
        <v>697.36</v>
      </c>
      <c r="P207" s="6">
        <v>0</v>
      </c>
    </row>
    <row r="208" spans="1:16" ht="23.4" x14ac:dyDescent="0.45">
      <c r="A208" s="4" t="s">
        <v>212</v>
      </c>
      <c r="B208" s="5" t="s">
        <v>9</v>
      </c>
      <c r="C208" s="5">
        <v>125437.04</v>
      </c>
      <c r="D208" s="5">
        <v>26</v>
      </c>
      <c r="E208" s="5">
        <v>0</v>
      </c>
      <c r="F208" s="5">
        <v>0.80469999999999997</v>
      </c>
      <c r="G208" s="5">
        <v>2.5100000000000001E-2</v>
      </c>
      <c r="H208" s="5">
        <v>4</v>
      </c>
      <c r="I208" s="5">
        <v>10780.65</v>
      </c>
      <c r="J208" s="5">
        <v>14714.13</v>
      </c>
      <c r="K208" s="5">
        <v>84</v>
      </c>
      <c r="L208" s="5">
        <v>2</v>
      </c>
      <c r="M208" s="5">
        <v>2</v>
      </c>
      <c r="N208" s="5">
        <v>0</v>
      </c>
      <c r="O208" s="5">
        <v>767.1</v>
      </c>
      <c r="P208" s="6">
        <v>0</v>
      </c>
    </row>
    <row r="209" spans="1:16" ht="23.4" x14ac:dyDescent="0.45">
      <c r="A209" s="4" t="s">
        <v>213</v>
      </c>
      <c r="B209" s="5" t="s">
        <v>18</v>
      </c>
      <c r="C209" s="5">
        <v>100912.3</v>
      </c>
      <c r="D209" s="5">
        <v>25</v>
      </c>
      <c r="E209" s="5">
        <v>1</v>
      </c>
      <c r="F209" s="5">
        <v>0.79630000000000001</v>
      </c>
      <c r="G209" s="5">
        <v>0.53259999999999996</v>
      </c>
      <c r="H209" s="5">
        <v>3</v>
      </c>
      <c r="I209" s="5">
        <v>51889.06</v>
      </c>
      <c r="J209" s="5">
        <v>32339.47</v>
      </c>
      <c r="K209" s="5">
        <v>114</v>
      </c>
      <c r="L209" s="5">
        <v>2</v>
      </c>
      <c r="M209" s="5">
        <v>1</v>
      </c>
      <c r="N209" s="5">
        <v>0</v>
      </c>
      <c r="O209" s="5">
        <v>598.75</v>
      </c>
      <c r="P209" s="6">
        <v>0</v>
      </c>
    </row>
    <row r="210" spans="1:16" ht="23.4" x14ac:dyDescent="0.45">
      <c r="A210" s="4" t="s">
        <v>214</v>
      </c>
      <c r="B210" s="5" t="s">
        <v>15</v>
      </c>
      <c r="C210" s="5">
        <v>97233.32</v>
      </c>
      <c r="D210" s="5">
        <v>44</v>
      </c>
      <c r="E210" s="5">
        <v>0</v>
      </c>
      <c r="F210" s="5">
        <v>0.61240000000000006</v>
      </c>
      <c r="G210" s="5">
        <v>0.49959999999999999</v>
      </c>
      <c r="H210" s="5">
        <v>2</v>
      </c>
      <c r="I210" s="5">
        <v>52258.6</v>
      </c>
      <c r="J210" s="5">
        <v>20467.23</v>
      </c>
      <c r="K210" s="5">
        <v>40</v>
      </c>
      <c r="L210" s="5">
        <v>2</v>
      </c>
      <c r="M210" s="5">
        <v>2</v>
      </c>
      <c r="N210" s="5">
        <v>0</v>
      </c>
      <c r="O210" s="5">
        <v>607.57000000000005</v>
      </c>
      <c r="P210" s="6">
        <v>0</v>
      </c>
    </row>
    <row r="211" spans="1:16" ht="23.4" x14ac:dyDescent="0.45">
      <c r="A211" s="4" t="s">
        <v>215</v>
      </c>
      <c r="B211" s="5" t="s">
        <v>6</v>
      </c>
      <c r="C211" s="5">
        <v>66074.16</v>
      </c>
      <c r="D211" s="5">
        <v>43</v>
      </c>
      <c r="E211" s="5">
        <v>0</v>
      </c>
      <c r="F211" s="5">
        <v>0.65149999999999997</v>
      </c>
      <c r="G211" s="5">
        <v>5.3600000000000002E-2</v>
      </c>
      <c r="H211" s="5">
        <v>2</v>
      </c>
      <c r="I211" s="5">
        <v>16122.78</v>
      </c>
      <c r="J211" s="5">
        <v>4494.5200000000004</v>
      </c>
      <c r="K211" s="5">
        <v>28</v>
      </c>
      <c r="L211" s="5">
        <v>3</v>
      </c>
      <c r="M211" s="5">
        <v>1</v>
      </c>
      <c r="N211" s="5">
        <v>0</v>
      </c>
      <c r="O211" s="5">
        <v>614.24</v>
      </c>
      <c r="P211" s="6">
        <v>0</v>
      </c>
    </row>
    <row r="212" spans="1:16" ht="23.4" x14ac:dyDescent="0.45">
      <c r="A212" s="4" t="s">
        <v>216</v>
      </c>
      <c r="B212" s="5" t="s">
        <v>1</v>
      </c>
      <c r="C212" s="5">
        <v>61610.65</v>
      </c>
      <c r="D212" s="5">
        <v>29</v>
      </c>
      <c r="E212" s="5">
        <v>1</v>
      </c>
      <c r="F212" s="5">
        <v>0.87019999999999997</v>
      </c>
      <c r="G212" s="5">
        <v>0.40500000000000003</v>
      </c>
      <c r="H212" s="5">
        <v>5</v>
      </c>
      <c r="I212" s="5">
        <v>25186.58</v>
      </c>
      <c r="J212" s="5">
        <v>29685.33</v>
      </c>
      <c r="K212" s="5">
        <v>161</v>
      </c>
      <c r="L212" s="5">
        <v>1</v>
      </c>
      <c r="M212" s="5">
        <v>3</v>
      </c>
      <c r="N212" s="5">
        <v>0</v>
      </c>
      <c r="O212" s="5">
        <v>792.22</v>
      </c>
      <c r="P212" s="6">
        <v>0</v>
      </c>
    </row>
    <row r="213" spans="1:16" ht="23.4" x14ac:dyDescent="0.45">
      <c r="A213" s="4" t="s">
        <v>217</v>
      </c>
      <c r="B213" s="5" t="s">
        <v>18</v>
      </c>
      <c r="C213" s="5">
        <v>14656.09</v>
      </c>
      <c r="D213" s="5">
        <v>59</v>
      </c>
      <c r="E213" s="5">
        <v>1</v>
      </c>
      <c r="F213" s="5">
        <v>0.36859999999999998</v>
      </c>
      <c r="G213" s="5">
        <v>0.37519999999999998</v>
      </c>
      <c r="H213" s="5">
        <v>2</v>
      </c>
      <c r="I213" s="5">
        <v>10319.51</v>
      </c>
      <c r="J213" s="5">
        <v>21593.96</v>
      </c>
      <c r="K213" s="5">
        <v>132</v>
      </c>
      <c r="L213" s="5">
        <v>2</v>
      </c>
      <c r="M213" s="5">
        <v>1</v>
      </c>
      <c r="N213" s="5">
        <v>1</v>
      </c>
      <c r="O213" s="5">
        <v>574.91</v>
      </c>
      <c r="P213" s="6">
        <v>0</v>
      </c>
    </row>
    <row r="214" spans="1:16" ht="23.4" x14ac:dyDescent="0.45">
      <c r="A214" s="4" t="s">
        <v>218</v>
      </c>
      <c r="B214" s="5" t="s">
        <v>18</v>
      </c>
      <c r="C214" s="5">
        <v>95366.87</v>
      </c>
      <c r="D214" s="5">
        <v>44</v>
      </c>
      <c r="E214" s="5">
        <v>0</v>
      </c>
      <c r="F214" s="5">
        <v>0.67989999999999995</v>
      </c>
      <c r="G214" s="5">
        <v>0.52170000000000005</v>
      </c>
      <c r="H214" s="5">
        <v>3</v>
      </c>
      <c r="I214" s="5">
        <v>62225.32</v>
      </c>
      <c r="J214" s="5">
        <v>33857.31</v>
      </c>
      <c r="K214" s="5">
        <v>99</v>
      </c>
      <c r="L214" s="5">
        <v>2</v>
      </c>
      <c r="M214" s="5">
        <v>1</v>
      </c>
      <c r="N214" s="5">
        <v>1</v>
      </c>
      <c r="O214" s="5">
        <v>713.14</v>
      </c>
      <c r="P214" s="6">
        <v>0</v>
      </c>
    </row>
    <row r="215" spans="1:16" ht="23.4" x14ac:dyDescent="0.45">
      <c r="A215" s="4" t="s">
        <v>219</v>
      </c>
      <c r="B215" s="5" t="s">
        <v>1</v>
      </c>
      <c r="C215" s="5">
        <v>88610.7</v>
      </c>
      <c r="D215" s="5">
        <v>21</v>
      </c>
      <c r="E215" s="5">
        <v>1</v>
      </c>
      <c r="F215" s="5">
        <v>0.6956</v>
      </c>
      <c r="G215" s="5">
        <v>0.47110000000000002</v>
      </c>
      <c r="H215" s="5">
        <v>6</v>
      </c>
      <c r="I215" s="5">
        <v>51559.05</v>
      </c>
      <c r="J215" s="5">
        <v>23720.67</v>
      </c>
      <c r="K215" s="5">
        <v>134</v>
      </c>
      <c r="L215" s="5">
        <v>3</v>
      </c>
      <c r="M215" s="5">
        <v>1</v>
      </c>
      <c r="N215" s="5">
        <v>0</v>
      </c>
      <c r="O215" s="5">
        <v>692.28</v>
      </c>
      <c r="P215" s="6">
        <v>0</v>
      </c>
    </row>
    <row r="216" spans="1:16" ht="23.4" x14ac:dyDescent="0.45">
      <c r="A216" s="4" t="s">
        <v>220</v>
      </c>
      <c r="B216" s="5" t="s">
        <v>4</v>
      </c>
      <c r="C216" s="5">
        <v>64818.09</v>
      </c>
      <c r="D216" s="5">
        <v>26</v>
      </c>
      <c r="E216" s="5">
        <v>0</v>
      </c>
      <c r="F216" s="5">
        <v>0.67300000000000004</v>
      </c>
      <c r="G216" s="5">
        <v>0.28999999999999998</v>
      </c>
      <c r="H216" s="5">
        <v>4</v>
      </c>
      <c r="I216" s="5">
        <v>26698.7</v>
      </c>
      <c r="J216" s="5">
        <v>31778.21</v>
      </c>
      <c r="K216" s="5">
        <v>143</v>
      </c>
      <c r="L216" s="5">
        <v>1</v>
      </c>
      <c r="M216" s="5">
        <v>2</v>
      </c>
      <c r="N216" s="5">
        <v>1</v>
      </c>
      <c r="O216" s="5">
        <v>656.86</v>
      </c>
      <c r="P216" s="6">
        <v>0</v>
      </c>
    </row>
    <row r="217" spans="1:16" ht="23.4" x14ac:dyDescent="0.45">
      <c r="A217" s="4" t="s">
        <v>221</v>
      </c>
      <c r="B217" s="5" t="s">
        <v>9</v>
      </c>
      <c r="C217" s="5">
        <v>37774.730000000003</v>
      </c>
      <c r="D217" s="5">
        <v>48</v>
      </c>
      <c r="E217" s="5">
        <v>0</v>
      </c>
      <c r="F217" s="5">
        <v>0.65139999999999998</v>
      </c>
      <c r="G217" s="5">
        <v>0</v>
      </c>
      <c r="H217" s="5">
        <v>1</v>
      </c>
      <c r="I217" s="5">
        <v>2266.66</v>
      </c>
      <c r="J217" s="5">
        <v>0</v>
      </c>
      <c r="K217" s="5">
        <v>161</v>
      </c>
      <c r="L217" s="5">
        <v>1</v>
      </c>
      <c r="M217" s="5">
        <v>2</v>
      </c>
      <c r="N217" s="5">
        <v>1</v>
      </c>
      <c r="O217" s="5">
        <v>754.55</v>
      </c>
      <c r="P217" s="6">
        <v>0</v>
      </c>
    </row>
    <row r="218" spans="1:16" ht="23.4" x14ac:dyDescent="0.45">
      <c r="A218" s="4" t="s">
        <v>222</v>
      </c>
      <c r="B218" s="5" t="s">
        <v>6</v>
      </c>
      <c r="C218" s="5">
        <v>114371.02</v>
      </c>
      <c r="D218" s="5">
        <v>21</v>
      </c>
      <c r="E218" s="5">
        <v>0</v>
      </c>
      <c r="F218" s="5">
        <v>0.70860000000000001</v>
      </c>
      <c r="G218" s="5">
        <v>0.71860000000000002</v>
      </c>
      <c r="H218" s="5">
        <v>8</v>
      </c>
      <c r="I218" s="5">
        <v>56241.68</v>
      </c>
      <c r="J218" s="5">
        <v>36424.32</v>
      </c>
      <c r="K218" s="5">
        <v>72</v>
      </c>
      <c r="L218" s="5">
        <v>1</v>
      </c>
      <c r="M218" s="5">
        <v>1</v>
      </c>
      <c r="N218" s="5">
        <v>1</v>
      </c>
      <c r="O218" s="5">
        <v>662.83</v>
      </c>
      <c r="P218" s="6">
        <v>0</v>
      </c>
    </row>
    <row r="219" spans="1:16" ht="23.4" x14ac:dyDescent="0.45">
      <c r="A219" s="4" t="s">
        <v>223</v>
      </c>
      <c r="B219" s="5" t="s">
        <v>1</v>
      </c>
      <c r="C219" s="5">
        <v>183207.7</v>
      </c>
      <c r="D219" s="5">
        <v>22</v>
      </c>
      <c r="E219" s="5">
        <v>0</v>
      </c>
      <c r="F219" s="5">
        <v>0.59219999999999995</v>
      </c>
      <c r="G219" s="5">
        <v>0.62790000000000001</v>
      </c>
      <c r="H219" s="5">
        <v>2</v>
      </c>
      <c r="I219" s="5">
        <v>113288.61</v>
      </c>
      <c r="J219" s="5">
        <v>83254.67</v>
      </c>
      <c r="K219" s="5">
        <v>133</v>
      </c>
      <c r="L219" s="5">
        <v>2</v>
      </c>
      <c r="M219" s="5">
        <v>1</v>
      </c>
      <c r="N219" s="5">
        <v>1</v>
      </c>
      <c r="O219" s="5">
        <v>657.66</v>
      </c>
      <c r="P219" s="6">
        <v>0</v>
      </c>
    </row>
    <row r="220" spans="1:16" ht="23.4" x14ac:dyDescent="0.45">
      <c r="A220" s="4" t="s">
        <v>224</v>
      </c>
      <c r="B220" s="5" t="s">
        <v>15</v>
      </c>
      <c r="C220" s="5">
        <v>66725.759999999995</v>
      </c>
      <c r="D220" s="5">
        <v>27</v>
      </c>
      <c r="E220" s="5">
        <v>0</v>
      </c>
      <c r="F220" s="5">
        <v>0.81340000000000001</v>
      </c>
      <c r="G220" s="5">
        <v>0.69479999999999997</v>
      </c>
      <c r="H220" s="5">
        <v>2</v>
      </c>
      <c r="I220" s="5">
        <v>64812.62</v>
      </c>
      <c r="J220" s="5">
        <v>55726.85</v>
      </c>
      <c r="K220" s="5">
        <v>6</v>
      </c>
      <c r="L220" s="5">
        <v>1</v>
      </c>
      <c r="M220" s="5">
        <v>2</v>
      </c>
      <c r="N220" s="5">
        <v>0</v>
      </c>
      <c r="O220" s="5">
        <v>633.99</v>
      </c>
      <c r="P220" s="6">
        <v>0</v>
      </c>
    </row>
    <row r="221" spans="1:16" ht="23.4" x14ac:dyDescent="0.45">
      <c r="A221" s="4" t="s">
        <v>225</v>
      </c>
      <c r="B221" s="5" t="s">
        <v>9</v>
      </c>
      <c r="C221" s="5">
        <v>97804.2</v>
      </c>
      <c r="D221" s="5">
        <v>23</v>
      </c>
      <c r="E221" s="5">
        <v>0</v>
      </c>
      <c r="F221" s="5">
        <v>0.28120000000000001</v>
      </c>
      <c r="G221" s="5">
        <v>0.21940000000000001</v>
      </c>
      <c r="H221" s="5">
        <v>1</v>
      </c>
      <c r="I221" s="5">
        <v>5848.32</v>
      </c>
      <c r="J221" s="5">
        <v>0</v>
      </c>
      <c r="K221" s="5">
        <v>87</v>
      </c>
      <c r="L221" s="5">
        <v>1</v>
      </c>
      <c r="M221" s="5">
        <v>1</v>
      </c>
      <c r="N221" s="5">
        <v>0</v>
      </c>
      <c r="O221" s="5">
        <v>722.22</v>
      </c>
      <c r="P221" s="6">
        <v>0</v>
      </c>
    </row>
    <row r="222" spans="1:16" ht="23.4" x14ac:dyDescent="0.45">
      <c r="A222" s="4" t="s">
        <v>226</v>
      </c>
      <c r="B222" s="5" t="s">
        <v>18</v>
      </c>
      <c r="C222" s="5">
        <v>113090.56</v>
      </c>
      <c r="D222" s="5">
        <v>54</v>
      </c>
      <c r="E222" s="5">
        <v>0</v>
      </c>
      <c r="F222" s="5">
        <v>0.62729999999999997</v>
      </c>
      <c r="G222" s="5">
        <v>1</v>
      </c>
      <c r="H222" s="5">
        <v>5</v>
      </c>
      <c r="I222" s="5">
        <v>128320.88</v>
      </c>
      <c r="J222" s="5">
        <v>87284</v>
      </c>
      <c r="K222" s="5">
        <v>78</v>
      </c>
      <c r="L222" s="5">
        <v>3</v>
      </c>
      <c r="M222" s="5">
        <v>1</v>
      </c>
      <c r="N222" s="5">
        <v>0</v>
      </c>
      <c r="O222" s="5">
        <v>589.82000000000005</v>
      </c>
      <c r="P222" s="6">
        <v>0</v>
      </c>
    </row>
    <row r="223" spans="1:16" ht="23.4" x14ac:dyDescent="0.45">
      <c r="A223" s="4" t="s">
        <v>227</v>
      </c>
      <c r="B223" s="5" t="s">
        <v>15</v>
      </c>
      <c r="C223" s="5">
        <v>101590.53</v>
      </c>
      <c r="D223" s="5">
        <v>40</v>
      </c>
      <c r="E223" s="5">
        <v>0</v>
      </c>
      <c r="F223" s="5">
        <v>0.69020000000000004</v>
      </c>
      <c r="G223" s="5">
        <v>0.214</v>
      </c>
      <c r="H223" s="5">
        <v>0</v>
      </c>
      <c r="I223" s="5">
        <v>51260.12</v>
      </c>
      <c r="J223" s="5">
        <v>48491.54</v>
      </c>
      <c r="K223" s="5">
        <v>145</v>
      </c>
      <c r="L223" s="5">
        <v>3</v>
      </c>
      <c r="M223" s="5">
        <v>1</v>
      </c>
      <c r="N223" s="5">
        <v>0</v>
      </c>
      <c r="O223" s="5">
        <v>714.26</v>
      </c>
      <c r="P223" s="6">
        <v>0</v>
      </c>
    </row>
    <row r="224" spans="1:16" ht="23.4" x14ac:dyDescent="0.45">
      <c r="A224" s="4" t="s">
        <v>228</v>
      </c>
      <c r="B224" s="5" t="s">
        <v>15</v>
      </c>
      <c r="C224" s="5">
        <v>94425.2</v>
      </c>
      <c r="D224" s="5">
        <v>65</v>
      </c>
      <c r="E224" s="5">
        <v>0</v>
      </c>
      <c r="F224" s="5">
        <v>0.88339999999999996</v>
      </c>
      <c r="G224" s="5">
        <v>0.84009999999999996</v>
      </c>
      <c r="H224" s="5">
        <v>1</v>
      </c>
      <c r="I224" s="5">
        <v>101278.39</v>
      </c>
      <c r="J224" s="5">
        <v>76406.78</v>
      </c>
      <c r="K224" s="5">
        <v>84</v>
      </c>
      <c r="L224" s="5">
        <v>1</v>
      </c>
      <c r="M224" s="5">
        <v>2</v>
      </c>
      <c r="N224" s="5">
        <v>0</v>
      </c>
      <c r="O224" s="5">
        <v>667.74</v>
      </c>
      <c r="P224" s="6">
        <v>0</v>
      </c>
    </row>
    <row r="225" spans="1:16" ht="23.4" x14ac:dyDescent="0.45">
      <c r="A225" s="4" t="s">
        <v>229</v>
      </c>
      <c r="B225" s="5" t="s">
        <v>15</v>
      </c>
      <c r="C225" s="5">
        <v>90791.79</v>
      </c>
      <c r="D225" s="5">
        <v>66</v>
      </c>
      <c r="E225" s="5">
        <v>1</v>
      </c>
      <c r="F225" s="5">
        <v>0.68879999999999997</v>
      </c>
      <c r="G225" s="5">
        <v>0.47360000000000002</v>
      </c>
      <c r="H225" s="5">
        <v>3</v>
      </c>
      <c r="I225" s="5">
        <v>71792.63</v>
      </c>
      <c r="J225" s="5">
        <v>33967.67</v>
      </c>
      <c r="K225" s="5">
        <v>123</v>
      </c>
      <c r="L225" s="5">
        <v>4</v>
      </c>
      <c r="M225" s="5">
        <v>1</v>
      </c>
      <c r="N225" s="5">
        <v>0</v>
      </c>
      <c r="O225" s="5">
        <v>761.03</v>
      </c>
      <c r="P225" s="6">
        <v>0</v>
      </c>
    </row>
    <row r="226" spans="1:16" ht="23.4" x14ac:dyDescent="0.45">
      <c r="A226" s="4" t="s">
        <v>230</v>
      </c>
      <c r="B226" s="5" t="s">
        <v>4</v>
      </c>
      <c r="C226" s="5">
        <v>97553.11</v>
      </c>
      <c r="D226" s="5">
        <v>57</v>
      </c>
      <c r="E226" s="5">
        <v>1</v>
      </c>
      <c r="F226" s="5">
        <v>0.62860000000000005</v>
      </c>
      <c r="G226" s="5">
        <v>0.74060000000000004</v>
      </c>
      <c r="H226" s="5">
        <v>5</v>
      </c>
      <c r="I226" s="5">
        <v>80734.2</v>
      </c>
      <c r="J226" s="5">
        <v>57457.46</v>
      </c>
      <c r="K226" s="5">
        <v>86</v>
      </c>
      <c r="L226" s="5">
        <v>3</v>
      </c>
      <c r="M226" s="5">
        <v>1</v>
      </c>
      <c r="N226" s="5">
        <v>2</v>
      </c>
      <c r="O226" s="5">
        <v>635.82000000000005</v>
      </c>
      <c r="P226" s="6">
        <v>0</v>
      </c>
    </row>
    <row r="227" spans="1:16" ht="23.4" x14ac:dyDescent="0.45">
      <c r="A227" s="4" t="s">
        <v>231</v>
      </c>
      <c r="B227" s="5" t="s">
        <v>1</v>
      </c>
      <c r="C227" s="5">
        <v>133849.12</v>
      </c>
      <c r="D227" s="5">
        <v>33</v>
      </c>
      <c r="E227" s="5">
        <v>0</v>
      </c>
      <c r="F227" s="5">
        <v>0.92500000000000004</v>
      </c>
      <c r="G227" s="5">
        <v>0.72360000000000002</v>
      </c>
      <c r="H227" s="5">
        <v>5</v>
      </c>
      <c r="I227" s="5">
        <v>101329.73</v>
      </c>
      <c r="J227" s="5">
        <v>71423.92</v>
      </c>
      <c r="K227" s="5">
        <v>36</v>
      </c>
      <c r="L227" s="5">
        <v>2</v>
      </c>
      <c r="M227" s="5">
        <v>3</v>
      </c>
      <c r="N227" s="5">
        <v>0</v>
      </c>
      <c r="O227" s="5">
        <v>719.35</v>
      </c>
      <c r="P227" s="6">
        <v>0</v>
      </c>
    </row>
    <row r="228" spans="1:16" ht="23.4" x14ac:dyDescent="0.45">
      <c r="A228" s="4" t="s">
        <v>232</v>
      </c>
      <c r="B228" s="5" t="s">
        <v>18</v>
      </c>
      <c r="C228" s="5">
        <v>87858.39</v>
      </c>
      <c r="D228" s="5">
        <v>31</v>
      </c>
      <c r="E228" s="5">
        <v>0</v>
      </c>
      <c r="F228" s="5">
        <v>0.80059999999999998</v>
      </c>
      <c r="G228" s="5">
        <v>0.47539999999999999</v>
      </c>
      <c r="H228" s="5">
        <v>1</v>
      </c>
      <c r="I228" s="5">
        <v>36039.65</v>
      </c>
      <c r="J228" s="5">
        <v>15516.65</v>
      </c>
      <c r="K228" s="5">
        <v>61</v>
      </c>
      <c r="L228" s="5">
        <v>3</v>
      </c>
      <c r="M228" s="5">
        <v>1</v>
      </c>
      <c r="N228" s="5">
        <v>0</v>
      </c>
      <c r="O228" s="5">
        <v>708.68</v>
      </c>
      <c r="P228" s="6">
        <v>0</v>
      </c>
    </row>
    <row r="229" spans="1:16" ht="23.4" x14ac:dyDescent="0.45">
      <c r="A229" s="4" t="s">
        <v>233</v>
      </c>
      <c r="B229" s="5" t="s">
        <v>6</v>
      </c>
      <c r="C229" s="5">
        <v>132194.65</v>
      </c>
      <c r="D229" s="5">
        <v>64</v>
      </c>
      <c r="E229" s="5">
        <v>0</v>
      </c>
      <c r="F229" s="5">
        <v>0.58809999999999996</v>
      </c>
      <c r="G229" s="5">
        <v>0.84140000000000004</v>
      </c>
      <c r="H229" s="5">
        <v>7</v>
      </c>
      <c r="I229" s="5">
        <v>144057.60000000001</v>
      </c>
      <c r="J229" s="5">
        <v>97738.69</v>
      </c>
      <c r="K229" s="5">
        <v>146</v>
      </c>
      <c r="L229" s="5">
        <v>1</v>
      </c>
      <c r="M229" s="5">
        <v>1</v>
      </c>
      <c r="N229" s="5">
        <v>2</v>
      </c>
      <c r="O229" s="5">
        <v>592.73</v>
      </c>
      <c r="P229" s="6">
        <v>1</v>
      </c>
    </row>
    <row r="230" spans="1:16" ht="23.4" x14ac:dyDescent="0.45">
      <c r="A230" s="4" t="s">
        <v>234</v>
      </c>
      <c r="B230" s="5" t="s">
        <v>9</v>
      </c>
      <c r="C230" s="5">
        <v>174527.08</v>
      </c>
      <c r="D230" s="5">
        <v>35</v>
      </c>
      <c r="E230" s="5">
        <v>1</v>
      </c>
      <c r="F230" s="5">
        <v>0.72829999999999995</v>
      </c>
      <c r="G230" s="5">
        <v>0.71730000000000005</v>
      </c>
      <c r="H230" s="5">
        <v>7</v>
      </c>
      <c r="I230" s="5">
        <v>110487.45</v>
      </c>
      <c r="J230" s="5">
        <v>84498.559999999998</v>
      </c>
      <c r="K230" s="5">
        <v>171</v>
      </c>
      <c r="L230" s="5">
        <v>1</v>
      </c>
      <c r="M230" s="5">
        <v>2</v>
      </c>
      <c r="N230" s="5">
        <v>2</v>
      </c>
      <c r="O230" s="5">
        <v>850</v>
      </c>
      <c r="P230" s="6">
        <v>0</v>
      </c>
    </row>
    <row r="231" spans="1:16" ht="23.4" x14ac:dyDescent="0.45">
      <c r="A231" s="4" t="s">
        <v>235</v>
      </c>
      <c r="B231" s="5" t="s">
        <v>18</v>
      </c>
      <c r="C231" s="5">
        <v>159955.1</v>
      </c>
      <c r="D231" s="5">
        <v>62</v>
      </c>
      <c r="E231" s="5">
        <v>0</v>
      </c>
      <c r="F231" s="5">
        <v>0.60150000000000003</v>
      </c>
      <c r="G231" s="5">
        <v>0.44569999999999999</v>
      </c>
      <c r="H231" s="5">
        <v>6</v>
      </c>
      <c r="I231" s="5">
        <v>55445.81</v>
      </c>
      <c r="J231" s="5">
        <v>34360.85</v>
      </c>
      <c r="K231" s="5">
        <v>124</v>
      </c>
      <c r="L231" s="5">
        <v>1</v>
      </c>
      <c r="M231" s="5">
        <v>3</v>
      </c>
      <c r="N231" s="5">
        <v>0</v>
      </c>
      <c r="O231" s="5">
        <v>701.98</v>
      </c>
      <c r="P231" s="6">
        <v>0</v>
      </c>
    </row>
    <row r="232" spans="1:16" ht="23.4" x14ac:dyDescent="0.45">
      <c r="A232" s="4" t="s">
        <v>236</v>
      </c>
      <c r="B232" s="5" t="s">
        <v>4</v>
      </c>
      <c r="C232" s="5">
        <v>45809.99</v>
      </c>
      <c r="D232" s="5">
        <v>48</v>
      </c>
      <c r="E232" s="5">
        <v>0</v>
      </c>
      <c r="F232" s="5">
        <v>0.70479999999999998</v>
      </c>
      <c r="G232" s="5">
        <v>0.48099999999999998</v>
      </c>
      <c r="H232" s="5">
        <v>4</v>
      </c>
      <c r="I232" s="5">
        <v>26712.41</v>
      </c>
      <c r="J232" s="5">
        <v>24199.11</v>
      </c>
      <c r="K232" s="5">
        <v>44</v>
      </c>
      <c r="L232" s="5">
        <v>1</v>
      </c>
      <c r="M232" s="5">
        <v>2</v>
      </c>
      <c r="N232" s="5">
        <v>0</v>
      </c>
      <c r="O232" s="5">
        <v>678.8</v>
      </c>
      <c r="P232" s="6">
        <v>0</v>
      </c>
    </row>
    <row r="233" spans="1:16" ht="23.4" x14ac:dyDescent="0.45">
      <c r="A233" s="4" t="s">
        <v>237</v>
      </c>
      <c r="B233" s="5" t="s">
        <v>15</v>
      </c>
      <c r="C233" s="5">
        <v>134524.75</v>
      </c>
      <c r="D233" s="5">
        <v>24</v>
      </c>
      <c r="E233" s="5">
        <v>1</v>
      </c>
      <c r="F233" s="5">
        <v>0.86739999999999995</v>
      </c>
      <c r="G233" s="5">
        <v>0.52869999999999995</v>
      </c>
      <c r="H233" s="5">
        <v>1</v>
      </c>
      <c r="I233" s="5">
        <v>81575.899999999994</v>
      </c>
      <c r="J233" s="5">
        <v>62705.2</v>
      </c>
      <c r="K233" s="5">
        <v>145</v>
      </c>
      <c r="L233" s="5">
        <v>3</v>
      </c>
      <c r="M233" s="5">
        <v>3</v>
      </c>
      <c r="N233" s="5">
        <v>1</v>
      </c>
      <c r="O233" s="5">
        <v>668.36</v>
      </c>
      <c r="P233" s="6">
        <v>0</v>
      </c>
    </row>
    <row r="234" spans="1:16" ht="23.4" x14ac:dyDescent="0.45">
      <c r="A234" s="4" t="s">
        <v>238</v>
      </c>
      <c r="B234" s="5" t="s">
        <v>4</v>
      </c>
      <c r="C234" s="5">
        <v>40196.78</v>
      </c>
      <c r="D234" s="5">
        <v>57</v>
      </c>
      <c r="E234" s="5">
        <v>0</v>
      </c>
      <c r="F234" s="5">
        <v>0.63639999999999997</v>
      </c>
      <c r="G234" s="5">
        <v>0.15210000000000001</v>
      </c>
      <c r="H234" s="5">
        <v>1</v>
      </c>
      <c r="I234" s="5">
        <v>11725.81</v>
      </c>
      <c r="J234" s="5">
        <v>14015.6</v>
      </c>
      <c r="K234" s="5">
        <v>62</v>
      </c>
      <c r="L234" s="5">
        <v>1</v>
      </c>
      <c r="M234" s="5">
        <v>2</v>
      </c>
      <c r="N234" s="5">
        <v>0</v>
      </c>
      <c r="O234" s="5">
        <v>738.62</v>
      </c>
      <c r="P234" s="6">
        <v>0</v>
      </c>
    </row>
    <row r="235" spans="1:16" ht="23.4" x14ac:dyDescent="0.45">
      <c r="A235" s="4" t="s">
        <v>239</v>
      </c>
      <c r="B235" s="5" t="s">
        <v>4</v>
      </c>
      <c r="C235" s="5">
        <v>42578.67</v>
      </c>
      <c r="D235" s="5">
        <v>58</v>
      </c>
      <c r="E235" s="5">
        <v>1</v>
      </c>
      <c r="F235" s="5">
        <v>1</v>
      </c>
      <c r="G235" s="5">
        <v>0.39829999999999999</v>
      </c>
      <c r="H235" s="5">
        <v>5</v>
      </c>
      <c r="I235" s="5">
        <v>29870.82</v>
      </c>
      <c r="J235" s="5">
        <v>22370.13</v>
      </c>
      <c r="K235" s="5">
        <v>20</v>
      </c>
      <c r="L235" s="5">
        <v>3</v>
      </c>
      <c r="M235" s="5">
        <v>3</v>
      </c>
      <c r="N235" s="5">
        <v>1</v>
      </c>
      <c r="O235" s="5">
        <v>847.99</v>
      </c>
      <c r="P235" s="6">
        <v>0</v>
      </c>
    </row>
    <row r="236" spans="1:16" ht="23.4" x14ac:dyDescent="0.45">
      <c r="A236" s="4" t="s">
        <v>240</v>
      </c>
      <c r="B236" s="5" t="s">
        <v>1</v>
      </c>
      <c r="C236" s="5">
        <v>9552.68</v>
      </c>
      <c r="D236" s="5">
        <v>32</v>
      </c>
      <c r="E236" s="5">
        <v>0</v>
      </c>
      <c r="F236" s="5">
        <v>1</v>
      </c>
      <c r="G236" s="5">
        <v>0.55000000000000004</v>
      </c>
      <c r="H236" s="5">
        <v>6</v>
      </c>
      <c r="I236" s="5">
        <v>13278.62</v>
      </c>
      <c r="J236" s="5">
        <v>0</v>
      </c>
      <c r="K236" s="5">
        <v>157</v>
      </c>
      <c r="L236" s="5">
        <v>1</v>
      </c>
      <c r="M236" s="5">
        <v>2</v>
      </c>
      <c r="N236" s="5">
        <v>2</v>
      </c>
      <c r="O236" s="5">
        <v>654.87</v>
      </c>
      <c r="P236" s="6">
        <v>0</v>
      </c>
    </row>
    <row r="237" spans="1:16" ht="23.4" x14ac:dyDescent="0.45">
      <c r="A237" s="4" t="s">
        <v>241</v>
      </c>
      <c r="B237" s="5" t="s">
        <v>4</v>
      </c>
      <c r="C237" s="5">
        <v>67466.98</v>
      </c>
      <c r="D237" s="5">
        <v>52</v>
      </c>
      <c r="E237" s="5">
        <v>0</v>
      </c>
      <c r="F237" s="5">
        <v>0.58009999999999995</v>
      </c>
      <c r="G237" s="5">
        <v>0.3594</v>
      </c>
      <c r="H237" s="5">
        <v>3</v>
      </c>
      <c r="I237" s="5">
        <v>25450.240000000002</v>
      </c>
      <c r="J237" s="5">
        <v>14796.43</v>
      </c>
      <c r="K237" s="5">
        <v>128</v>
      </c>
      <c r="L237" s="5">
        <v>1</v>
      </c>
      <c r="M237" s="5">
        <v>3</v>
      </c>
      <c r="N237" s="5">
        <v>0</v>
      </c>
      <c r="O237" s="5">
        <v>683.68</v>
      </c>
      <c r="P237" s="6">
        <v>0</v>
      </c>
    </row>
    <row r="238" spans="1:16" ht="23.4" x14ac:dyDescent="0.45">
      <c r="A238" s="4" t="s">
        <v>242</v>
      </c>
      <c r="B238" s="5" t="s">
        <v>15</v>
      </c>
      <c r="C238" s="5">
        <v>69202.929999999993</v>
      </c>
      <c r="D238" s="5">
        <v>41</v>
      </c>
      <c r="E238" s="5">
        <v>0</v>
      </c>
      <c r="F238" s="5">
        <v>0.26150000000000001</v>
      </c>
      <c r="G238" s="5">
        <v>0.53159999999999996</v>
      </c>
      <c r="H238" s="5">
        <v>4</v>
      </c>
      <c r="I238" s="5">
        <v>34457.660000000003</v>
      </c>
      <c r="J238" s="5">
        <v>13143.2</v>
      </c>
      <c r="K238" s="5">
        <v>34</v>
      </c>
      <c r="L238" s="5">
        <v>3</v>
      </c>
      <c r="M238" s="5">
        <v>2</v>
      </c>
      <c r="N238" s="5">
        <v>3</v>
      </c>
      <c r="O238" s="5">
        <v>538.53</v>
      </c>
      <c r="P238" s="6">
        <v>0</v>
      </c>
    </row>
    <row r="239" spans="1:16" ht="23.4" x14ac:dyDescent="0.45">
      <c r="A239" s="4" t="s">
        <v>243</v>
      </c>
      <c r="B239" s="5" t="s">
        <v>1</v>
      </c>
      <c r="C239" s="5">
        <v>166584.47</v>
      </c>
      <c r="D239" s="5">
        <v>27</v>
      </c>
      <c r="E239" s="5">
        <v>1</v>
      </c>
      <c r="F239" s="5">
        <v>0.60870000000000002</v>
      </c>
      <c r="G239" s="5">
        <v>0.58879999999999999</v>
      </c>
      <c r="H239" s="5">
        <v>7</v>
      </c>
      <c r="I239" s="5">
        <v>94407.46</v>
      </c>
      <c r="J239" s="5">
        <v>50210.62</v>
      </c>
      <c r="K239" s="5">
        <v>130</v>
      </c>
      <c r="L239" s="5">
        <v>2</v>
      </c>
      <c r="M239" s="5">
        <v>1</v>
      </c>
      <c r="N239" s="5">
        <v>3</v>
      </c>
      <c r="O239" s="5">
        <v>709.04</v>
      </c>
      <c r="P239" s="6">
        <v>0</v>
      </c>
    </row>
    <row r="240" spans="1:16" ht="23.4" x14ac:dyDescent="0.45">
      <c r="A240" s="4" t="s">
        <v>244</v>
      </c>
      <c r="B240" s="5" t="s">
        <v>1</v>
      </c>
      <c r="C240" s="5">
        <v>161360.95000000001</v>
      </c>
      <c r="D240" s="5">
        <v>35</v>
      </c>
      <c r="E240" s="5">
        <v>1</v>
      </c>
      <c r="F240" s="5">
        <v>0.54790000000000005</v>
      </c>
      <c r="G240" s="5">
        <v>0.16769999999999999</v>
      </c>
      <c r="H240" s="5">
        <v>0</v>
      </c>
      <c r="I240" s="5">
        <v>9442.18</v>
      </c>
      <c r="J240" s="5">
        <v>14854.59</v>
      </c>
      <c r="K240" s="5">
        <v>81</v>
      </c>
      <c r="L240" s="5">
        <v>1</v>
      </c>
      <c r="M240" s="5">
        <v>2</v>
      </c>
      <c r="N240" s="5">
        <v>2</v>
      </c>
      <c r="O240" s="5">
        <v>759.07</v>
      </c>
      <c r="P240" s="6">
        <v>0</v>
      </c>
    </row>
    <row r="241" spans="1:16" ht="23.4" x14ac:dyDescent="0.45">
      <c r="A241" s="4" t="s">
        <v>245</v>
      </c>
      <c r="B241" s="5" t="s">
        <v>1</v>
      </c>
      <c r="C241" s="5">
        <v>75788.539999999994</v>
      </c>
      <c r="D241" s="5">
        <v>57</v>
      </c>
      <c r="E241" s="5">
        <v>0</v>
      </c>
      <c r="F241" s="5">
        <v>0.96599999999999997</v>
      </c>
      <c r="G241" s="5">
        <v>0.46860000000000002</v>
      </c>
      <c r="H241" s="5">
        <v>7</v>
      </c>
      <c r="I241" s="5">
        <v>16820.14</v>
      </c>
      <c r="J241" s="5">
        <v>15106.09</v>
      </c>
      <c r="K241" s="5">
        <v>133</v>
      </c>
      <c r="L241" s="5">
        <v>1</v>
      </c>
      <c r="M241" s="5">
        <v>2</v>
      </c>
      <c r="N241" s="5">
        <v>0</v>
      </c>
      <c r="O241" s="5">
        <v>804.62</v>
      </c>
      <c r="P241" s="6">
        <v>0</v>
      </c>
    </row>
    <row r="242" spans="1:16" ht="23.4" x14ac:dyDescent="0.45">
      <c r="A242" s="4" t="s">
        <v>246</v>
      </c>
      <c r="B242" s="5" t="s">
        <v>18</v>
      </c>
      <c r="C242" s="5">
        <v>136202.62</v>
      </c>
      <c r="D242" s="5">
        <v>26</v>
      </c>
      <c r="E242" s="5">
        <v>0</v>
      </c>
      <c r="F242" s="5">
        <v>1</v>
      </c>
      <c r="G242" s="5">
        <v>0.56200000000000006</v>
      </c>
      <c r="H242" s="5">
        <v>1</v>
      </c>
      <c r="I242" s="5">
        <v>74787.34</v>
      </c>
      <c r="J242" s="5">
        <v>52654.76</v>
      </c>
      <c r="K242" s="5">
        <v>8</v>
      </c>
      <c r="L242" s="5">
        <v>1</v>
      </c>
      <c r="M242" s="5">
        <v>1</v>
      </c>
      <c r="N242" s="5">
        <v>0</v>
      </c>
      <c r="O242" s="5">
        <v>723.84</v>
      </c>
      <c r="P242" s="6">
        <v>1</v>
      </c>
    </row>
    <row r="243" spans="1:16" ht="23.4" x14ac:dyDescent="0.45">
      <c r="A243" s="4" t="s">
        <v>247</v>
      </c>
      <c r="B243" s="5" t="s">
        <v>1</v>
      </c>
      <c r="C243" s="5">
        <v>111499.26</v>
      </c>
      <c r="D243" s="5">
        <v>45</v>
      </c>
      <c r="E243" s="5">
        <v>1</v>
      </c>
      <c r="F243" s="5">
        <v>0.50690000000000002</v>
      </c>
      <c r="G243" s="5">
        <v>0.49869999999999998</v>
      </c>
      <c r="H243" s="5">
        <v>4</v>
      </c>
      <c r="I243" s="5">
        <v>69020.7</v>
      </c>
      <c r="J243" s="5">
        <v>47083.75</v>
      </c>
      <c r="K243" s="5">
        <v>102</v>
      </c>
      <c r="L243" s="5">
        <v>1</v>
      </c>
      <c r="M243" s="5">
        <v>1</v>
      </c>
      <c r="N243" s="5">
        <v>2</v>
      </c>
      <c r="O243" s="5">
        <v>633.17999999999995</v>
      </c>
      <c r="P243" s="6">
        <v>0</v>
      </c>
    </row>
    <row r="244" spans="1:16" ht="23.4" x14ac:dyDescent="0.45">
      <c r="A244" s="4" t="s">
        <v>248</v>
      </c>
      <c r="B244" s="5" t="s">
        <v>1</v>
      </c>
      <c r="C244" s="5">
        <v>79686.11</v>
      </c>
      <c r="D244" s="5">
        <v>25</v>
      </c>
      <c r="E244" s="5">
        <v>1</v>
      </c>
      <c r="F244" s="5">
        <v>0.59</v>
      </c>
      <c r="G244" s="5">
        <v>0.41980000000000001</v>
      </c>
      <c r="H244" s="5">
        <v>2</v>
      </c>
      <c r="I244" s="5">
        <v>45031.39</v>
      </c>
      <c r="J244" s="5">
        <v>29423.02</v>
      </c>
      <c r="K244" s="5">
        <v>32</v>
      </c>
      <c r="L244" s="5">
        <v>1</v>
      </c>
      <c r="M244" s="5">
        <v>1</v>
      </c>
      <c r="N244" s="5">
        <v>0</v>
      </c>
      <c r="O244" s="5">
        <v>678.68</v>
      </c>
      <c r="P244" s="6">
        <v>0</v>
      </c>
    </row>
    <row r="245" spans="1:16" ht="23.4" x14ac:dyDescent="0.45">
      <c r="A245" s="4" t="s">
        <v>249</v>
      </c>
      <c r="B245" s="5" t="s">
        <v>6</v>
      </c>
      <c r="C245" s="5">
        <v>33727.980000000003</v>
      </c>
      <c r="D245" s="5">
        <v>26</v>
      </c>
      <c r="E245" s="5">
        <v>0</v>
      </c>
      <c r="F245" s="5">
        <v>0.39510000000000001</v>
      </c>
      <c r="G245" s="5">
        <v>1</v>
      </c>
      <c r="H245" s="5">
        <v>8</v>
      </c>
      <c r="I245" s="5">
        <v>19167.03</v>
      </c>
      <c r="J245" s="5">
        <v>113.98</v>
      </c>
      <c r="K245" s="5">
        <v>161</v>
      </c>
      <c r="L245" s="5">
        <v>3</v>
      </c>
      <c r="M245" s="5">
        <v>1</v>
      </c>
      <c r="N245" s="5">
        <v>0</v>
      </c>
      <c r="O245" s="5">
        <v>653.95000000000005</v>
      </c>
      <c r="P245" s="6">
        <v>1</v>
      </c>
    </row>
    <row r="246" spans="1:16" ht="23.4" x14ac:dyDescent="0.45">
      <c r="A246" s="4" t="s">
        <v>250</v>
      </c>
      <c r="B246" s="5" t="s">
        <v>15</v>
      </c>
      <c r="C246" s="5">
        <v>115612.68</v>
      </c>
      <c r="D246" s="5">
        <v>67</v>
      </c>
      <c r="E246" s="5">
        <v>0</v>
      </c>
      <c r="F246" s="5">
        <v>0.98740000000000006</v>
      </c>
      <c r="G246" s="5">
        <v>0.67820000000000003</v>
      </c>
      <c r="H246" s="5">
        <v>3</v>
      </c>
      <c r="I246" s="5">
        <v>71690.17</v>
      </c>
      <c r="J246" s="5">
        <v>51302.92</v>
      </c>
      <c r="K246" s="5">
        <v>30</v>
      </c>
      <c r="L246" s="5">
        <v>1</v>
      </c>
      <c r="M246" s="5">
        <v>2</v>
      </c>
      <c r="N246" s="5">
        <v>2</v>
      </c>
      <c r="O246" s="5">
        <v>746.56</v>
      </c>
      <c r="P246" s="6">
        <v>0</v>
      </c>
    </row>
    <row r="247" spans="1:16" ht="23.4" x14ac:dyDescent="0.45">
      <c r="A247" s="4" t="s">
        <v>251</v>
      </c>
      <c r="B247" s="5" t="s">
        <v>1</v>
      </c>
      <c r="C247" s="5">
        <v>125000.34</v>
      </c>
      <c r="D247" s="5">
        <v>39</v>
      </c>
      <c r="E247" s="5">
        <v>1</v>
      </c>
      <c r="F247" s="5">
        <v>0.82550000000000001</v>
      </c>
      <c r="G247" s="5">
        <v>8.6900000000000005E-2</v>
      </c>
      <c r="H247" s="5">
        <v>0</v>
      </c>
      <c r="I247" s="5">
        <v>11695.76</v>
      </c>
      <c r="J247" s="5">
        <v>11587.95</v>
      </c>
      <c r="K247" s="5">
        <v>26</v>
      </c>
      <c r="L247" s="5">
        <v>2</v>
      </c>
      <c r="M247" s="5">
        <v>1</v>
      </c>
      <c r="N247" s="5">
        <v>1</v>
      </c>
      <c r="O247" s="5">
        <v>824.55</v>
      </c>
      <c r="P247" s="6">
        <v>0</v>
      </c>
    </row>
    <row r="248" spans="1:16" ht="23.4" x14ac:dyDescent="0.45">
      <c r="A248" s="4" t="s">
        <v>252</v>
      </c>
      <c r="B248" s="5" t="s">
        <v>15</v>
      </c>
      <c r="C248" s="5">
        <v>117885.51</v>
      </c>
      <c r="D248" s="5">
        <v>62</v>
      </c>
      <c r="E248" s="5">
        <v>1</v>
      </c>
      <c r="F248" s="5">
        <v>0.60370000000000001</v>
      </c>
      <c r="G248" s="5">
        <v>0.24629999999999999</v>
      </c>
      <c r="H248" s="5">
        <v>1</v>
      </c>
      <c r="I248" s="5">
        <v>39863.99</v>
      </c>
      <c r="J248" s="5">
        <v>20509.57</v>
      </c>
      <c r="K248" s="5">
        <v>120</v>
      </c>
      <c r="L248" s="5">
        <v>1</v>
      </c>
      <c r="M248" s="5">
        <v>1</v>
      </c>
      <c r="N248" s="5">
        <v>0</v>
      </c>
      <c r="O248" s="5">
        <v>742.98</v>
      </c>
      <c r="P248" s="6">
        <v>0</v>
      </c>
    </row>
    <row r="249" spans="1:16" ht="23.4" x14ac:dyDescent="0.45">
      <c r="A249" s="4" t="s">
        <v>253</v>
      </c>
      <c r="B249" s="5" t="s">
        <v>9</v>
      </c>
      <c r="C249" s="5">
        <v>40465</v>
      </c>
      <c r="D249" s="5">
        <v>65</v>
      </c>
      <c r="E249" s="5">
        <v>0</v>
      </c>
      <c r="F249" s="5">
        <v>0.65800000000000003</v>
      </c>
      <c r="G249" s="5">
        <v>0.30809999999999998</v>
      </c>
      <c r="H249" s="5">
        <v>1</v>
      </c>
      <c r="I249" s="5">
        <v>28038.2</v>
      </c>
      <c r="J249" s="5">
        <v>29093.88</v>
      </c>
      <c r="K249" s="5">
        <v>147</v>
      </c>
      <c r="L249" s="5">
        <v>1</v>
      </c>
      <c r="M249" s="5">
        <v>1</v>
      </c>
      <c r="N249" s="5">
        <v>1</v>
      </c>
      <c r="O249" s="5">
        <v>689.66</v>
      </c>
      <c r="P249" s="6">
        <v>0</v>
      </c>
    </row>
    <row r="250" spans="1:16" ht="23.4" x14ac:dyDescent="0.45">
      <c r="A250" s="4" t="s">
        <v>254</v>
      </c>
      <c r="B250" s="5" t="s">
        <v>1</v>
      </c>
      <c r="C250" s="5">
        <v>49315.7</v>
      </c>
      <c r="D250" s="5">
        <v>57</v>
      </c>
      <c r="E250" s="5">
        <v>0</v>
      </c>
      <c r="F250" s="5">
        <v>0.26679999999999998</v>
      </c>
      <c r="G250" s="5">
        <v>0.60929999999999995</v>
      </c>
      <c r="H250" s="5">
        <v>2</v>
      </c>
      <c r="I250" s="5">
        <v>58528.83</v>
      </c>
      <c r="J250" s="5">
        <v>37879.08</v>
      </c>
      <c r="K250" s="5">
        <v>14</v>
      </c>
      <c r="L250" s="5">
        <v>2</v>
      </c>
      <c r="M250" s="5">
        <v>3</v>
      </c>
      <c r="N250" s="5">
        <v>2</v>
      </c>
      <c r="O250" s="5">
        <v>596.55999999999995</v>
      </c>
      <c r="P250" s="6">
        <v>1</v>
      </c>
    </row>
    <row r="251" spans="1:16" ht="23.4" x14ac:dyDescent="0.45">
      <c r="A251" s="4" t="s">
        <v>255</v>
      </c>
      <c r="B251" s="5" t="s">
        <v>4</v>
      </c>
      <c r="C251" s="5">
        <v>33756.870000000003</v>
      </c>
      <c r="D251" s="5">
        <v>69</v>
      </c>
      <c r="E251" s="5">
        <v>0</v>
      </c>
      <c r="F251" s="5">
        <v>0.23680000000000001</v>
      </c>
      <c r="G251" s="5">
        <v>0.59199999999999997</v>
      </c>
      <c r="H251" s="5">
        <v>4</v>
      </c>
      <c r="I251" s="5">
        <v>28965.14</v>
      </c>
      <c r="J251" s="5">
        <v>15161.39</v>
      </c>
      <c r="K251" s="5">
        <v>26</v>
      </c>
      <c r="L251" s="5">
        <v>4</v>
      </c>
      <c r="M251" s="5">
        <v>1</v>
      </c>
      <c r="N251" s="5">
        <v>3</v>
      </c>
      <c r="O251" s="5">
        <v>647.64</v>
      </c>
      <c r="P251" s="6">
        <v>0</v>
      </c>
    </row>
    <row r="252" spans="1:16" ht="23.4" x14ac:dyDescent="0.45">
      <c r="A252" s="4" t="s">
        <v>256</v>
      </c>
      <c r="B252" s="5" t="s">
        <v>18</v>
      </c>
      <c r="C252" s="5">
        <v>107523.92</v>
      </c>
      <c r="D252" s="5">
        <v>67</v>
      </c>
      <c r="E252" s="5">
        <v>1</v>
      </c>
      <c r="F252" s="5">
        <v>0.56659999999999999</v>
      </c>
      <c r="G252" s="5">
        <v>0.47989999999999999</v>
      </c>
      <c r="H252" s="5">
        <v>3</v>
      </c>
      <c r="I252" s="5">
        <v>40084.82</v>
      </c>
      <c r="J252" s="5">
        <v>30324.61</v>
      </c>
      <c r="K252" s="5">
        <v>89</v>
      </c>
      <c r="L252" s="5">
        <v>3</v>
      </c>
      <c r="M252" s="5">
        <v>2</v>
      </c>
      <c r="N252" s="5">
        <v>2</v>
      </c>
      <c r="O252" s="5">
        <v>772.48</v>
      </c>
      <c r="P252" s="6">
        <v>0</v>
      </c>
    </row>
    <row r="253" spans="1:16" ht="23.4" x14ac:dyDescent="0.45">
      <c r="A253" s="4" t="s">
        <v>257</v>
      </c>
      <c r="B253" s="5" t="s">
        <v>1</v>
      </c>
      <c r="C253" s="5">
        <v>95422.24</v>
      </c>
      <c r="D253" s="5">
        <v>47</v>
      </c>
      <c r="E253" s="5">
        <v>0</v>
      </c>
      <c r="F253" s="5">
        <v>0.78659999999999997</v>
      </c>
      <c r="G253" s="5">
        <v>0.49249999999999999</v>
      </c>
      <c r="H253" s="5">
        <v>1</v>
      </c>
      <c r="I253" s="5">
        <v>38933.980000000003</v>
      </c>
      <c r="J253" s="5">
        <v>31410.43</v>
      </c>
      <c r="K253" s="5">
        <v>33</v>
      </c>
      <c r="L253" s="5">
        <v>2</v>
      </c>
      <c r="M253" s="5">
        <v>1</v>
      </c>
      <c r="N253" s="5">
        <v>0</v>
      </c>
      <c r="O253" s="5">
        <v>698.95</v>
      </c>
      <c r="P253" s="6">
        <v>0</v>
      </c>
    </row>
    <row r="254" spans="1:16" ht="23.4" x14ac:dyDescent="0.45">
      <c r="A254" s="4" t="s">
        <v>258</v>
      </c>
      <c r="B254" s="5" t="s">
        <v>15</v>
      </c>
      <c r="C254" s="5">
        <v>64252.26</v>
      </c>
      <c r="D254" s="5">
        <v>45</v>
      </c>
      <c r="E254" s="5">
        <v>0</v>
      </c>
      <c r="F254" s="5">
        <v>0.871</v>
      </c>
      <c r="G254" s="5">
        <v>0.21659999999999999</v>
      </c>
      <c r="H254" s="5">
        <v>0</v>
      </c>
      <c r="I254" s="5">
        <v>4824.91</v>
      </c>
      <c r="J254" s="5">
        <v>4439.8900000000003</v>
      </c>
      <c r="K254" s="5">
        <v>109</v>
      </c>
      <c r="L254" s="5">
        <v>1</v>
      </c>
      <c r="M254" s="5">
        <v>2</v>
      </c>
      <c r="N254" s="5">
        <v>1</v>
      </c>
      <c r="O254" s="5">
        <v>850</v>
      </c>
      <c r="P254" s="6">
        <v>0</v>
      </c>
    </row>
    <row r="255" spans="1:16" ht="23.4" x14ac:dyDescent="0.45">
      <c r="A255" s="4" t="s">
        <v>259</v>
      </c>
      <c r="B255" s="5" t="s">
        <v>6</v>
      </c>
      <c r="C255" s="5">
        <v>112792.13</v>
      </c>
      <c r="D255" s="5">
        <v>36</v>
      </c>
      <c r="E255" s="5">
        <v>1</v>
      </c>
      <c r="F255" s="5">
        <v>0.9163</v>
      </c>
      <c r="G255" s="5">
        <v>0.48649999999999999</v>
      </c>
      <c r="H255" s="5">
        <v>3</v>
      </c>
      <c r="I255" s="5">
        <v>69257.3</v>
      </c>
      <c r="J255" s="5">
        <v>45633.3</v>
      </c>
      <c r="K255" s="5">
        <v>85</v>
      </c>
      <c r="L255" s="5">
        <v>1</v>
      </c>
      <c r="M255" s="5">
        <v>1</v>
      </c>
      <c r="N255" s="5">
        <v>1</v>
      </c>
      <c r="O255" s="5">
        <v>811.8</v>
      </c>
      <c r="P255" s="6">
        <v>0</v>
      </c>
    </row>
    <row r="256" spans="1:16" ht="23.4" x14ac:dyDescent="0.45">
      <c r="A256" s="4" t="s">
        <v>260</v>
      </c>
      <c r="B256" s="5" t="s">
        <v>6</v>
      </c>
      <c r="C256" s="5">
        <v>106427.41</v>
      </c>
      <c r="D256" s="5">
        <v>68</v>
      </c>
      <c r="E256" s="5">
        <v>1</v>
      </c>
      <c r="F256" s="5">
        <v>0.62119999999999997</v>
      </c>
      <c r="G256" s="5">
        <v>0</v>
      </c>
      <c r="H256" s="5">
        <v>2</v>
      </c>
      <c r="I256" s="5">
        <v>500</v>
      </c>
      <c r="J256" s="5">
        <v>8569.98</v>
      </c>
      <c r="K256" s="5">
        <v>171</v>
      </c>
      <c r="L256" s="5">
        <v>1</v>
      </c>
      <c r="M256" s="5">
        <v>1</v>
      </c>
      <c r="N256" s="5">
        <v>2</v>
      </c>
      <c r="O256" s="5">
        <v>666.89</v>
      </c>
      <c r="P256" s="6">
        <v>0</v>
      </c>
    </row>
    <row r="257" spans="1:16" ht="23.4" x14ac:dyDescent="0.45">
      <c r="A257" s="4" t="s">
        <v>261</v>
      </c>
      <c r="B257" s="5" t="s">
        <v>15</v>
      </c>
      <c r="C257" s="5">
        <v>118529.26</v>
      </c>
      <c r="D257" s="5">
        <v>44</v>
      </c>
      <c r="E257" s="5">
        <v>1</v>
      </c>
      <c r="F257" s="5">
        <v>0.80389999999999995</v>
      </c>
      <c r="G257" s="5">
        <v>0.12859999999999999</v>
      </c>
      <c r="H257" s="5">
        <v>2</v>
      </c>
      <c r="I257" s="5">
        <v>26131.33</v>
      </c>
      <c r="J257" s="5">
        <v>14539.3</v>
      </c>
      <c r="K257" s="5">
        <v>140</v>
      </c>
      <c r="L257" s="5">
        <v>3</v>
      </c>
      <c r="M257" s="5">
        <v>1</v>
      </c>
      <c r="N257" s="5">
        <v>0</v>
      </c>
      <c r="O257" s="5">
        <v>734.79</v>
      </c>
      <c r="P257" s="6">
        <v>0</v>
      </c>
    </row>
    <row r="258" spans="1:16" ht="23.4" x14ac:dyDescent="0.45">
      <c r="A258" s="4" t="s">
        <v>262</v>
      </c>
      <c r="B258" s="5" t="s">
        <v>18</v>
      </c>
      <c r="C258" s="5">
        <v>107718.08</v>
      </c>
      <c r="D258" s="5">
        <v>50</v>
      </c>
      <c r="E258" s="5">
        <v>1</v>
      </c>
      <c r="F258" s="5">
        <v>0.57050000000000001</v>
      </c>
      <c r="G258" s="5">
        <v>0.62450000000000006</v>
      </c>
      <c r="H258" s="5">
        <v>4</v>
      </c>
      <c r="I258" s="5">
        <v>71791.69</v>
      </c>
      <c r="J258" s="5">
        <v>52380.59</v>
      </c>
      <c r="K258" s="5">
        <v>124</v>
      </c>
      <c r="L258" s="5">
        <v>2</v>
      </c>
      <c r="M258" s="5">
        <v>2</v>
      </c>
      <c r="N258" s="5">
        <v>0</v>
      </c>
      <c r="O258" s="5">
        <v>725.36</v>
      </c>
      <c r="P258" s="6">
        <v>0</v>
      </c>
    </row>
    <row r="259" spans="1:16" ht="23.4" x14ac:dyDescent="0.45">
      <c r="A259" s="4" t="s">
        <v>263</v>
      </c>
      <c r="B259" s="5" t="s">
        <v>15</v>
      </c>
      <c r="C259" s="5">
        <v>98291.01</v>
      </c>
      <c r="D259" s="5">
        <v>32</v>
      </c>
      <c r="E259" s="5">
        <v>1</v>
      </c>
      <c r="F259" s="5">
        <v>0.92</v>
      </c>
      <c r="G259" s="5">
        <v>0.33040000000000003</v>
      </c>
      <c r="H259" s="5">
        <v>0</v>
      </c>
      <c r="I259" s="5">
        <v>28103.79</v>
      </c>
      <c r="J259" s="5">
        <v>24822.33</v>
      </c>
      <c r="K259" s="5">
        <v>29</v>
      </c>
      <c r="L259" s="5">
        <v>1</v>
      </c>
      <c r="M259" s="5">
        <v>1</v>
      </c>
      <c r="N259" s="5">
        <v>0</v>
      </c>
      <c r="O259" s="5">
        <v>694.41</v>
      </c>
      <c r="P259" s="6">
        <v>0</v>
      </c>
    </row>
    <row r="260" spans="1:16" ht="23.4" x14ac:dyDescent="0.45">
      <c r="A260" s="4" t="s">
        <v>264</v>
      </c>
      <c r="B260" s="5" t="s">
        <v>1</v>
      </c>
      <c r="C260" s="5">
        <v>176621.69</v>
      </c>
      <c r="D260" s="5">
        <v>62</v>
      </c>
      <c r="E260" s="5">
        <v>0</v>
      </c>
      <c r="F260" s="5">
        <v>0.61370000000000002</v>
      </c>
      <c r="G260" s="5">
        <v>0.42649999999999999</v>
      </c>
      <c r="H260" s="5">
        <v>4</v>
      </c>
      <c r="I260" s="5">
        <v>64893.95</v>
      </c>
      <c r="J260" s="5">
        <v>34065.86</v>
      </c>
      <c r="K260" s="5">
        <v>180</v>
      </c>
      <c r="L260" s="5">
        <v>1</v>
      </c>
      <c r="M260" s="5">
        <v>3</v>
      </c>
      <c r="N260" s="5">
        <v>1</v>
      </c>
      <c r="O260" s="5">
        <v>683.23</v>
      </c>
      <c r="P260" s="6">
        <v>0</v>
      </c>
    </row>
    <row r="261" spans="1:16" ht="23.4" x14ac:dyDescent="0.45">
      <c r="A261" s="4" t="s">
        <v>265</v>
      </c>
      <c r="B261" s="5" t="s">
        <v>6</v>
      </c>
      <c r="C261" s="5">
        <v>86517.38</v>
      </c>
      <c r="D261" s="5">
        <v>40</v>
      </c>
      <c r="E261" s="5">
        <v>1</v>
      </c>
      <c r="F261" s="5">
        <v>0.62709999999999999</v>
      </c>
      <c r="G261" s="5">
        <v>1.77E-2</v>
      </c>
      <c r="H261" s="5">
        <v>0</v>
      </c>
      <c r="I261" s="5">
        <v>33006.449999999997</v>
      </c>
      <c r="J261" s="5">
        <v>26764.93</v>
      </c>
      <c r="K261" s="5">
        <v>61</v>
      </c>
      <c r="L261" s="5">
        <v>2</v>
      </c>
      <c r="M261" s="5">
        <v>2</v>
      </c>
      <c r="N261" s="5">
        <v>2</v>
      </c>
      <c r="O261" s="5">
        <v>670.42</v>
      </c>
      <c r="P261" s="6">
        <v>0</v>
      </c>
    </row>
    <row r="262" spans="1:16" ht="23.4" x14ac:dyDescent="0.45">
      <c r="A262" s="4" t="s">
        <v>266</v>
      </c>
      <c r="B262" s="5" t="s">
        <v>15</v>
      </c>
      <c r="C262" s="5">
        <v>133114.35</v>
      </c>
      <c r="D262" s="5">
        <v>63</v>
      </c>
      <c r="E262" s="5">
        <v>0</v>
      </c>
      <c r="F262" s="5">
        <v>0.84350000000000003</v>
      </c>
      <c r="G262" s="5">
        <v>0.86750000000000005</v>
      </c>
      <c r="H262" s="5">
        <v>4</v>
      </c>
      <c r="I262" s="5">
        <v>96831.52</v>
      </c>
      <c r="J262" s="5">
        <v>67360.06</v>
      </c>
      <c r="K262" s="5">
        <v>78</v>
      </c>
      <c r="L262" s="5">
        <v>1</v>
      </c>
      <c r="M262" s="5">
        <v>1</v>
      </c>
      <c r="N262" s="5">
        <v>0</v>
      </c>
      <c r="O262" s="5">
        <v>767.42</v>
      </c>
      <c r="P262" s="6">
        <v>0</v>
      </c>
    </row>
    <row r="263" spans="1:16" ht="23.4" x14ac:dyDescent="0.45">
      <c r="A263" s="4" t="s">
        <v>267</v>
      </c>
      <c r="B263" s="5" t="s">
        <v>9</v>
      </c>
      <c r="C263" s="5">
        <v>85296.3</v>
      </c>
      <c r="D263" s="5">
        <v>37</v>
      </c>
      <c r="E263" s="5">
        <v>0</v>
      </c>
      <c r="F263" s="5">
        <v>0.42570000000000002</v>
      </c>
      <c r="G263" s="5">
        <v>0</v>
      </c>
      <c r="H263" s="5">
        <v>0</v>
      </c>
      <c r="I263" s="5">
        <v>500</v>
      </c>
      <c r="J263" s="5">
        <v>0</v>
      </c>
      <c r="K263" s="5">
        <v>20</v>
      </c>
      <c r="L263" s="5">
        <v>3</v>
      </c>
      <c r="M263" s="5">
        <v>2</v>
      </c>
      <c r="N263" s="5">
        <v>1</v>
      </c>
      <c r="O263" s="5">
        <v>696.26</v>
      </c>
      <c r="P263" s="6">
        <v>0</v>
      </c>
    </row>
    <row r="264" spans="1:16" ht="23.4" x14ac:dyDescent="0.45">
      <c r="A264" s="4" t="s">
        <v>268</v>
      </c>
      <c r="B264" s="5" t="s">
        <v>6</v>
      </c>
      <c r="C264" s="5">
        <v>59682.54</v>
      </c>
      <c r="D264" s="5">
        <v>62</v>
      </c>
      <c r="E264" s="5">
        <v>0</v>
      </c>
      <c r="F264" s="5">
        <v>0.41010000000000002</v>
      </c>
      <c r="G264" s="5">
        <v>0.19070000000000001</v>
      </c>
      <c r="H264" s="5">
        <v>1</v>
      </c>
      <c r="I264" s="5">
        <v>24119.9</v>
      </c>
      <c r="J264" s="5">
        <v>9106.5499999999993</v>
      </c>
      <c r="K264" s="5">
        <v>15</v>
      </c>
      <c r="L264" s="5">
        <v>2</v>
      </c>
      <c r="M264" s="5">
        <v>3</v>
      </c>
      <c r="N264" s="5">
        <v>2</v>
      </c>
      <c r="O264" s="5">
        <v>631.54</v>
      </c>
      <c r="P264" s="6">
        <v>0</v>
      </c>
    </row>
    <row r="265" spans="1:16" ht="23.4" x14ac:dyDescent="0.45">
      <c r="A265" s="4" t="s">
        <v>269</v>
      </c>
      <c r="B265" s="5" t="s">
        <v>6</v>
      </c>
      <c r="C265" s="5">
        <v>149294.07</v>
      </c>
      <c r="D265" s="5">
        <v>61</v>
      </c>
      <c r="E265" s="5">
        <v>0</v>
      </c>
      <c r="F265" s="5">
        <v>0.79469999999999996</v>
      </c>
      <c r="G265" s="5">
        <v>0</v>
      </c>
      <c r="H265" s="5">
        <v>0</v>
      </c>
      <c r="I265" s="5">
        <v>500</v>
      </c>
      <c r="J265" s="5">
        <v>9010.4</v>
      </c>
      <c r="K265" s="5">
        <v>148</v>
      </c>
      <c r="L265" s="5">
        <v>1</v>
      </c>
      <c r="M265" s="5">
        <v>1</v>
      </c>
      <c r="N265" s="5">
        <v>0</v>
      </c>
      <c r="O265" s="5">
        <v>650.42999999999995</v>
      </c>
      <c r="P265" s="6">
        <v>0</v>
      </c>
    </row>
    <row r="266" spans="1:16" ht="23.4" x14ac:dyDescent="0.45">
      <c r="A266" s="4" t="s">
        <v>270</v>
      </c>
      <c r="B266" s="5" t="s">
        <v>6</v>
      </c>
      <c r="C266" s="5">
        <v>117366.22</v>
      </c>
      <c r="D266" s="5">
        <v>32</v>
      </c>
      <c r="E266" s="5">
        <v>0</v>
      </c>
      <c r="F266" s="5">
        <v>0.38319999999999999</v>
      </c>
      <c r="G266" s="5">
        <v>0.90649999999999997</v>
      </c>
      <c r="H266" s="5">
        <v>4</v>
      </c>
      <c r="I266" s="5">
        <v>100381.52</v>
      </c>
      <c r="J266" s="5">
        <v>50859.59</v>
      </c>
      <c r="K266" s="5">
        <v>63</v>
      </c>
      <c r="L266" s="5">
        <v>2</v>
      </c>
      <c r="M266" s="5">
        <v>1</v>
      </c>
      <c r="N266" s="5">
        <v>1</v>
      </c>
      <c r="O266" s="5">
        <v>600.66999999999996</v>
      </c>
      <c r="P266" s="6">
        <v>0</v>
      </c>
    </row>
    <row r="267" spans="1:16" ht="23.4" x14ac:dyDescent="0.45">
      <c r="A267" s="4" t="s">
        <v>271</v>
      </c>
      <c r="B267" s="5" t="s">
        <v>6</v>
      </c>
      <c r="C267" s="5">
        <v>120499.44</v>
      </c>
      <c r="D267" s="5">
        <v>28</v>
      </c>
      <c r="E267" s="5">
        <v>0</v>
      </c>
      <c r="F267" s="5">
        <v>0.30559999999999998</v>
      </c>
      <c r="G267" s="5">
        <v>0.49230000000000002</v>
      </c>
      <c r="H267" s="5">
        <v>0</v>
      </c>
      <c r="I267" s="5">
        <v>41253.800000000003</v>
      </c>
      <c r="J267" s="5">
        <v>36679.89</v>
      </c>
      <c r="K267" s="5">
        <v>134</v>
      </c>
      <c r="L267" s="5">
        <v>1</v>
      </c>
      <c r="M267" s="5">
        <v>2</v>
      </c>
      <c r="N267" s="5">
        <v>1</v>
      </c>
      <c r="O267" s="5">
        <v>701.76</v>
      </c>
      <c r="P267" s="6">
        <v>0</v>
      </c>
    </row>
    <row r="268" spans="1:16" ht="23.4" x14ac:dyDescent="0.45">
      <c r="A268" s="4" t="s">
        <v>272</v>
      </c>
      <c r="B268" s="5" t="s">
        <v>4</v>
      </c>
      <c r="C268" s="5">
        <v>107711.61</v>
      </c>
      <c r="D268" s="5">
        <v>33</v>
      </c>
      <c r="E268" s="5">
        <v>1</v>
      </c>
      <c r="F268" s="5">
        <v>0.61709999999999998</v>
      </c>
      <c r="G268" s="5">
        <v>0</v>
      </c>
      <c r="H268" s="5">
        <v>5</v>
      </c>
      <c r="I268" s="5">
        <v>34454.28</v>
      </c>
      <c r="J268" s="5">
        <v>7629.59</v>
      </c>
      <c r="K268" s="5">
        <v>42</v>
      </c>
      <c r="L268" s="5">
        <v>1</v>
      </c>
      <c r="M268" s="5">
        <v>2</v>
      </c>
      <c r="N268" s="5">
        <v>1</v>
      </c>
      <c r="O268" s="5">
        <v>639.58000000000004</v>
      </c>
      <c r="P268" s="6">
        <v>0</v>
      </c>
    </row>
    <row r="269" spans="1:16" ht="23.4" x14ac:dyDescent="0.45">
      <c r="A269" s="4" t="s">
        <v>273</v>
      </c>
      <c r="B269" s="5" t="s">
        <v>18</v>
      </c>
      <c r="C269" s="5">
        <v>94953.55</v>
      </c>
      <c r="D269" s="5">
        <v>61</v>
      </c>
      <c r="E269" s="5">
        <v>0</v>
      </c>
      <c r="F269" s="5">
        <v>0.90500000000000003</v>
      </c>
      <c r="G269" s="5">
        <v>0.49780000000000002</v>
      </c>
      <c r="H269" s="5">
        <v>4</v>
      </c>
      <c r="I269" s="5">
        <v>72278.75</v>
      </c>
      <c r="J269" s="5">
        <v>50905.94</v>
      </c>
      <c r="K269" s="5">
        <v>28</v>
      </c>
      <c r="L269" s="5">
        <v>1</v>
      </c>
      <c r="M269" s="5">
        <v>1</v>
      </c>
      <c r="N269" s="5">
        <v>0</v>
      </c>
      <c r="O269" s="5">
        <v>702.52</v>
      </c>
      <c r="P269" s="6">
        <v>0</v>
      </c>
    </row>
    <row r="270" spans="1:16" ht="23.4" x14ac:dyDescent="0.45">
      <c r="A270" s="4" t="s">
        <v>274</v>
      </c>
      <c r="B270" s="5" t="s">
        <v>15</v>
      </c>
      <c r="C270" s="5">
        <v>85690.17</v>
      </c>
      <c r="D270" s="5">
        <v>55</v>
      </c>
      <c r="E270" s="5">
        <v>1</v>
      </c>
      <c r="F270" s="5">
        <v>0.70269999999999999</v>
      </c>
      <c r="G270" s="5">
        <v>0.47549999999999998</v>
      </c>
      <c r="H270" s="5">
        <v>5</v>
      </c>
      <c r="I270" s="5">
        <v>53923.64</v>
      </c>
      <c r="J270" s="5">
        <v>37350.39</v>
      </c>
      <c r="K270" s="5">
        <v>141</v>
      </c>
      <c r="L270" s="5">
        <v>1</v>
      </c>
      <c r="M270" s="5">
        <v>2</v>
      </c>
      <c r="N270" s="5">
        <v>1</v>
      </c>
      <c r="O270" s="5">
        <v>696.97</v>
      </c>
      <c r="P270" s="6">
        <v>0</v>
      </c>
    </row>
    <row r="271" spans="1:16" ht="23.4" x14ac:dyDescent="0.45">
      <c r="A271" s="4" t="s">
        <v>275</v>
      </c>
      <c r="B271" s="5" t="s">
        <v>6</v>
      </c>
      <c r="C271" s="5">
        <v>159205.07</v>
      </c>
      <c r="D271" s="5">
        <v>29</v>
      </c>
      <c r="E271" s="5">
        <v>1</v>
      </c>
      <c r="F271" s="5">
        <v>0.88900000000000001</v>
      </c>
      <c r="G271" s="5">
        <v>0.57789999999999997</v>
      </c>
      <c r="H271" s="5">
        <v>3</v>
      </c>
      <c r="I271" s="5">
        <v>97176.9</v>
      </c>
      <c r="J271" s="5">
        <v>92112.61</v>
      </c>
      <c r="K271" s="5">
        <v>122</v>
      </c>
      <c r="L271" s="5">
        <v>2</v>
      </c>
      <c r="M271" s="5">
        <v>2</v>
      </c>
      <c r="N271" s="5">
        <v>0</v>
      </c>
      <c r="O271" s="5">
        <v>751.85</v>
      </c>
      <c r="P271" s="6">
        <v>0</v>
      </c>
    </row>
    <row r="272" spans="1:16" ht="23.4" x14ac:dyDescent="0.45">
      <c r="A272" s="4" t="s">
        <v>276</v>
      </c>
      <c r="B272" s="5" t="s">
        <v>18</v>
      </c>
      <c r="C272" s="5">
        <v>131210.03</v>
      </c>
      <c r="D272" s="5">
        <v>52</v>
      </c>
      <c r="E272" s="5">
        <v>0</v>
      </c>
      <c r="F272" s="5">
        <v>0.69479999999999997</v>
      </c>
      <c r="G272" s="5">
        <v>0.29759999999999998</v>
      </c>
      <c r="H272" s="5">
        <v>3</v>
      </c>
      <c r="I272" s="5">
        <v>70844.67</v>
      </c>
      <c r="J272" s="5">
        <v>42290.39</v>
      </c>
      <c r="K272" s="5">
        <v>109</v>
      </c>
      <c r="L272" s="5">
        <v>1</v>
      </c>
      <c r="M272" s="5">
        <v>1</v>
      </c>
      <c r="N272" s="5">
        <v>3</v>
      </c>
      <c r="O272" s="5">
        <v>712.62</v>
      </c>
      <c r="P272" s="6">
        <v>0</v>
      </c>
    </row>
    <row r="273" spans="1:16" ht="23.4" x14ac:dyDescent="0.45">
      <c r="A273" s="4" t="s">
        <v>277</v>
      </c>
      <c r="B273" s="5" t="s">
        <v>15</v>
      </c>
      <c r="C273" s="5">
        <v>99192.639999999999</v>
      </c>
      <c r="D273" s="5">
        <v>28</v>
      </c>
      <c r="E273" s="5">
        <v>0</v>
      </c>
      <c r="F273" s="5">
        <v>0.50600000000000001</v>
      </c>
      <c r="G273" s="5">
        <v>0.66949999999999998</v>
      </c>
      <c r="H273" s="5">
        <v>8</v>
      </c>
      <c r="I273" s="5">
        <v>73548.22</v>
      </c>
      <c r="J273" s="5">
        <v>43946.82</v>
      </c>
      <c r="K273" s="5">
        <v>18</v>
      </c>
      <c r="L273" s="5">
        <v>2</v>
      </c>
      <c r="M273" s="5">
        <v>1</v>
      </c>
      <c r="N273" s="5">
        <v>0</v>
      </c>
      <c r="O273" s="5">
        <v>731.34</v>
      </c>
      <c r="P273" s="6">
        <v>0</v>
      </c>
    </row>
    <row r="274" spans="1:16" ht="23.4" x14ac:dyDescent="0.45">
      <c r="A274" s="4" t="s">
        <v>278</v>
      </c>
      <c r="B274" s="5" t="s">
        <v>15</v>
      </c>
      <c r="C274" s="5">
        <v>111307.31</v>
      </c>
      <c r="D274" s="5">
        <v>49</v>
      </c>
      <c r="E274" s="5">
        <v>0</v>
      </c>
      <c r="F274" s="5">
        <v>0.72960000000000003</v>
      </c>
      <c r="G274" s="5">
        <v>0.17019999999999999</v>
      </c>
      <c r="H274" s="5">
        <v>3</v>
      </c>
      <c r="I274" s="5">
        <v>10410.34</v>
      </c>
      <c r="J274" s="5">
        <v>7941.15</v>
      </c>
      <c r="K274" s="5">
        <v>167</v>
      </c>
      <c r="L274" s="5">
        <v>1</v>
      </c>
      <c r="M274" s="5">
        <v>1</v>
      </c>
      <c r="N274" s="5">
        <v>0</v>
      </c>
      <c r="O274" s="5">
        <v>640.83000000000004</v>
      </c>
      <c r="P274" s="6">
        <v>0</v>
      </c>
    </row>
    <row r="275" spans="1:16" ht="23.4" x14ac:dyDescent="0.45">
      <c r="A275" s="4" t="s">
        <v>279</v>
      </c>
      <c r="B275" s="5" t="s">
        <v>4</v>
      </c>
      <c r="C275" s="5">
        <v>82003.17</v>
      </c>
      <c r="D275" s="5">
        <v>47</v>
      </c>
      <c r="E275" s="5">
        <v>1</v>
      </c>
      <c r="F275" s="5">
        <v>0.74570000000000003</v>
      </c>
      <c r="G275" s="5">
        <v>0.29709999999999998</v>
      </c>
      <c r="H275" s="5">
        <v>2</v>
      </c>
      <c r="I275" s="5">
        <v>16998.38</v>
      </c>
      <c r="J275" s="5">
        <v>14729.65</v>
      </c>
      <c r="K275" s="5">
        <v>56</v>
      </c>
      <c r="L275" s="5">
        <v>2</v>
      </c>
      <c r="M275" s="5">
        <v>2</v>
      </c>
      <c r="N275" s="5">
        <v>2</v>
      </c>
      <c r="O275" s="5">
        <v>734.39</v>
      </c>
      <c r="P275" s="6">
        <v>0</v>
      </c>
    </row>
    <row r="276" spans="1:16" ht="23.4" x14ac:dyDescent="0.45">
      <c r="A276" s="4" t="s">
        <v>280</v>
      </c>
      <c r="B276" s="5" t="s">
        <v>4</v>
      </c>
      <c r="C276" s="5">
        <v>61012.9</v>
      </c>
      <c r="D276" s="5">
        <v>31</v>
      </c>
      <c r="E276" s="5">
        <v>1</v>
      </c>
      <c r="F276" s="5">
        <v>0.8599</v>
      </c>
      <c r="G276" s="5">
        <v>0.68389999999999995</v>
      </c>
      <c r="H276" s="5">
        <v>4</v>
      </c>
      <c r="I276" s="5">
        <v>50890.45</v>
      </c>
      <c r="J276" s="5">
        <v>55814.96</v>
      </c>
      <c r="K276" s="5">
        <v>90</v>
      </c>
      <c r="L276" s="5">
        <v>1</v>
      </c>
      <c r="M276" s="5">
        <v>1</v>
      </c>
      <c r="N276" s="5">
        <v>0</v>
      </c>
      <c r="O276" s="5">
        <v>758.75</v>
      </c>
      <c r="P276" s="6">
        <v>0</v>
      </c>
    </row>
    <row r="277" spans="1:16" ht="23.4" x14ac:dyDescent="0.45">
      <c r="A277" s="4" t="s">
        <v>230</v>
      </c>
      <c r="B277" s="5" t="s">
        <v>9</v>
      </c>
      <c r="C277" s="5">
        <v>127602.75</v>
      </c>
      <c r="D277" s="5">
        <v>26</v>
      </c>
      <c r="E277" s="5">
        <v>0</v>
      </c>
      <c r="F277" s="5">
        <v>0.71460000000000001</v>
      </c>
      <c r="G277" s="5">
        <v>0.3029</v>
      </c>
      <c r="H277" s="5">
        <v>1</v>
      </c>
      <c r="I277" s="5">
        <v>6573.75</v>
      </c>
      <c r="J277" s="5">
        <v>0</v>
      </c>
      <c r="K277" s="5">
        <v>81</v>
      </c>
      <c r="L277" s="5">
        <v>1</v>
      </c>
      <c r="M277" s="5">
        <v>1</v>
      </c>
      <c r="N277" s="5">
        <v>2</v>
      </c>
      <c r="O277" s="5">
        <v>659.31</v>
      </c>
      <c r="P277" s="6">
        <v>0</v>
      </c>
    </row>
    <row r="278" spans="1:16" ht="23.4" x14ac:dyDescent="0.45">
      <c r="A278" s="4" t="s">
        <v>281</v>
      </c>
      <c r="B278" s="5" t="s">
        <v>15</v>
      </c>
      <c r="C278" s="5">
        <v>115482.28</v>
      </c>
      <c r="D278" s="5">
        <v>64</v>
      </c>
      <c r="E278" s="5">
        <v>0</v>
      </c>
      <c r="F278" s="5">
        <v>0.54869999999999997</v>
      </c>
      <c r="G278" s="5">
        <v>0.24279999999999999</v>
      </c>
      <c r="H278" s="5">
        <v>5</v>
      </c>
      <c r="I278" s="5">
        <v>48944.25</v>
      </c>
      <c r="J278" s="5">
        <v>37896.15</v>
      </c>
      <c r="K278" s="5">
        <v>17</v>
      </c>
      <c r="L278" s="5">
        <v>1</v>
      </c>
      <c r="M278" s="5">
        <v>1</v>
      </c>
      <c r="N278" s="5">
        <v>1</v>
      </c>
      <c r="O278" s="5">
        <v>636.04999999999995</v>
      </c>
      <c r="P278" s="6">
        <v>0</v>
      </c>
    </row>
    <row r="279" spans="1:16" ht="23.4" x14ac:dyDescent="0.45">
      <c r="A279" s="4" t="s">
        <v>282</v>
      </c>
      <c r="B279" s="5" t="s">
        <v>6</v>
      </c>
      <c r="C279" s="5">
        <v>174022.75</v>
      </c>
      <c r="D279" s="5">
        <v>38</v>
      </c>
      <c r="E279" s="5">
        <v>0</v>
      </c>
      <c r="F279" s="5">
        <v>0.76380000000000003</v>
      </c>
      <c r="G279" s="5">
        <v>0.3236</v>
      </c>
      <c r="H279" s="5">
        <v>3</v>
      </c>
      <c r="I279" s="5">
        <v>47570.38</v>
      </c>
      <c r="J279" s="5">
        <v>16930.97</v>
      </c>
      <c r="K279" s="5">
        <v>75</v>
      </c>
      <c r="L279" s="5">
        <v>3</v>
      </c>
      <c r="M279" s="5">
        <v>2</v>
      </c>
      <c r="N279" s="5">
        <v>1</v>
      </c>
      <c r="O279" s="5">
        <v>805.46</v>
      </c>
      <c r="P279" s="6">
        <v>0</v>
      </c>
    </row>
    <row r="280" spans="1:16" ht="23.4" x14ac:dyDescent="0.45">
      <c r="A280" s="4" t="s">
        <v>283</v>
      </c>
      <c r="B280" s="5" t="s">
        <v>15</v>
      </c>
      <c r="C280" s="5">
        <v>110517.14</v>
      </c>
      <c r="D280" s="5">
        <v>29</v>
      </c>
      <c r="E280" s="5">
        <v>1</v>
      </c>
      <c r="F280" s="5">
        <v>0.62070000000000003</v>
      </c>
      <c r="G280" s="5">
        <v>0.37119999999999997</v>
      </c>
      <c r="H280" s="5">
        <v>2</v>
      </c>
      <c r="I280" s="5">
        <v>49287.65</v>
      </c>
      <c r="J280" s="5">
        <v>30285.77</v>
      </c>
      <c r="K280" s="5">
        <v>112</v>
      </c>
      <c r="L280" s="5">
        <v>3</v>
      </c>
      <c r="M280" s="5">
        <v>1</v>
      </c>
      <c r="N280" s="5">
        <v>1</v>
      </c>
      <c r="O280" s="5">
        <v>618.46</v>
      </c>
      <c r="P280" s="6">
        <v>0</v>
      </c>
    </row>
    <row r="281" spans="1:16" ht="23.4" x14ac:dyDescent="0.45">
      <c r="A281" s="4" t="s">
        <v>284</v>
      </c>
      <c r="B281" s="5" t="s">
        <v>15</v>
      </c>
      <c r="C281" s="5">
        <v>113436.48</v>
      </c>
      <c r="D281" s="5">
        <v>60</v>
      </c>
      <c r="E281" s="5">
        <v>0</v>
      </c>
      <c r="F281" s="5">
        <v>0.99880000000000002</v>
      </c>
      <c r="G281" s="5">
        <v>0.46839999999999998</v>
      </c>
      <c r="H281" s="5">
        <v>6</v>
      </c>
      <c r="I281" s="5">
        <v>18815.34</v>
      </c>
      <c r="J281" s="5">
        <v>27309.73</v>
      </c>
      <c r="K281" s="5">
        <v>34</v>
      </c>
      <c r="L281" s="5">
        <v>3</v>
      </c>
      <c r="M281" s="5">
        <v>1</v>
      </c>
      <c r="N281" s="5">
        <v>0</v>
      </c>
      <c r="O281" s="5">
        <v>831.17</v>
      </c>
      <c r="P281" s="6">
        <v>0</v>
      </c>
    </row>
    <row r="282" spans="1:16" ht="23.4" x14ac:dyDescent="0.45">
      <c r="A282" s="4" t="s">
        <v>285</v>
      </c>
      <c r="B282" s="5" t="s">
        <v>1</v>
      </c>
      <c r="C282" s="5">
        <v>180342.92</v>
      </c>
      <c r="D282" s="5">
        <v>54</v>
      </c>
      <c r="E282" s="5">
        <v>0</v>
      </c>
      <c r="F282" s="5">
        <v>0.73119999999999996</v>
      </c>
      <c r="G282" s="5">
        <v>0.436</v>
      </c>
      <c r="H282" s="5">
        <v>0</v>
      </c>
      <c r="I282" s="5">
        <v>40624.99</v>
      </c>
      <c r="J282" s="5">
        <v>19358.5</v>
      </c>
      <c r="K282" s="5">
        <v>177</v>
      </c>
      <c r="L282" s="5">
        <v>3</v>
      </c>
      <c r="M282" s="5">
        <v>2</v>
      </c>
      <c r="N282" s="5">
        <v>1</v>
      </c>
      <c r="O282" s="5">
        <v>655.8</v>
      </c>
      <c r="P282" s="6">
        <v>0</v>
      </c>
    </row>
    <row r="283" spans="1:16" ht="23.4" x14ac:dyDescent="0.45">
      <c r="A283" s="4" t="s">
        <v>286</v>
      </c>
      <c r="B283" s="5" t="s">
        <v>18</v>
      </c>
      <c r="C283" s="5">
        <v>57581.19</v>
      </c>
      <c r="D283" s="5">
        <v>51</v>
      </c>
      <c r="E283" s="5">
        <v>1</v>
      </c>
      <c r="F283" s="5">
        <v>0.53</v>
      </c>
      <c r="G283" s="5">
        <v>0.70960000000000001</v>
      </c>
      <c r="H283" s="5">
        <v>1</v>
      </c>
      <c r="I283" s="5">
        <v>59833.62</v>
      </c>
      <c r="J283" s="5">
        <v>14448.71</v>
      </c>
      <c r="K283" s="5">
        <v>19</v>
      </c>
      <c r="L283" s="5">
        <v>1</v>
      </c>
      <c r="M283" s="5">
        <v>3</v>
      </c>
      <c r="N283" s="5">
        <v>1</v>
      </c>
      <c r="O283" s="5">
        <v>593</v>
      </c>
      <c r="P283" s="6">
        <v>0</v>
      </c>
    </row>
    <row r="284" spans="1:16" ht="23.4" x14ac:dyDescent="0.45">
      <c r="A284" s="4" t="s">
        <v>287</v>
      </c>
      <c r="B284" s="5" t="s">
        <v>18</v>
      </c>
      <c r="C284" s="5">
        <v>62948.78</v>
      </c>
      <c r="D284" s="5">
        <v>69</v>
      </c>
      <c r="E284" s="5">
        <v>1</v>
      </c>
      <c r="F284" s="5">
        <v>0.70309999999999995</v>
      </c>
      <c r="G284" s="5">
        <v>0.21460000000000001</v>
      </c>
      <c r="H284" s="5">
        <v>2</v>
      </c>
      <c r="I284" s="5">
        <v>18248.669999999998</v>
      </c>
      <c r="J284" s="5">
        <v>11952.51</v>
      </c>
      <c r="K284" s="5">
        <v>63</v>
      </c>
      <c r="L284" s="5">
        <v>2</v>
      </c>
      <c r="M284" s="5">
        <v>1</v>
      </c>
      <c r="N284" s="5">
        <v>2</v>
      </c>
      <c r="O284" s="5">
        <v>774.42</v>
      </c>
      <c r="P284" s="6">
        <v>0</v>
      </c>
    </row>
    <row r="285" spans="1:16" ht="23.4" x14ac:dyDescent="0.45">
      <c r="A285" s="4" t="s">
        <v>288</v>
      </c>
      <c r="B285" s="5" t="s">
        <v>6</v>
      </c>
      <c r="C285" s="5">
        <v>113181.26</v>
      </c>
      <c r="D285" s="5">
        <v>26</v>
      </c>
      <c r="E285" s="5">
        <v>1</v>
      </c>
      <c r="F285" s="5">
        <v>0.83520000000000005</v>
      </c>
      <c r="G285" s="5">
        <v>0.18659999999999999</v>
      </c>
      <c r="H285" s="5">
        <v>3</v>
      </c>
      <c r="I285" s="5">
        <v>33063.25</v>
      </c>
      <c r="J285" s="5">
        <v>22146.29</v>
      </c>
      <c r="K285" s="5">
        <v>111</v>
      </c>
      <c r="L285" s="5">
        <v>1</v>
      </c>
      <c r="M285" s="5">
        <v>2</v>
      </c>
      <c r="N285" s="5">
        <v>2</v>
      </c>
      <c r="O285" s="5">
        <v>712.35</v>
      </c>
      <c r="P285" s="6">
        <v>0</v>
      </c>
    </row>
    <row r="286" spans="1:16" ht="23.4" x14ac:dyDescent="0.45">
      <c r="A286" s="4" t="s">
        <v>289</v>
      </c>
      <c r="B286" s="5" t="s">
        <v>6</v>
      </c>
      <c r="C286" s="5">
        <v>152401.15</v>
      </c>
      <c r="D286" s="5">
        <v>53</v>
      </c>
      <c r="E286" s="5">
        <v>0</v>
      </c>
      <c r="F286" s="5">
        <v>0.63470000000000004</v>
      </c>
      <c r="G286" s="5">
        <v>6.3100000000000003E-2</v>
      </c>
      <c r="H286" s="5">
        <v>0</v>
      </c>
      <c r="I286" s="5">
        <v>500</v>
      </c>
      <c r="J286" s="5">
        <v>2311.4499999999998</v>
      </c>
      <c r="K286" s="5">
        <v>19</v>
      </c>
      <c r="L286" s="5">
        <v>3</v>
      </c>
      <c r="M286" s="5">
        <v>2</v>
      </c>
      <c r="N286" s="5">
        <v>0</v>
      </c>
      <c r="O286" s="5">
        <v>729.98</v>
      </c>
      <c r="P286" s="6">
        <v>0</v>
      </c>
    </row>
    <row r="287" spans="1:16" ht="23.4" x14ac:dyDescent="0.45">
      <c r="A287" s="4" t="s">
        <v>290</v>
      </c>
      <c r="B287" s="5" t="s">
        <v>1</v>
      </c>
      <c r="C287" s="5">
        <v>29450.62</v>
      </c>
      <c r="D287" s="5">
        <v>44</v>
      </c>
      <c r="E287" s="5">
        <v>0</v>
      </c>
      <c r="F287" s="5">
        <v>0.67910000000000004</v>
      </c>
      <c r="G287" s="5">
        <v>0.27979999999999999</v>
      </c>
      <c r="H287" s="5">
        <v>2</v>
      </c>
      <c r="I287" s="5">
        <v>500</v>
      </c>
      <c r="J287" s="5">
        <v>0</v>
      </c>
      <c r="K287" s="5">
        <v>80</v>
      </c>
      <c r="L287" s="5">
        <v>2</v>
      </c>
      <c r="M287" s="5">
        <v>1</v>
      </c>
      <c r="N287" s="5">
        <v>0</v>
      </c>
      <c r="O287" s="5">
        <v>803.94</v>
      </c>
      <c r="P287" s="6">
        <v>0</v>
      </c>
    </row>
    <row r="288" spans="1:16" ht="23.4" x14ac:dyDescent="0.45">
      <c r="A288" s="4" t="s">
        <v>291</v>
      </c>
      <c r="B288" s="5" t="s">
        <v>4</v>
      </c>
      <c r="C288" s="5">
        <v>6509.34</v>
      </c>
      <c r="D288" s="5">
        <v>68</v>
      </c>
      <c r="E288" s="5">
        <v>0</v>
      </c>
      <c r="F288" s="5">
        <v>0.7177</v>
      </c>
      <c r="G288" s="5">
        <v>0.37890000000000001</v>
      </c>
      <c r="H288" s="5">
        <v>1</v>
      </c>
      <c r="I288" s="5">
        <v>500</v>
      </c>
      <c r="J288" s="5">
        <v>0</v>
      </c>
      <c r="K288" s="5">
        <v>106</v>
      </c>
      <c r="L288" s="5">
        <v>1</v>
      </c>
      <c r="M288" s="5">
        <v>2</v>
      </c>
      <c r="N288" s="5">
        <v>0</v>
      </c>
      <c r="O288" s="5">
        <v>652.83000000000004</v>
      </c>
      <c r="P288" s="6">
        <v>0</v>
      </c>
    </row>
    <row r="289" spans="1:16" ht="23.4" x14ac:dyDescent="0.45">
      <c r="A289" s="4" t="s">
        <v>292</v>
      </c>
      <c r="B289" s="5" t="s">
        <v>18</v>
      </c>
      <c r="C289" s="5">
        <v>154445.35999999999</v>
      </c>
      <c r="D289" s="5">
        <v>61</v>
      </c>
      <c r="E289" s="5">
        <v>0</v>
      </c>
      <c r="F289" s="5">
        <v>0.83930000000000005</v>
      </c>
      <c r="G289" s="5">
        <v>0.1158</v>
      </c>
      <c r="H289" s="5">
        <v>1</v>
      </c>
      <c r="I289" s="5">
        <v>1625.62</v>
      </c>
      <c r="J289" s="5">
        <v>0</v>
      </c>
      <c r="K289" s="5">
        <v>40</v>
      </c>
      <c r="L289" s="5">
        <v>4</v>
      </c>
      <c r="M289" s="5">
        <v>1</v>
      </c>
      <c r="N289" s="5">
        <v>1</v>
      </c>
      <c r="O289" s="5">
        <v>615.53</v>
      </c>
      <c r="P289" s="6">
        <v>0</v>
      </c>
    </row>
    <row r="290" spans="1:16" ht="23.4" x14ac:dyDescent="0.45">
      <c r="A290" s="4" t="s">
        <v>293</v>
      </c>
      <c r="B290" s="5" t="s">
        <v>1</v>
      </c>
      <c r="C290" s="5">
        <v>35549.29</v>
      </c>
      <c r="D290" s="5">
        <v>53</v>
      </c>
      <c r="E290" s="5">
        <v>0</v>
      </c>
      <c r="F290" s="5">
        <v>0.80869999999999997</v>
      </c>
      <c r="G290" s="5">
        <v>0.50649999999999995</v>
      </c>
      <c r="H290" s="5">
        <v>0</v>
      </c>
      <c r="I290" s="5">
        <v>14694.06</v>
      </c>
      <c r="J290" s="5">
        <v>6016.28</v>
      </c>
      <c r="K290" s="5">
        <v>38</v>
      </c>
      <c r="L290" s="5">
        <v>1</v>
      </c>
      <c r="M290" s="5">
        <v>2</v>
      </c>
      <c r="N290" s="5">
        <v>1</v>
      </c>
      <c r="O290" s="5">
        <v>652.48</v>
      </c>
      <c r="P290" s="6">
        <v>0</v>
      </c>
    </row>
    <row r="291" spans="1:16" ht="23.4" x14ac:dyDescent="0.45">
      <c r="A291" s="4" t="s">
        <v>294</v>
      </c>
      <c r="B291" s="5" t="s">
        <v>9</v>
      </c>
      <c r="C291" s="5">
        <v>173613.28</v>
      </c>
      <c r="D291" s="5">
        <v>59</v>
      </c>
      <c r="E291" s="5">
        <v>0</v>
      </c>
      <c r="F291" s="5">
        <v>0.99280000000000002</v>
      </c>
      <c r="G291" s="5">
        <v>0.18629999999999999</v>
      </c>
      <c r="H291" s="5">
        <v>1</v>
      </c>
      <c r="I291" s="5">
        <v>70539.55</v>
      </c>
      <c r="J291" s="5">
        <v>64864.36</v>
      </c>
      <c r="K291" s="5">
        <v>40</v>
      </c>
      <c r="L291" s="5">
        <v>1</v>
      </c>
      <c r="M291" s="5">
        <v>2</v>
      </c>
      <c r="N291" s="5">
        <v>2</v>
      </c>
      <c r="O291" s="5">
        <v>742.09</v>
      </c>
      <c r="P291" s="6">
        <v>0</v>
      </c>
    </row>
    <row r="292" spans="1:16" ht="23.4" x14ac:dyDescent="0.45">
      <c r="A292" s="4" t="s">
        <v>295</v>
      </c>
      <c r="B292" s="5" t="s">
        <v>18</v>
      </c>
      <c r="C292" s="5">
        <v>121297.36</v>
      </c>
      <c r="D292" s="5">
        <v>41</v>
      </c>
      <c r="E292" s="5">
        <v>1</v>
      </c>
      <c r="F292" s="5">
        <v>0.4899</v>
      </c>
      <c r="G292" s="5">
        <v>0.2611</v>
      </c>
      <c r="H292" s="5">
        <v>0</v>
      </c>
      <c r="I292" s="5">
        <v>24915.15</v>
      </c>
      <c r="J292" s="5">
        <v>10883.82</v>
      </c>
      <c r="K292" s="5">
        <v>165</v>
      </c>
      <c r="L292" s="5">
        <v>2</v>
      </c>
      <c r="M292" s="5">
        <v>2</v>
      </c>
      <c r="N292" s="5">
        <v>2</v>
      </c>
      <c r="O292" s="5">
        <v>751.4</v>
      </c>
      <c r="P292" s="6">
        <v>0</v>
      </c>
    </row>
    <row r="293" spans="1:16" ht="23.4" x14ac:dyDescent="0.45">
      <c r="A293" s="4" t="s">
        <v>296</v>
      </c>
      <c r="B293" s="5" t="s">
        <v>18</v>
      </c>
      <c r="C293" s="5">
        <v>142450.15</v>
      </c>
      <c r="D293" s="5">
        <v>32</v>
      </c>
      <c r="E293" s="5">
        <v>0</v>
      </c>
      <c r="F293" s="5">
        <v>0.39219999999999999</v>
      </c>
      <c r="G293" s="5">
        <v>0.3906</v>
      </c>
      <c r="H293" s="5">
        <v>2</v>
      </c>
      <c r="I293" s="5">
        <v>62312.26</v>
      </c>
      <c r="J293" s="5">
        <v>29215.63</v>
      </c>
      <c r="K293" s="5">
        <v>152</v>
      </c>
      <c r="L293" s="5">
        <v>3</v>
      </c>
      <c r="M293" s="5">
        <v>2</v>
      </c>
      <c r="N293" s="5">
        <v>1</v>
      </c>
      <c r="O293" s="5">
        <v>720.78</v>
      </c>
      <c r="P293" s="6">
        <v>0</v>
      </c>
    </row>
    <row r="294" spans="1:16" ht="23.4" x14ac:dyDescent="0.45">
      <c r="A294" s="4" t="s">
        <v>297</v>
      </c>
      <c r="B294" s="5" t="s">
        <v>6</v>
      </c>
      <c r="C294" s="5">
        <v>2000</v>
      </c>
      <c r="D294" s="5">
        <v>48</v>
      </c>
      <c r="E294" s="5">
        <v>1</v>
      </c>
      <c r="F294" s="5">
        <v>0.61339999999999995</v>
      </c>
      <c r="G294" s="5">
        <v>0.50890000000000002</v>
      </c>
      <c r="H294" s="5">
        <v>1</v>
      </c>
      <c r="I294" s="5">
        <v>9318.4</v>
      </c>
      <c r="J294" s="5">
        <v>6722.49</v>
      </c>
      <c r="K294" s="5">
        <v>177</v>
      </c>
      <c r="L294" s="5">
        <v>1</v>
      </c>
      <c r="M294" s="5">
        <v>1</v>
      </c>
      <c r="N294" s="5">
        <v>1</v>
      </c>
      <c r="O294" s="5">
        <v>773.4</v>
      </c>
      <c r="P294" s="6">
        <v>0</v>
      </c>
    </row>
    <row r="295" spans="1:16" ht="23.4" x14ac:dyDescent="0.45">
      <c r="A295" s="4" t="s">
        <v>298</v>
      </c>
      <c r="B295" s="5" t="s">
        <v>1</v>
      </c>
      <c r="C295" s="5">
        <v>82951</v>
      </c>
      <c r="D295" s="5">
        <v>24</v>
      </c>
      <c r="E295" s="5">
        <v>0</v>
      </c>
      <c r="F295" s="5">
        <v>0.63900000000000001</v>
      </c>
      <c r="G295" s="5">
        <v>0.20530000000000001</v>
      </c>
      <c r="H295" s="5">
        <v>2</v>
      </c>
      <c r="I295" s="5">
        <v>13186.99</v>
      </c>
      <c r="J295" s="5">
        <v>10101.94</v>
      </c>
      <c r="K295" s="5">
        <v>178</v>
      </c>
      <c r="L295" s="5">
        <v>2</v>
      </c>
      <c r="M295" s="5">
        <v>2</v>
      </c>
      <c r="N295" s="5">
        <v>1</v>
      </c>
      <c r="O295" s="5">
        <v>684.58</v>
      </c>
      <c r="P295" s="6">
        <v>0</v>
      </c>
    </row>
    <row r="296" spans="1:16" ht="23.4" x14ac:dyDescent="0.45">
      <c r="A296" s="4" t="s">
        <v>299</v>
      </c>
      <c r="B296" s="5" t="s">
        <v>18</v>
      </c>
      <c r="C296" s="5">
        <v>96136.86</v>
      </c>
      <c r="D296" s="5">
        <v>65</v>
      </c>
      <c r="E296" s="5">
        <v>0</v>
      </c>
      <c r="F296" s="5">
        <v>1</v>
      </c>
      <c r="G296" s="5">
        <v>0.31340000000000001</v>
      </c>
      <c r="H296" s="5">
        <v>5</v>
      </c>
      <c r="I296" s="5">
        <v>43429.66</v>
      </c>
      <c r="J296" s="5">
        <v>31213.23</v>
      </c>
      <c r="K296" s="5">
        <v>86</v>
      </c>
      <c r="L296" s="5">
        <v>4</v>
      </c>
      <c r="M296" s="5">
        <v>1</v>
      </c>
      <c r="N296" s="5">
        <v>1</v>
      </c>
      <c r="O296" s="5">
        <v>780.06</v>
      </c>
      <c r="P296" s="6">
        <v>0</v>
      </c>
    </row>
    <row r="297" spans="1:16" ht="23.4" x14ac:dyDescent="0.45">
      <c r="A297" s="4" t="s">
        <v>300</v>
      </c>
      <c r="B297" s="5" t="s">
        <v>4</v>
      </c>
      <c r="C297" s="5">
        <v>176792.11</v>
      </c>
      <c r="D297" s="5">
        <v>49</v>
      </c>
      <c r="E297" s="5">
        <v>1</v>
      </c>
      <c r="F297" s="5">
        <v>0.91210000000000002</v>
      </c>
      <c r="G297" s="5">
        <v>0</v>
      </c>
      <c r="H297" s="5">
        <v>0</v>
      </c>
      <c r="I297" s="5">
        <v>500</v>
      </c>
      <c r="J297" s="5">
        <v>705.3</v>
      </c>
      <c r="K297" s="5">
        <v>160</v>
      </c>
      <c r="L297" s="5">
        <v>1</v>
      </c>
      <c r="M297" s="5">
        <v>2</v>
      </c>
      <c r="N297" s="5">
        <v>0</v>
      </c>
      <c r="O297" s="5">
        <v>684.03</v>
      </c>
      <c r="P297" s="6">
        <v>0</v>
      </c>
    </row>
    <row r="298" spans="1:16" ht="23.4" x14ac:dyDescent="0.45">
      <c r="A298" s="4" t="s">
        <v>301</v>
      </c>
      <c r="B298" s="5" t="s">
        <v>15</v>
      </c>
      <c r="C298" s="5">
        <v>107608.08</v>
      </c>
      <c r="D298" s="5">
        <v>32</v>
      </c>
      <c r="E298" s="5">
        <v>1</v>
      </c>
      <c r="F298" s="5">
        <v>0.69179999999999997</v>
      </c>
      <c r="G298" s="5">
        <v>0.38819999999999999</v>
      </c>
      <c r="H298" s="5">
        <v>1</v>
      </c>
      <c r="I298" s="5">
        <v>53515.74</v>
      </c>
      <c r="J298" s="5">
        <v>37850.47</v>
      </c>
      <c r="K298" s="5">
        <v>73</v>
      </c>
      <c r="L298" s="5">
        <v>1</v>
      </c>
      <c r="M298" s="5">
        <v>2</v>
      </c>
      <c r="N298" s="5">
        <v>0</v>
      </c>
      <c r="O298" s="5">
        <v>656.21</v>
      </c>
      <c r="P298" s="6">
        <v>0</v>
      </c>
    </row>
    <row r="299" spans="1:16" ht="23.4" x14ac:dyDescent="0.45">
      <c r="A299" s="4" t="s">
        <v>302</v>
      </c>
      <c r="B299" s="5" t="s">
        <v>9</v>
      </c>
      <c r="C299" s="5">
        <v>151899.35999999999</v>
      </c>
      <c r="D299" s="5">
        <v>30</v>
      </c>
      <c r="E299" s="5">
        <v>0</v>
      </c>
      <c r="F299" s="5">
        <v>0.94289999999999996</v>
      </c>
      <c r="G299" s="5">
        <v>0.25390000000000001</v>
      </c>
      <c r="H299" s="5">
        <v>2</v>
      </c>
      <c r="I299" s="5">
        <v>17778.53</v>
      </c>
      <c r="J299" s="5">
        <v>17557.98</v>
      </c>
      <c r="K299" s="5">
        <v>152</v>
      </c>
      <c r="L299" s="5">
        <v>2</v>
      </c>
      <c r="M299" s="5">
        <v>1</v>
      </c>
      <c r="N299" s="5">
        <v>1</v>
      </c>
      <c r="O299" s="5">
        <v>700.5</v>
      </c>
      <c r="P299" s="6">
        <v>0</v>
      </c>
    </row>
    <row r="300" spans="1:16" ht="23.4" x14ac:dyDescent="0.45">
      <c r="A300" s="4" t="s">
        <v>303</v>
      </c>
      <c r="B300" s="5" t="s">
        <v>4</v>
      </c>
      <c r="C300" s="5">
        <v>142587.59</v>
      </c>
      <c r="D300" s="5">
        <v>53</v>
      </c>
      <c r="E300" s="5">
        <v>1</v>
      </c>
      <c r="F300" s="5">
        <v>0.63529999999999998</v>
      </c>
      <c r="G300" s="5">
        <v>0.56869999999999998</v>
      </c>
      <c r="H300" s="5">
        <v>5</v>
      </c>
      <c r="I300" s="5">
        <v>69665.13</v>
      </c>
      <c r="J300" s="5">
        <v>49798.2</v>
      </c>
      <c r="K300" s="5">
        <v>60</v>
      </c>
      <c r="L300" s="5">
        <v>2</v>
      </c>
      <c r="M300" s="5">
        <v>1</v>
      </c>
      <c r="N300" s="5">
        <v>0</v>
      </c>
      <c r="O300" s="5">
        <v>759.98</v>
      </c>
      <c r="P300" s="6">
        <v>0</v>
      </c>
    </row>
    <row r="301" spans="1:16" ht="23.4" x14ac:dyDescent="0.45">
      <c r="A301" s="4" t="s">
        <v>304</v>
      </c>
      <c r="B301" s="5" t="s">
        <v>6</v>
      </c>
      <c r="C301" s="5">
        <v>70815.91</v>
      </c>
      <c r="D301" s="5">
        <v>56</v>
      </c>
      <c r="E301" s="5">
        <v>0</v>
      </c>
      <c r="F301" s="5">
        <v>0.95169999999999999</v>
      </c>
      <c r="G301" s="5">
        <v>0</v>
      </c>
      <c r="H301" s="5">
        <v>3</v>
      </c>
      <c r="I301" s="5">
        <v>1233.0999999999999</v>
      </c>
      <c r="J301" s="5">
        <v>0</v>
      </c>
      <c r="K301" s="5">
        <v>163</v>
      </c>
      <c r="L301" s="5">
        <v>3</v>
      </c>
      <c r="M301" s="5">
        <v>1</v>
      </c>
      <c r="N301" s="5">
        <v>0</v>
      </c>
      <c r="O301" s="5">
        <v>807.74</v>
      </c>
      <c r="P301" s="6">
        <v>0</v>
      </c>
    </row>
    <row r="302" spans="1:16" ht="23.4" x14ac:dyDescent="0.45">
      <c r="A302" s="4" t="s">
        <v>305</v>
      </c>
      <c r="B302" s="5" t="s">
        <v>6</v>
      </c>
      <c r="C302" s="5">
        <v>31019.22</v>
      </c>
      <c r="D302" s="5">
        <v>28</v>
      </c>
      <c r="E302" s="5">
        <v>1</v>
      </c>
      <c r="F302" s="5">
        <v>0.94189999999999996</v>
      </c>
      <c r="G302" s="5">
        <v>0.1651</v>
      </c>
      <c r="H302" s="5">
        <v>3</v>
      </c>
      <c r="I302" s="5">
        <v>500</v>
      </c>
      <c r="J302" s="5">
        <v>17625.62</v>
      </c>
      <c r="K302" s="5">
        <v>101</v>
      </c>
      <c r="L302" s="5">
        <v>2</v>
      </c>
      <c r="M302" s="5">
        <v>2</v>
      </c>
      <c r="N302" s="5">
        <v>1</v>
      </c>
      <c r="O302" s="5">
        <v>724.77</v>
      </c>
      <c r="P302" s="6">
        <v>0</v>
      </c>
    </row>
    <row r="303" spans="1:16" ht="23.4" x14ac:dyDescent="0.45">
      <c r="A303" s="4" t="s">
        <v>306</v>
      </c>
      <c r="B303" s="5" t="s">
        <v>18</v>
      </c>
      <c r="C303" s="5">
        <v>152580.17000000001</v>
      </c>
      <c r="D303" s="5">
        <v>26</v>
      </c>
      <c r="E303" s="5">
        <v>1</v>
      </c>
      <c r="F303" s="5">
        <v>0.81469999999999998</v>
      </c>
      <c r="G303" s="5">
        <v>0.35160000000000002</v>
      </c>
      <c r="H303" s="5">
        <v>5</v>
      </c>
      <c r="I303" s="5">
        <v>48594.03</v>
      </c>
      <c r="J303" s="5">
        <v>38214.5</v>
      </c>
      <c r="K303" s="5">
        <v>177</v>
      </c>
      <c r="L303" s="5">
        <v>2</v>
      </c>
      <c r="M303" s="5">
        <v>1</v>
      </c>
      <c r="N303" s="5">
        <v>1</v>
      </c>
      <c r="O303" s="5">
        <v>720.65</v>
      </c>
      <c r="P303" s="6">
        <v>0</v>
      </c>
    </row>
    <row r="304" spans="1:16" ht="23.4" x14ac:dyDescent="0.45">
      <c r="A304" s="4" t="s">
        <v>307</v>
      </c>
      <c r="B304" s="5" t="s">
        <v>18</v>
      </c>
      <c r="C304" s="5">
        <v>113289.65</v>
      </c>
      <c r="D304" s="5">
        <v>68</v>
      </c>
      <c r="E304" s="5">
        <v>0</v>
      </c>
      <c r="F304" s="5">
        <v>1</v>
      </c>
      <c r="G304" s="5">
        <v>0.45689999999999997</v>
      </c>
      <c r="H304" s="5">
        <v>0</v>
      </c>
      <c r="I304" s="5">
        <v>74862.899999999994</v>
      </c>
      <c r="J304" s="5">
        <v>54989.21</v>
      </c>
      <c r="K304" s="5">
        <v>45</v>
      </c>
      <c r="L304" s="5">
        <v>1</v>
      </c>
      <c r="M304" s="5">
        <v>2</v>
      </c>
      <c r="N304" s="5">
        <v>0</v>
      </c>
      <c r="O304" s="5">
        <v>767.11</v>
      </c>
      <c r="P304" s="6">
        <v>0</v>
      </c>
    </row>
    <row r="305" spans="1:16" ht="23.4" x14ac:dyDescent="0.45">
      <c r="A305" s="4" t="s">
        <v>308</v>
      </c>
      <c r="B305" s="5" t="s">
        <v>9</v>
      </c>
      <c r="C305" s="5">
        <v>102514</v>
      </c>
      <c r="D305" s="5">
        <v>25</v>
      </c>
      <c r="E305" s="5">
        <v>1</v>
      </c>
      <c r="F305" s="5">
        <v>0.57189999999999996</v>
      </c>
      <c r="G305" s="5">
        <v>0.31850000000000001</v>
      </c>
      <c r="H305" s="5">
        <v>2</v>
      </c>
      <c r="I305" s="5">
        <v>47490.19</v>
      </c>
      <c r="J305" s="5">
        <v>24034.38</v>
      </c>
      <c r="K305" s="5">
        <v>10</v>
      </c>
      <c r="L305" s="5">
        <v>2</v>
      </c>
      <c r="M305" s="5">
        <v>1</v>
      </c>
      <c r="N305" s="5">
        <v>0</v>
      </c>
      <c r="O305" s="5">
        <v>646.5</v>
      </c>
      <c r="P305" s="6">
        <v>0</v>
      </c>
    </row>
    <row r="306" spans="1:16" ht="23.4" x14ac:dyDescent="0.45">
      <c r="A306" s="4" t="s">
        <v>309</v>
      </c>
      <c r="B306" s="5" t="s">
        <v>18</v>
      </c>
      <c r="C306" s="5">
        <v>158691.04999999999</v>
      </c>
      <c r="D306" s="5">
        <v>23</v>
      </c>
      <c r="E306" s="5">
        <v>0</v>
      </c>
      <c r="F306" s="5">
        <v>0.82809999999999995</v>
      </c>
      <c r="G306" s="5">
        <v>0.3705</v>
      </c>
      <c r="H306" s="5">
        <v>2</v>
      </c>
      <c r="I306" s="5">
        <v>65190.02</v>
      </c>
      <c r="J306" s="5">
        <v>46014.5</v>
      </c>
      <c r="K306" s="5">
        <v>83</v>
      </c>
      <c r="L306" s="5">
        <v>2</v>
      </c>
      <c r="M306" s="5">
        <v>1</v>
      </c>
      <c r="N306" s="5">
        <v>2</v>
      </c>
      <c r="O306" s="5">
        <v>637.78</v>
      </c>
      <c r="P306" s="6">
        <v>1</v>
      </c>
    </row>
    <row r="307" spans="1:16" ht="23.4" x14ac:dyDescent="0.45">
      <c r="A307" s="4" t="s">
        <v>310</v>
      </c>
      <c r="B307" s="5" t="s">
        <v>4</v>
      </c>
      <c r="C307" s="5">
        <v>146700.88</v>
      </c>
      <c r="D307" s="5">
        <v>31</v>
      </c>
      <c r="E307" s="5">
        <v>1</v>
      </c>
      <c r="F307" s="5">
        <v>0.59409999999999996</v>
      </c>
      <c r="G307" s="5">
        <v>0.37169999999999997</v>
      </c>
      <c r="H307" s="5">
        <v>0</v>
      </c>
      <c r="I307" s="5">
        <v>71493.08</v>
      </c>
      <c r="J307" s="5">
        <v>26109.9</v>
      </c>
      <c r="K307" s="5">
        <v>42</v>
      </c>
      <c r="L307" s="5">
        <v>1</v>
      </c>
      <c r="M307" s="5">
        <v>2</v>
      </c>
      <c r="N307" s="5">
        <v>3</v>
      </c>
      <c r="O307" s="5">
        <v>648.39</v>
      </c>
      <c r="P307" s="6">
        <v>0</v>
      </c>
    </row>
    <row r="308" spans="1:16" ht="23.4" x14ac:dyDescent="0.45">
      <c r="A308" s="4" t="s">
        <v>311</v>
      </c>
      <c r="B308" s="5" t="s">
        <v>18</v>
      </c>
      <c r="C308" s="5">
        <v>22372.23</v>
      </c>
      <c r="D308" s="5">
        <v>21</v>
      </c>
      <c r="E308" s="5">
        <v>1</v>
      </c>
      <c r="F308" s="5">
        <v>0.2974</v>
      </c>
      <c r="G308" s="5">
        <v>9.9699999999999997E-2</v>
      </c>
      <c r="H308" s="5">
        <v>0</v>
      </c>
      <c r="I308" s="5">
        <v>3306.46</v>
      </c>
      <c r="J308" s="5">
        <v>2277.62</v>
      </c>
      <c r="K308" s="5">
        <v>158</v>
      </c>
      <c r="L308" s="5">
        <v>2</v>
      </c>
      <c r="M308" s="5">
        <v>2</v>
      </c>
      <c r="N308" s="5">
        <v>0</v>
      </c>
      <c r="O308" s="5">
        <v>702.22</v>
      </c>
      <c r="P308" s="6">
        <v>0</v>
      </c>
    </row>
    <row r="309" spans="1:16" ht="23.4" x14ac:dyDescent="0.45">
      <c r="A309" s="4" t="s">
        <v>312</v>
      </c>
      <c r="B309" s="5" t="s">
        <v>9</v>
      </c>
      <c r="C309" s="5">
        <v>161694.29999999999</v>
      </c>
      <c r="D309" s="5">
        <v>34</v>
      </c>
      <c r="E309" s="5">
        <v>1</v>
      </c>
      <c r="F309" s="5">
        <v>0.4541</v>
      </c>
      <c r="G309" s="5">
        <v>0.58789999999999998</v>
      </c>
      <c r="H309" s="5">
        <v>2</v>
      </c>
      <c r="I309" s="5">
        <v>94365.43</v>
      </c>
      <c r="J309" s="5">
        <v>57658.080000000002</v>
      </c>
      <c r="K309" s="5">
        <v>55</v>
      </c>
      <c r="L309" s="5">
        <v>1</v>
      </c>
      <c r="M309" s="5">
        <v>2</v>
      </c>
      <c r="N309" s="5">
        <v>1</v>
      </c>
      <c r="O309" s="5">
        <v>769.4</v>
      </c>
      <c r="P309" s="6">
        <v>1</v>
      </c>
    </row>
    <row r="310" spans="1:16" ht="23.4" x14ac:dyDescent="0.45">
      <c r="A310" s="4" t="s">
        <v>313</v>
      </c>
      <c r="B310" s="5" t="s">
        <v>1</v>
      </c>
      <c r="C310" s="5">
        <v>90894.7</v>
      </c>
      <c r="D310" s="5">
        <v>56</v>
      </c>
      <c r="E310" s="5">
        <v>1</v>
      </c>
      <c r="F310" s="5">
        <v>9.2499999999999999E-2</v>
      </c>
      <c r="G310" s="5">
        <v>9.35E-2</v>
      </c>
      <c r="H310" s="5">
        <v>2</v>
      </c>
      <c r="I310" s="5">
        <v>7085.17</v>
      </c>
      <c r="J310" s="5">
        <v>5987.13</v>
      </c>
      <c r="K310" s="5">
        <v>31</v>
      </c>
      <c r="L310" s="5">
        <v>1</v>
      </c>
      <c r="M310" s="5">
        <v>2</v>
      </c>
      <c r="N310" s="5">
        <v>3</v>
      </c>
      <c r="O310" s="5">
        <v>597.82000000000005</v>
      </c>
      <c r="P310" s="6">
        <v>0</v>
      </c>
    </row>
    <row r="311" spans="1:16" ht="23.4" x14ac:dyDescent="0.45">
      <c r="A311" s="4" t="s">
        <v>314</v>
      </c>
      <c r="B311" s="5" t="s">
        <v>9</v>
      </c>
      <c r="C311" s="5">
        <v>142483.07</v>
      </c>
      <c r="D311" s="5">
        <v>39</v>
      </c>
      <c r="E311" s="5">
        <v>0</v>
      </c>
      <c r="F311" s="5">
        <v>0.38619999999999999</v>
      </c>
      <c r="G311" s="5">
        <v>3.3799999999999997E-2</v>
      </c>
      <c r="H311" s="5">
        <v>0</v>
      </c>
      <c r="I311" s="5">
        <v>19773.52</v>
      </c>
      <c r="J311" s="5">
        <v>5876.12</v>
      </c>
      <c r="K311" s="5">
        <v>155</v>
      </c>
      <c r="L311" s="5">
        <v>1</v>
      </c>
      <c r="M311" s="5">
        <v>2</v>
      </c>
      <c r="N311" s="5">
        <v>2</v>
      </c>
      <c r="O311" s="5">
        <v>659.42</v>
      </c>
      <c r="P311" s="6">
        <v>0</v>
      </c>
    </row>
    <row r="312" spans="1:16" ht="23.4" x14ac:dyDescent="0.45">
      <c r="A312" s="4" t="s">
        <v>315</v>
      </c>
      <c r="B312" s="5" t="s">
        <v>15</v>
      </c>
      <c r="C312" s="5">
        <v>109084.37</v>
      </c>
      <c r="D312" s="5">
        <v>35</v>
      </c>
      <c r="E312" s="5">
        <v>1</v>
      </c>
      <c r="F312" s="5">
        <v>0.85119999999999996</v>
      </c>
      <c r="G312" s="5">
        <v>0.31580000000000003</v>
      </c>
      <c r="H312" s="5">
        <v>0</v>
      </c>
      <c r="I312" s="5">
        <v>32089</v>
      </c>
      <c r="J312" s="5">
        <v>31206.82</v>
      </c>
      <c r="K312" s="5">
        <v>179</v>
      </c>
      <c r="L312" s="5">
        <v>2</v>
      </c>
      <c r="M312" s="5">
        <v>2</v>
      </c>
      <c r="N312" s="5">
        <v>1</v>
      </c>
      <c r="O312" s="5">
        <v>694.54</v>
      </c>
      <c r="P312" s="6">
        <v>0</v>
      </c>
    </row>
    <row r="313" spans="1:16" ht="23.4" x14ac:dyDescent="0.45">
      <c r="A313" s="4" t="s">
        <v>316</v>
      </c>
      <c r="B313" s="5" t="s">
        <v>1</v>
      </c>
      <c r="C313" s="5">
        <v>119798.04</v>
      </c>
      <c r="D313" s="5">
        <v>32</v>
      </c>
      <c r="E313" s="5">
        <v>0</v>
      </c>
      <c r="F313" s="5">
        <v>0.64949999999999997</v>
      </c>
      <c r="G313" s="5">
        <v>0.31809999999999999</v>
      </c>
      <c r="H313" s="5">
        <v>1</v>
      </c>
      <c r="I313" s="5">
        <v>65660.08</v>
      </c>
      <c r="J313" s="5">
        <v>47427.25</v>
      </c>
      <c r="K313" s="5">
        <v>166</v>
      </c>
      <c r="L313" s="5">
        <v>1</v>
      </c>
      <c r="M313" s="5">
        <v>1</v>
      </c>
      <c r="N313" s="5">
        <v>0</v>
      </c>
      <c r="O313" s="5">
        <v>677.45</v>
      </c>
      <c r="P313" s="6">
        <v>0</v>
      </c>
    </row>
    <row r="314" spans="1:16" ht="23.4" x14ac:dyDescent="0.45">
      <c r="A314" s="4" t="s">
        <v>317</v>
      </c>
      <c r="B314" s="5" t="s">
        <v>18</v>
      </c>
      <c r="C314" s="5">
        <v>148289.84</v>
      </c>
      <c r="D314" s="5">
        <v>46</v>
      </c>
      <c r="E314" s="5">
        <v>0</v>
      </c>
      <c r="F314" s="5">
        <v>0.75139999999999996</v>
      </c>
      <c r="G314" s="5">
        <v>0.42080000000000001</v>
      </c>
      <c r="H314" s="5">
        <v>1</v>
      </c>
      <c r="I314" s="5">
        <v>73750.59</v>
      </c>
      <c r="J314" s="5">
        <v>53087.02</v>
      </c>
      <c r="K314" s="5">
        <v>144</v>
      </c>
      <c r="L314" s="5">
        <v>2</v>
      </c>
      <c r="M314" s="5">
        <v>2</v>
      </c>
      <c r="N314" s="5">
        <v>0</v>
      </c>
      <c r="O314" s="5">
        <v>723.73</v>
      </c>
      <c r="P314" s="6">
        <v>0</v>
      </c>
    </row>
    <row r="315" spans="1:16" ht="23.4" x14ac:dyDescent="0.45">
      <c r="A315" s="4" t="s">
        <v>318</v>
      </c>
      <c r="B315" s="5" t="s">
        <v>1</v>
      </c>
      <c r="C315" s="5">
        <v>166309.93</v>
      </c>
      <c r="D315" s="5">
        <v>39</v>
      </c>
      <c r="E315" s="5">
        <v>0</v>
      </c>
      <c r="F315" s="5">
        <v>0.85719999999999996</v>
      </c>
      <c r="G315" s="5">
        <v>0.61980000000000002</v>
      </c>
      <c r="H315" s="5">
        <v>5</v>
      </c>
      <c r="I315" s="5">
        <v>110762.08</v>
      </c>
      <c r="J315" s="5">
        <v>88181.67</v>
      </c>
      <c r="K315" s="5">
        <v>163</v>
      </c>
      <c r="L315" s="5">
        <v>2</v>
      </c>
      <c r="M315" s="5">
        <v>2</v>
      </c>
      <c r="N315" s="5">
        <v>0</v>
      </c>
      <c r="O315" s="5">
        <v>706.23</v>
      </c>
      <c r="P315" s="6">
        <v>0</v>
      </c>
    </row>
    <row r="316" spans="1:16" ht="23.4" x14ac:dyDescent="0.45">
      <c r="A316" s="4" t="s">
        <v>319</v>
      </c>
      <c r="B316" s="5" t="s">
        <v>15</v>
      </c>
      <c r="C316" s="5">
        <v>36851.839999999997</v>
      </c>
      <c r="D316" s="5">
        <v>30</v>
      </c>
      <c r="E316" s="5">
        <v>1</v>
      </c>
      <c r="F316" s="5">
        <v>0.59540000000000004</v>
      </c>
      <c r="G316" s="5">
        <v>0.37459999999999999</v>
      </c>
      <c r="H316" s="5">
        <v>0</v>
      </c>
      <c r="I316" s="5">
        <v>7147.19</v>
      </c>
      <c r="J316" s="5">
        <v>8919.99</v>
      </c>
      <c r="K316" s="5">
        <v>130</v>
      </c>
      <c r="L316" s="5">
        <v>1</v>
      </c>
      <c r="M316" s="5">
        <v>1</v>
      </c>
      <c r="N316" s="5">
        <v>0</v>
      </c>
      <c r="O316" s="5">
        <v>656</v>
      </c>
      <c r="P316" s="6">
        <v>0</v>
      </c>
    </row>
    <row r="317" spans="1:16" ht="23.4" x14ac:dyDescent="0.45">
      <c r="A317" s="4" t="s">
        <v>320</v>
      </c>
      <c r="B317" s="5" t="s">
        <v>9</v>
      </c>
      <c r="C317" s="5">
        <v>42600.49</v>
      </c>
      <c r="D317" s="5">
        <v>45</v>
      </c>
      <c r="E317" s="5">
        <v>0</v>
      </c>
      <c r="F317" s="5">
        <v>0.48370000000000002</v>
      </c>
      <c r="G317" s="5">
        <v>0.4521</v>
      </c>
      <c r="H317" s="5">
        <v>8</v>
      </c>
      <c r="I317" s="5">
        <v>31376.560000000001</v>
      </c>
      <c r="J317" s="5">
        <v>13021.82</v>
      </c>
      <c r="K317" s="5">
        <v>139</v>
      </c>
      <c r="L317" s="5">
        <v>2</v>
      </c>
      <c r="M317" s="5">
        <v>1</v>
      </c>
      <c r="N317" s="5">
        <v>1</v>
      </c>
      <c r="O317" s="5">
        <v>755.51</v>
      </c>
      <c r="P317" s="6">
        <v>0</v>
      </c>
    </row>
    <row r="318" spans="1:16" ht="23.4" x14ac:dyDescent="0.45">
      <c r="A318" s="4" t="s">
        <v>321</v>
      </c>
      <c r="B318" s="5" t="s">
        <v>18</v>
      </c>
      <c r="C318" s="5">
        <v>50430.3</v>
      </c>
      <c r="D318" s="5">
        <v>45</v>
      </c>
      <c r="E318" s="5">
        <v>1</v>
      </c>
      <c r="F318" s="5">
        <v>0.61699999999999999</v>
      </c>
      <c r="G318" s="5">
        <v>0.1588</v>
      </c>
      <c r="H318" s="5">
        <v>3</v>
      </c>
      <c r="I318" s="5">
        <v>17263.55</v>
      </c>
      <c r="J318" s="5">
        <v>2877.34</v>
      </c>
      <c r="K318" s="5">
        <v>102</v>
      </c>
      <c r="L318" s="5">
        <v>4</v>
      </c>
      <c r="M318" s="5">
        <v>1</v>
      </c>
      <c r="N318" s="5">
        <v>0</v>
      </c>
      <c r="O318" s="5">
        <v>733.97</v>
      </c>
      <c r="P318" s="6">
        <v>0</v>
      </c>
    </row>
    <row r="319" spans="1:16" ht="23.4" x14ac:dyDescent="0.45">
      <c r="A319" s="4" t="s">
        <v>322</v>
      </c>
      <c r="B319" s="5" t="s">
        <v>4</v>
      </c>
      <c r="C319" s="5">
        <v>52241.14</v>
      </c>
      <c r="D319" s="5">
        <v>59</v>
      </c>
      <c r="E319" s="5">
        <v>1</v>
      </c>
      <c r="F319" s="5">
        <v>1</v>
      </c>
      <c r="G319" s="5">
        <v>0.4214</v>
      </c>
      <c r="H319" s="5">
        <v>1</v>
      </c>
      <c r="I319" s="5">
        <v>26014.16</v>
      </c>
      <c r="J319" s="5">
        <v>14342.84</v>
      </c>
      <c r="K319" s="5">
        <v>44</v>
      </c>
      <c r="L319" s="5">
        <v>1</v>
      </c>
      <c r="M319" s="5">
        <v>1</v>
      </c>
      <c r="N319" s="5">
        <v>1</v>
      </c>
      <c r="O319" s="5">
        <v>731.84</v>
      </c>
      <c r="P319" s="6">
        <v>0</v>
      </c>
    </row>
    <row r="320" spans="1:16" ht="23.4" x14ac:dyDescent="0.45">
      <c r="A320" s="4" t="s">
        <v>323</v>
      </c>
      <c r="B320" s="5" t="s">
        <v>15</v>
      </c>
      <c r="C320" s="5">
        <v>100120.55</v>
      </c>
      <c r="D320" s="5">
        <v>67</v>
      </c>
      <c r="E320" s="5">
        <v>0</v>
      </c>
      <c r="F320" s="5">
        <v>1</v>
      </c>
      <c r="G320" s="5">
        <v>0.68379999999999996</v>
      </c>
      <c r="H320" s="5">
        <v>6</v>
      </c>
      <c r="I320" s="5">
        <v>48586.15</v>
      </c>
      <c r="J320" s="5">
        <v>40274.519999999997</v>
      </c>
      <c r="K320" s="5">
        <v>171</v>
      </c>
      <c r="L320" s="5">
        <v>3</v>
      </c>
      <c r="M320" s="5">
        <v>1</v>
      </c>
      <c r="N320" s="5">
        <v>0</v>
      </c>
      <c r="O320" s="5">
        <v>683.45</v>
      </c>
      <c r="P320" s="6">
        <v>0</v>
      </c>
    </row>
    <row r="321" spans="1:16" ht="23.4" x14ac:dyDescent="0.45">
      <c r="A321" s="4" t="s">
        <v>324</v>
      </c>
      <c r="B321" s="5" t="s">
        <v>4</v>
      </c>
      <c r="C321" s="5">
        <v>78116.17</v>
      </c>
      <c r="D321" s="5">
        <v>23</v>
      </c>
      <c r="E321" s="5">
        <v>1</v>
      </c>
      <c r="F321" s="5">
        <v>0.78720000000000001</v>
      </c>
      <c r="G321" s="5">
        <v>0.31069999999999998</v>
      </c>
      <c r="H321" s="5">
        <v>4</v>
      </c>
      <c r="I321" s="5">
        <v>53613.61</v>
      </c>
      <c r="J321" s="5">
        <v>30214.05</v>
      </c>
      <c r="K321" s="5">
        <v>150</v>
      </c>
      <c r="L321" s="5">
        <v>2</v>
      </c>
      <c r="M321" s="5">
        <v>2</v>
      </c>
      <c r="N321" s="5">
        <v>1</v>
      </c>
      <c r="O321" s="5">
        <v>713.22</v>
      </c>
      <c r="P321" s="6">
        <v>0</v>
      </c>
    </row>
    <row r="322" spans="1:16" ht="23.4" x14ac:dyDescent="0.45">
      <c r="A322" s="4" t="s">
        <v>325</v>
      </c>
      <c r="B322" s="5" t="s">
        <v>6</v>
      </c>
      <c r="C322" s="5">
        <v>119731.33</v>
      </c>
      <c r="D322" s="5">
        <v>59</v>
      </c>
      <c r="E322" s="5">
        <v>0</v>
      </c>
      <c r="F322" s="5">
        <v>0.65449999999999997</v>
      </c>
      <c r="G322" s="5">
        <v>0.90190000000000003</v>
      </c>
      <c r="H322" s="5">
        <v>5</v>
      </c>
      <c r="I322" s="5">
        <v>121513.76</v>
      </c>
      <c r="J322" s="5">
        <v>93650.39</v>
      </c>
      <c r="K322" s="5">
        <v>159</v>
      </c>
      <c r="L322" s="5">
        <v>1</v>
      </c>
      <c r="M322" s="5">
        <v>2</v>
      </c>
      <c r="N322" s="5">
        <v>1</v>
      </c>
      <c r="O322" s="5">
        <v>605.09</v>
      </c>
      <c r="P322" s="6">
        <v>0</v>
      </c>
    </row>
    <row r="323" spans="1:16" ht="23.4" x14ac:dyDescent="0.45">
      <c r="A323" s="4" t="s">
        <v>326</v>
      </c>
      <c r="B323" s="5" t="s">
        <v>1</v>
      </c>
      <c r="C323" s="5">
        <v>52379.14</v>
      </c>
      <c r="D323" s="5">
        <v>64</v>
      </c>
      <c r="E323" s="5">
        <v>0</v>
      </c>
      <c r="F323" s="5">
        <v>0.57909999999999995</v>
      </c>
      <c r="G323" s="5">
        <v>0.62949999999999995</v>
      </c>
      <c r="H323" s="5">
        <v>2</v>
      </c>
      <c r="I323" s="5">
        <v>27131.45</v>
      </c>
      <c r="J323" s="5">
        <v>14252.93</v>
      </c>
      <c r="K323" s="5">
        <v>57</v>
      </c>
      <c r="L323" s="5">
        <v>2</v>
      </c>
      <c r="M323" s="5">
        <v>3</v>
      </c>
      <c r="N323" s="5">
        <v>1</v>
      </c>
      <c r="O323" s="5">
        <v>688.09</v>
      </c>
      <c r="P323" s="6">
        <v>0</v>
      </c>
    </row>
    <row r="324" spans="1:16" ht="23.4" x14ac:dyDescent="0.45">
      <c r="A324" s="4" t="s">
        <v>327</v>
      </c>
      <c r="B324" s="5" t="s">
        <v>9</v>
      </c>
      <c r="C324" s="5">
        <v>67832.37</v>
      </c>
      <c r="D324" s="5">
        <v>60</v>
      </c>
      <c r="E324" s="5">
        <v>0</v>
      </c>
      <c r="F324" s="5">
        <v>0.62309999999999999</v>
      </c>
      <c r="G324" s="5">
        <v>0</v>
      </c>
      <c r="H324" s="5">
        <v>0</v>
      </c>
      <c r="I324" s="5">
        <v>500</v>
      </c>
      <c r="J324" s="5">
        <v>0</v>
      </c>
      <c r="K324" s="5">
        <v>29</v>
      </c>
      <c r="L324" s="5">
        <v>2</v>
      </c>
      <c r="M324" s="5">
        <v>1</v>
      </c>
      <c r="N324" s="5">
        <v>1</v>
      </c>
      <c r="O324" s="5">
        <v>784.64</v>
      </c>
      <c r="P324" s="6">
        <v>0</v>
      </c>
    </row>
    <row r="325" spans="1:16" ht="23.4" x14ac:dyDescent="0.45">
      <c r="A325" s="4" t="s">
        <v>328</v>
      </c>
      <c r="B325" s="5" t="s">
        <v>15</v>
      </c>
      <c r="C325" s="5">
        <v>5217.43</v>
      </c>
      <c r="D325" s="5">
        <v>62</v>
      </c>
      <c r="E325" s="5">
        <v>0</v>
      </c>
      <c r="F325" s="5">
        <v>0.5101</v>
      </c>
      <c r="G325" s="5">
        <v>0.50900000000000001</v>
      </c>
      <c r="H325" s="5">
        <v>5</v>
      </c>
      <c r="I325" s="5">
        <v>500</v>
      </c>
      <c r="J325" s="5">
        <v>0</v>
      </c>
      <c r="K325" s="5">
        <v>129</v>
      </c>
      <c r="L325" s="5">
        <v>3</v>
      </c>
      <c r="M325" s="5">
        <v>1</v>
      </c>
      <c r="N325" s="5">
        <v>1</v>
      </c>
      <c r="O325" s="5">
        <v>731.65</v>
      </c>
      <c r="P325" s="6">
        <v>0</v>
      </c>
    </row>
    <row r="326" spans="1:16" ht="23.4" x14ac:dyDescent="0.45">
      <c r="A326" s="4" t="s">
        <v>329</v>
      </c>
      <c r="B326" s="5" t="s">
        <v>4</v>
      </c>
      <c r="C326" s="5">
        <v>95035.4</v>
      </c>
      <c r="D326" s="5">
        <v>27</v>
      </c>
      <c r="E326" s="5">
        <v>1</v>
      </c>
      <c r="F326" s="5">
        <v>0.39190000000000003</v>
      </c>
      <c r="G326" s="5">
        <v>0.22900000000000001</v>
      </c>
      <c r="H326" s="5">
        <v>2</v>
      </c>
      <c r="I326" s="5">
        <v>25038.85</v>
      </c>
      <c r="J326" s="5">
        <v>0</v>
      </c>
      <c r="K326" s="5">
        <v>27</v>
      </c>
      <c r="L326" s="5">
        <v>1</v>
      </c>
      <c r="M326" s="5">
        <v>2</v>
      </c>
      <c r="N326" s="5">
        <v>0</v>
      </c>
      <c r="O326" s="5">
        <v>713.96</v>
      </c>
      <c r="P326" s="6">
        <v>0</v>
      </c>
    </row>
    <row r="327" spans="1:16" ht="23.4" x14ac:dyDescent="0.45">
      <c r="A327" s="4" t="s">
        <v>330</v>
      </c>
      <c r="B327" s="5" t="s">
        <v>4</v>
      </c>
      <c r="C327" s="5">
        <v>155593.75</v>
      </c>
      <c r="D327" s="5">
        <v>57</v>
      </c>
      <c r="E327" s="5">
        <v>1</v>
      </c>
      <c r="F327" s="5">
        <v>0.4602</v>
      </c>
      <c r="G327" s="5">
        <v>0.35730000000000001</v>
      </c>
      <c r="H327" s="5">
        <v>1</v>
      </c>
      <c r="I327" s="5">
        <v>62778.79</v>
      </c>
      <c r="J327" s="5">
        <v>39411.61</v>
      </c>
      <c r="K327" s="5">
        <v>33</v>
      </c>
      <c r="L327" s="5">
        <v>1</v>
      </c>
      <c r="M327" s="5">
        <v>2</v>
      </c>
      <c r="N327" s="5">
        <v>0</v>
      </c>
      <c r="O327" s="5">
        <v>618.66999999999996</v>
      </c>
      <c r="P327" s="6">
        <v>0</v>
      </c>
    </row>
    <row r="328" spans="1:16" ht="23.4" x14ac:dyDescent="0.45">
      <c r="A328" s="4" t="s">
        <v>331</v>
      </c>
      <c r="B328" s="5" t="s">
        <v>15</v>
      </c>
      <c r="C328" s="5">
        <v>51923.16</v>
      </c>
      <c r="D328" s="5">
        <v>38</v>
      </c>
      <c r="E328" s="5">
        <v>0</v>
      </c>
      <c r="F328" s="5">
        <v>0.78820000000000001</v>
      </c>
      <c r="G328" s="5">
        <v>0.65129999999999999</v>
      </c>
      <c r="H328" s="5">
        <v>4</v>
      </c>
      <c r="I328" s="5">
        <v>39271.71</v>
      </c>
      <c r="J328" s="5">
        <v>37803.019999999997</v>
      </c>
      <c r="K328" s="5">
        <v>148</v>
      </c>
      <c r="L328" s="5">
        <v>2</v>
      </c>
      <c r="M328" s="5">
        <v>1</v>
      </c>
      <c r="N328" s="5">
        <v>1</v>
      </c>
      <c r="O328" s="5">
        <v>691.26</v>
      </c>
      <c r="P328" s="6">
        <v>0</v>
      </c>
    </row>
    <row r="329" spans="1:16" ht="23.4" x14ac:dyDescent="0.45">
      <c r="A329" s="4" t="s">
        <v>332</v>
      </c>
      <c r="B329" s="5" t="s">
        <v>9</v>
      </c>
      <c r="C329" s="5">
        <v>128501.62</v>
      </c>
      <c r="D329" s="5">
        <v>66</v>
      </c>
      <c r="E329" s="5">
        <v>1</v>
      </c>
      <c r="F329" s="5">
        <v>0.61260000000000003</v>
      </c>
      <c r="G329" s="5">
        <v>0.48139999999999999</v>
      </c>
      <c r="H329" s="5">
        <v>4</v>
      </c>
      <c r="I329" s="5">
        <v>56157.26</v>
      </c>
      <c r="J329" s="5">
        <v>37995.64</v>
      </c>
      <c r="K329" s="5">
        <v>47</v>
      </c>
      <c r="L329" s="5">
        <v>1</v>
      </c>
      <c r="M329" s="5">
        <v>2</v>
      </c>
      <c r="N329" s="5">
        <v>1</v>
      </c>
      <c r="O329" s="5">
        <v>789.05</v>
      </c>
      <c r="P329" s="6">
        <v>0</v>
      </c>
    </row>
    <row r="330" spans="1:16" ht="23.4" x14ac:dyDescent="0.45">
      <c r="A330" s="4" t="s">
        <v>333</v>
      </c>
      <c r="B330" s="5" t="s">
        <v>6</v>
      </c>
      <c r="C330" s="5">
        <v>38447.61</v>
      </c>
      <c r="D330" s="5">
        <v>24</v>
      </c>
      <c r="E330" s="5">
        <v>0</v>
      </c>
      <c r="F330" s="5">
        <v>0.50049999999999994</v>
      </c>
      <c r="G330" s="5">
        <v>0.74370000000000003</v>
      </c>
      <c r="H330" s="5">
        <v>9</v>
      </c>
      <c r="I330" s="5">
        <v>35145.56</v>
      </c>
      <c r="J330" s="5">
        <v>21210.32</v>
      </c>
      <c r="K330" s="5">
        <v>43</v>
      </c>
      <c r="L330" s="5">
        <v>2</v>
      </c>
      <c r="M330" s="5">
        <v>2</v>
      </c>
      <c r="N330" s="5">
        <v>0</v>
      </c>
      <c r="O330" s="5">
        <v>645.82000000000005</v>
      </c>
      <c r="P330" s="6">
        <v>0</v>
      </c>
    </row>
    <row r="331" spans="1:16" ht="23.4" x14ac:dyDescent="0.45">
      <c r="A331" s="4" t="s">
        <v>334</v>
      </c>
      <c r="B331" s="5" t="s">
        <v>4</v>
      </c>
      <c r="C331" s="5">
        <v>133173.44</v>
      </c>
      <c r="D331" s="5">
        <v>67</v>
      </c>
      <c r="E331" s="5">
        <v>0</v>
      </c>
      <c r="F331" s="5">
        <v>0.26869999999999999</v>
      </c>
      <c r="G331" s="5">
        <v>0.87939999999999996</v>
      </c>
      <c r="H331" s="5">
        <v>3</v>
      </c>
      <c r="I331" s="5">
        <v>105162.13</v>
      </c>
      <c r="J331" s="5">
        <v>50789.47</v>
      </c>
      <c r="K331" s="5">
        <v>50</v>
      </c>
      <c r="L331" s="5">
        <v>2</v>
      </c>
      <c r="M331" s="5">
        <v>1</v>
      </c>
      <c r="N331" s="5">
        <v>0</v>
      </c>
      <c r="O331" s="5">
        <v>533.29</v>
      </c>
      <c r="P331" s="6">
        <v>0</v>
      </c>
    </row>
    <row r="332" spans="1:16" ht="23.4" x14ac:dyDescent="0.45">
      <c r="A332" s="4" t="s">
        <v>335</v>
      </c>
      <c r="B332" s="5" t="s">
        <v>1</v>
      </c>
      <c r="C332" s="5">
        <v>102273.76</v>
      </c>
      <c r="D332" s="5">
        <v>23</v>
      </c>
      <c r="E332" s="5">
        <v>1</v>
      </c>
      <c r="F332" s="5">
        <v>0.54520000000000002</v>
      </c>
      <c r="G332" s="5">
        <v>0.46329999999999999</v>
      </c>
      <c r="H332" s="5">
        <v>0</v>
      </c>
      <c r="I332" s="5">
        <v>40783.879999999997</v>
      </c>
      <c r="J332" s="5">
        <v>14725.74</v>
      </c>
      <c r="K332" s="5">
        <v>178</v>
      </c>
      <c r="L332" s="5">
        <v>1</v>
      </c>
      <c r="M332" s="5">
        <v>1</v>
      </c>
      <c r="N332" s="5">
        <v>0</v>
      </c>
      <c r="O332" s="5">
        <v>790.13</v>
      </c>
      <c r="P332" s="6">
        <v>0</v>
      </c>
    </row>
    <row r="333" spans="1:16" ht="23.4" x14ac:dyDescent="0.45">
      <c r="A333" s="4" t="s">
        <v>336</v>
      </c>
      <c r="B333" s="5" t="s">
        <v>18</v>
      </c>
      <c r="C333" s="5">
        <v>217516.88</v>
      </c>
      <c r="D333" s="5">
        <v>43</v>
      </c>
      <c r="E333" s="5">
        <v>0</v>
      </c>
      <c r="F333" s="5">
        <v>0.60140000000000005</v>
      </c>
      <c r="G333" s="5">
        <v>0.1769</v>
      </c>
      <c r="H333" s="5">
        <v>1</v>
      </c>
      <c r="I333" s="5">
        <v>40981.440000000002</v>
      </c>
      <c r="J333" s="5">
        <v>21095.32</v>
      </c>
      <c r="K333" s="5">
        <v>146</v>
      </c>
      <c r="L333" s="5">
        <v>1</v>
      </c>
      <c r="M333" s="5">
        <v>2</v>
      </c>
      <c r="N333" s="5">
        <v>2</v>
      </c>
      <c r="O333" s="5">
        <v>579.11</v>
      </c>
      <c r="P333" s="6">
        <v>0</v>
      </c>
    </row>
    <row r="334" spans="1:16" ht="23.4" x14ac:dyDescent="0.45">
      <c r="A334" s="4" t="s">
        <v>337</v>
      </c>
      <c r="B334" s="5" t="s">
        <v>1</v>
      </c>
      <c r="C334" s="5">
        <v>125246.64</v>
      </c>
      <c r="D334" s="5">
        <v>59</v>
      </c>
      <c r="E334" s="5">
        <v>1</v>
      </c>
      <c r="F334" s="5">
        <v>0.66320000000000001</v>
      </c>
      <c r="G334" s="5">
        <v>0.66800000000000004</v>
      </c>
      <c r="H334" s="5">
        <v>3</v>
      </c>
      <c r="I334" s="5">
        <v>82467.42</v>
      </c>
      <c r="J334" s="5">
        <v>55302.66</v>
      </c>
      <c r="K334" s="5">
        <v>50</v>
      </c>
      <c r="L334" s="5">
        <v>2</v>
      </c>
      <c r="M334" s="5">
        <v>1</v>
      </c>
      <c r="N334" s="5">
        <v>0</v>
      </c>
      <c r="O334" s="5">
        <v>636.23</v>
      </c>
      <c r="P334" s="6">
        <v>0</v>
      </c>
    </row>
    <row r="335" spans="1:16" ht="23.4" x14ac:dyDescent="0.45">
      <c r="A335" s="4" t="s">
        <v>338</v>
      </c>
      <c r="B335" s="5" t="s">
        <v>6</v>
      </c>
      <c r="C335" s="5">
        <v>194888.37</v>
      </c>
      <c r="D335" s="5">
        <v>37</v>
      </c>
      <c r="E335" s="5">
        <v>1</v>
      </c>
      <c r="F335" s="5">
        <v>0.96079999999999999</v>
      </c>
      <c r="G335" s="5">
        <v>7.85E-2</v>
      </c>
      <c r="H335" s="5">
        <v>0</v>
      </c>
      <c r="I335" s="5">
        <v>4826.3500000000004</v>
      </c>
      <c r="J335" s="5">
        <v>13848.33</v>
      </c>
      <c r="K335" s="5">
        <v>68</v>
      </c>
      <c r="L335" s="5">
        <v>3</v>
      </c>
      <c r="M335" s="5">
        <v>3</v>
      </c>
      <c r="N335" s="5">
        <v>1</v>
      </c>
      <c r="O335" s="5">
        <v>742.68</v>
      </c>
      <c r="P335" s="6">
        <v>0</v>
      </c>
    </row>
    <row r="336" spans="1:16" ht="23.4" x14ac:dyDescent="0.45">
      <c r="A336" s="4" t="s">
        <v>339</v>
      </c>
      <c r="B336" s="5" t="s">
        <v>18</v>
      </c>
      <c r="C336" s="5">
        <v>80940.539999999994</v>
      </c>
      <c r="D336" s="5">
        <v>28</v>
      </c>
      <c r="E336" s="5">
        <v>0</v>
      </c>
      <c r="F336" s="5">
        <v>0.67559999999999998</v>
      </c>
      <c r="G336" s="5">
        <v>0.38790000000000002</v>
      </c>
      <c r="H336" s="5">
        <v>4</v>
      </c>
      <c r="I336" s="5">
        <v>33945.65</v>
      </c>
      <c r="J336" s="5">
        <v>17271.89</v>
      </c>
      <c r="K336" s="5">
        <v>64</v>
      </c>
      <c r="L336" s="5">
        <v>3</v>
      </c>
      <c r="M336" s="5">
        <v>1</v>
      </c>
      <c r="N336" s="5">
        <v>0</v>
      </c>
      <c r="O336" s="5">
        <v>609.15</v>
      </c>
      <c r="P336" s="6">
        <v>0</v>
      </c>
    </row>
    <row r="337" spans="1:16" ht="23.4" x14ac:dyDescent="0.45">
      <c r="A337" s="4" t="s">
        <v>340</v>
      </c>
      <c r="B337" s="5" t="s">
        <v>15</v>
      </c>
      <c r="C337" s="5">
        <v>74470.679999999993</v>
      </c>
      <c r="D337" s="5">
        <v>39</v>
      </c>
      <c r="E337" s="5">
        <v>0</v>
      </c>
      <c r="F337" s="5">
        <v>0.9496</v>
      </c>
      <c r="G337" s="5">
        <v>0.60640000000000005</v>
      </c>
      <c r="H337" s="5">
        <v>4</v>
      </c>
      <c r="I337" s="5">
        <v>39780.26</v>
      </c>
      <c r="J337" s="5">
        <v>39292.99</v>
      </c>
      <c r="K337" s="5">
        <v>96</v>
      </c>
      <c r="L337" s="5">
        <v>1</v>
      </c>
      <c r="M337" s="5">
        <v>2</v>
      </c>
      <c r="N337" s="5">
        <v>0</v>
      </c>
      <c r="O337" s="5">
        <v>686.92</v>
      </c>
      <c r="P337" s="6">
        <v>0</v>
      </c>
    </row>
    <row r="338" spans="1:16" ht="23.4" x14ac:dyDescent="0.45">
      <c r="A338" s="4" t="s">
        <v>341</v>
      </c>
      <c r="B338" s="5" t="s">
        <v>6</v>
      </c>
      <c r="C338" s="5">
        <v>116465.93</v>
      </c>
      <c r="D338" s="5">
        <v>68</v>
      </c>
      <c r="E338" s="5">
        <v>0</v>
      </c>
      <c r="F338" s="5">
        <v>0.64490000000000003</v>
      </c>
      <c r="G338" s="5">
        <v>0.52680000000000005</v>
      </c>
      <c r="H338" s="5">
        <v>6</v>
      </c>
      <c r="I338" s="5">
        <v>68469.88</v>
      </c>
      <c r="J338" s="5">
        <v>41145.230000000003</v>
      </c>
      <c r="K338" s="5">
        <v>57</v>
      </c>
      <c r="L338" s="5">
        <v>3</v>
      </c>
      <c r="M338" s="5">
        <v>2</v>
      </c>
      <c r="N338" s="5">
        <v>0</v>
      </c>
      <c r="O338" s="5">
        <v>690.73</v>
      </c>
      <c r="P338" s="6">
        <v>0</v>
      </c>
    </row>
    <row r="339" spans="1:16" ht="23.4" x14ac:dyDescent="0.45">
      <c r="A339" s="4" t="s">
        <v>342</v>
      </c>
      <c r="B339" s="5" t="s">
        <v>1</v>
      </c>
      <c r="C339" s="5">
        <v>67633.600000000006</v>
      </c>
      <c r="D339" s="5">
        <v>63</v>
      </c>
      <c r="E339" s="5">
        <v>0</v>
      </c>
      <c r="F339" s="5">
        <v>0.67700000000000005</v>
      </c>
      <c r="G339" s="5">
        <v>0.40129999999999999</v>
      </c>
      <c r="H339" s="5">
        <v>6</v>
      </c>
      <c r="I339" s="5">
        <v>500</v>
      </c>
      <c r="J339" s="5">
        <v>4786.6400000000003</v>
      </c>
      <c r="K339" s="5">
        <v>86</v>
      </c>
      <c r="L339" s="5">
        <v>2</v>
      </c>
      <c r="M339" s="5">
        <v>3</v>
      </c>
      <c r="N339" s="5">
        <v>2</v>
      </c>
      <c r="O339" s="5">
        <v>651.95000000000005</v>
      </c>
      <c r="P339" s="6">
        <v>0</v>
      </c>
    </row>
    <row r="340" spans="1:16" ht="23.4" x14ac:dyDescent="0.45">
      <c r="A340" s="4" t="s">
        <v>343</v>
      </c>
      <c r="B340" s="5" t="s">
        <v>18</v>
      </c>
      <c r="C340" s="5">
        <v>2000</v>
      </c>
      <c r="D340" s="5">
        <v>53</v>
      </c>
      <c r="E340" s="5">
        <v>1</v>
      </c>
      <c r="F340" s="5">
        <v>0.73329999999999995</v>
      </c>
      <c r="G340" s="5">
        <v>0.36649999999999999</v>
      </c>
      <c r="H340" s="5">
        <v>4</v>
      </c>
      <c r="I340" s="5">
        <v>500</v>
      </c>
      <c r="J340" s="5">
        <v>0</v>
      </c>
      <c r="K340" s="5">
        <v>114</v>
      </c>
      <c r="L340" s="5">
        <v>2</v>
      </c>
      <c r="M340" s="5">
        <v>2</v>
      </c>
      <c r="N340" s="5">
        <v>1</v>
      </c>
      <c r="O340" s="5">
        <v>636.94000000000005</v>
      </c>
      <c r="P340" s="6">
        <v>0</v>
      </c>
    </row>
    <row r="341" spans="1:16" ht="23.4" x14ac:dyDescent="0.45">
      <c r="A341" s="4" t="s">
        <v>344</v>
      </c>
      <c r="B341" s="5" t="s">
        <v>9</v>
      </c>
      <c r="C341" s="5">
        <v>132434.88</v>
      </c>
      <c r="D341" s="5">
        <v>28</v>
      </c>
      <c r="E341" s="5">
        <v>1</v>
      </c>
      <c r="F341" s="5">
        <v>0.62909999999999999</v>
      </c>
      <c r="G341" s="5">
        <v>0.13700000000000001</v>
      </c>
      <c r="H341" s="5">
        <v>1</v>
      </c>
      <c r="I341" s="5">
        <v>15995.35</v>
      </c>
      <c r="J341" s="5">
        <v>12998.81</v>
      </c>
      <c r="K341" s="5">
        <v>89</v>
      </c>
      <c r="L341" s="5">
        <v>2</v>
      </c>
      <c r="M341" s="5">
        <v>2</v>
      </c>
      <c r="N341" s="5">
        <v>0</v>
      </c>
      <c r="O341" s="5">
        <v>791.27</v>
      </c>
      <c r="P341" s="6">
        <v>0</v>
      </c>
    </row>
    <row r="342" spans="1:16" ht="23.4" x14ac:dyDescent="0.45">
      <c r="A342" s="4" t="s">
        <v>345</v>
      </c>
      <c r="B342" s="5" t="s">
        <v>4</v>
      </c>
      <c r="C342" s="5">
        <v>76189.33</v>
      </c>
      <c r="D342" s="5">
        <v>42</v>
      </c>
      <c r="E342" s="5">
        <v>1</v>
      </c>
      <c r="F342" s="5">
        <v>1</v>
      </c>
      <c r="G342" s="5">
        <v>0.2044</v>
      </c>
      <c r="H342" s="5">
        <v>3</v>
      </c>
      <c r="I342" s="5">
        <v>21292.63</v>
      </c>
      <c r="J342" s="5">
        <v>29080.28</v>
      </c>
      <c r="K342" s="5">
        <v>101</v>
      </c>
      <c r="L342" s="5">
        <v>2</v>
      </c>
      <c r="M342" s="5">
        <v>1</v>
      </c>
      <c r="N342" s="5">
        <v>1</v>
      </c>
      <c r="O342" s="5">
        <v>603.12</v>
      </c>
      <c r="P342" s="6">
        <v>0</v>
      </c>
    </row>
    <row r="343" spans="1:16" ht="23.4" x14ac:dyDescent="0.45">
      <c r="A343" s="4" t="s">
        <v>346</v>
      </c>
      <c r="B343" s="5" t="s">
        <v>4</v>
      </c>
      <c r="C343" s="5">
        <v>35649.660000000003</v>
      </c>
      <c r="D343" s="5">
        <v>27</v>
      </c>
      <c r="E343" s="5">
        <v>1</v>
      </c>
      <c r="F343" s="5">
        <v>0.63419999999999999</v>
      </c>
      <c r="G343" s="5">
        <v>0</v>
      </c>
      <c r="H343" s="5">
        <v>0</v>
      </c>
      <c r="I343" s="5">
        <v>500</v>
      </c>
      <c r="J343" s="5">
        <v>5098.68</v>
      </c>
      <c r="K343" s="5">
        <v>44</v>
      </c>
      <c r="L343" s="5">
        <v>2</v>
      </c>
      <c r="M343" s="5">
        <v>1</v>
      </c>
      <c r="N343" s="5">
        <v>0</v>
      </c>
      <c r="O343" s="5">
        <v>827.63</v>
      </c>
      <c r="P343" s="6">
        <v>0</v>
      </c>
    </row>
    <row r="344" spans="1:16" ht="23.4" x14ac:dyDescent="0.45">
      <c r="A344" s="4" t="s">
        <v>347</v>
      </c>
      <c r="B344" s="5" t="s">
        <v>4</v>
      </c>
      <c r="C344" s="5">
        <v>139758.9</v>
      </c>
      <c r="D344" s="5">
        <v>55</v>
      </c>
      <c r="E344" s="5">
        <v>0</v>
      </c>
      <c r="F344" s="5">
        <v>0.52459999999999996</v>
      </c>
      <c r="G344" s="5">
        <v>0.31929999999999997</v>
      </c>
      <c r="H344" s="5">
        <v>0</v>
      </c>
      <c r="I344" s="5">
        <v>38669.440000000002</v>
      </c>
      <c r="J344" s="5">
        <v>33359.39</v>
      </c>
      <c r="K344" s="5">
        <v>151</v>
      </c>
      <c r="L344" s="5">
        <v>1</v>
      </c>
      <c r="M344" s="5">
        <v>1</v>
      </c>
      <c r="N344" s="5">
        <v>0</v>
      </c>
      <c r="O344" s="5">
        <v>697.3</v>
      </c>
      <c r="P344" s="6">
        <v>0</v>
      </c>
    </row>
    <row r="345" spans="1:16" ht="23.4" x14ac:dyDescent="0.45">
      <c r="A345" s="4" t="s">
        <v>348</v>
      </c>
      <c r="B345" s="5" t="s">
        <v>9</v>
      </c>
      <c r="C345" s="5">
        <v>123664.08</v>
      </c>
      <c r="D345" s="5">
        <v>27</v>
      </c>
      <c r="E345" s="5">
        <v>0</v>
      </c>
      <c r="F345" s="5">
        <v>0.52829999999999999</v>
      </c>
      <c r="G345" s="5">
        <v>0.46989999999999998</v>
      </c>
      <c r="H345" s="5">
        <v>1</v>
      </c>
      <c r="I345" s="5">
        <v>72856.78</v>
      </c>
      <c r="J345" s="5">
        <v>50158.67</v>
      </c>
      <c r="K345" s="5">
        <v>11</v>
      </c>
      <c r="L345" s="5">
        <v>2</v>
      </c>
      <c r="M345" s="5">
        <v>1</v>
      </c>
      <c r="N345" s="5">
        <v>1</v>
      </c>
      <c r="O345" s="5">
        <v>656.57</v>
      </c>
      <c r="P345" s="6">
        <v>0</v>
      </c>
    </row>
    <row r="346" spans="1:16" ht="23.4" x14ac:dyDescent="0.45">
      <c r="A346" s="4" t="s">
        <v>349</v>
      </c>
      <c r="B346" s="5" t="s">
        <v>6</v>
      </c>
      <c r="C346" s="5">
        <v>32260.62</v>
      </c>
      <c r="D346" s="5">
        <v>55</v>
      </c>
      <c r="E346" s="5">
        <v>0</v>
      </c>
      <c r="F346" s="5">
        <v>0.5655</v>
      </c>
      <c r="G346" s="5">
        <v>0.59870000000000001</v>
      </c>
      <c r="H346" s="5">
        <v>7</v>
      </c>
      <c r="I346" s="5">
        <v>5553.19</v>
      </c>
      <c r="J346" s="5">
        <v>12926.23</v>
      </c>
      <c r="K346" s="5">
        <v>130</v>
      </c>
      <c r="L346" s="5">
        <v>3</v>
      </c>
      <c r="M346" s="5">
        <v>1</v>
      </c>
      <c r="N346" s="5">
        <v>0</v>
      </c>
      <c r="O346" s="5">
        <v>619.34</v>
      </c>
      <c r="P346" s="6">
        <v>0</v>
      </c>
    </row>
    <row r="347" spans="1:16" ht="23.4" x14ac:dyDescent="0.45">
      <c r="A347" s="4" t="s">
        <v>350</v>
      </c>
      <c r="B347" s="5" t="s">
        <v>1</v>
      </c>
      <c r="C347" s="5">
        <v>57094.99</v>
      </c>
      <c r="D347" s="5">
        <v>31</v>
      </c>
      <c r="E347" s="5">
        <v>1</v>
      </c>
      <c r="F347" s="5">
        <v>0.40839999999999999</v>
      </c>
      <c r="G347" s="5">
        <v>0</v>
      </c>
      <c r="H347" s="5">
        <v>0</v>
      </c>
      <c r="I347" s="5">
        <v>9740.75</v>
      </c>
      <c r="J347" s="5">
        <v>0</v>
      </c>
      <c r="K347" s="5">
        <v>26</v>
      </c>
      <c r="L347" s="5">
        <v>1</v>
      </c>
      <c r="M347" s="5">
        <v>1</v>
      </c>
      <c r="N347" s="5">
        <v>0</v>
      </c>
      <c r="O347" s="5">
        <v>772.68</v>
      </c>
      <c r="P347" s="6">
        <v>0</v>
      </c>
    </row>
    <row r="348" spans="1:16" ht="23.4" x14ac:dyDescent="0.45">
      <c r="A348" s="4" t="s">
        <v>351</v>
      </c>
      <c r="B348" s="5" t="s">
        <v>4</v>
      </c>
      <c r="C348" s="5">
        <v>82907.8</v>
      </c>
      <c r="D348" s="5">
        <v>38</v>
      </c>
      <c r="E348" s="5">
        <v>1</v>
      </c>
      <c r="F348" s="5">
        <v>0.98599999999999999</v>
      </c>
      <c r="G348" s="5">
        <v>0.73160000000000003</v>
      </c>
      <c r="H348" s="5">
        <v>2</v>
      </c>
      <c r="I348" s="5">
        <v>83739.289999999994</v>
      </c>
      <c r="J348" s="5">
        <v>61537.21</v>
      </c>
      <c r="K348" s="5">
        <v>139</v>
      </c>
      <c r="L348" s="5">
        <v>4</v>
      </c>
      <c r="M348" s="5">
        <v>1</v>
      </c>
      <c r="N348" s="5">
        <v>0</v>
      </c>
      <c r="O348" s="5">
        <v>805.56</v>
      </c>
      <c r="P348" s="6">
        <v>0</v>
      </c>
    </row>
    <row r="349" spans="1:16" ht="23.4" x14ac:dyDescent="0.45">
      <c r="A349" s="4" t="s">
        <v>352</v>
      </c>
      <c r="B349" s="5" t="s">
        <v>4</v>
      </c>
      <c r="C349" s="5">
        <v>100499.58</v>
      </c>
      <c r="D349" s="5">
        <v>68</v>
      </c>
      <c r="E349" s="5">
        <v>0</v>
      </c>
      <c r="F349" s="5">
        <v>0.67510000000000003</v>
      </c>
      <c r="G349" s="5">
        <v>0.30270000000000002</v>
      </c>
      <c r="H349" s="5">
        <v>2</v>
      </c>
      <c r="I349" s="5">
        <v>36486.46</v>
      </c>
      <c r="J349" s="5">
        <v>39576.730000000003</v>
      </c>
      <c r="K349" s="5">
        <v>146</v>
      </c>
      <c r="L349" s="5">
        <v>1</v>
      </c>
      <c r="M349" s="5">
        <v>2</v>
      </c>
      <c r="N349" s="5">
        <v>1</v>
      </c>
      <c r="O349" s="5">
        <v>754.88</v>
      </c>
      <c r="P349" s="6">
        <v>0</v>
      </c>
    </row>
    <row r="350" spans="1:16" ht="23.4" x14ac:dyDescent="0.45">
      <c r="A350" s="4" t="s">
        <v>353</v>
      </c>
      <c r="B350" s="5" t="s">
        <v>4</v>
      </c>
      <c r="C350" s="5">
        <v>139592.47</v>
      </c>
      <c r="D350" s="5">
        <v>26</v>
      </c>
      <c r="E350" s="5">
        <v>1</v>
      </c>
      <c r="F350" s="5">
        <v>0.86860000000000004</v>
      </c>
      <c r="G350" s="5">
        <v>0.107</v>
      </c>
      <c r="H350" s="5">
        <v>0</v>
      </c>
      <c r="I350" s="5">
        <v>10816.55</v>
      </c>
      <c r="J350" s="5">
        <v>13701.48</v>
      </c>
      <c r="K350" s="5">
        <v>78</v>
      </c>
      <c r="L350" s="5">
        <v>2</v>
      </c>
      <c r="M350" s="5">
        <v>1</v>
      </c>
      <c r="N350" s="5">
        <v>1</v>
      </c>
      <c r="O350" s="5">
        <v>753.35</v>
      </c>
      <c r="P350" s="6">
        <v>0</v>
      </c>
    </row>
    <row r="351" spans="1:16" ht="23.4" x14ac:dyDescent="0.45">
      <c r="A351" s="4" t="s">
        <v>354</v>
      </c>
      <c r="B351" s="5" t="s">
        <v>4</v>
      </c>
      <c r="C351" s="5">
        <v>100572.05</v>
      </c>
      <c r="D351" s="5">
        <v>41</v>
      </c>
      <c r="E351" s="5">
        <v>1</v>
      </c>
      <c r="F351" s="5">
        <v>0.84760000000000002</v>
      </c>
      <c r="G351" s="5">
        <v>0.18870000000000001</v>
      </c>
      <c r="H351" s="5">
        <v>5</v>
      </c>
      <c r="I351" s="5">
        <v>500</v>
      </c>
      <c r="J351" s="5">
        <v>0</v>
      </c>
      <c r="K351" s="5">
        <v>144</v>
      </c>
      <c r="L351" s="5">
        <v>1</v>
      </c>
      <c r="M351" s="5">
        <v>2</v>
      </c>
      <c r="N351" s="5">
        <v>1</v>
      </c>
      <c r="O351" s="5">
        <v>726.91</v>
      </c>
      <c r="P351" s="6">
        <v>0</v>
      </c>
    </row>
    <row r="352" spans="1:16" ht="23.4" x14ac:dyDescent="0.45">
      <c r="A352" s="4" t="s">
        <v>355</v>
      </c>
      <c r="B352" s="5" t="s">
        <v>18</v>
      </c>
      <c r="C352" s="5">
        <v>39579</v>
      </c>
      <c r="D352" s="5">
        <v>61</v>
      </c>
      <c r="E352" s="5">
        <v>0</v>
      </c>
      <c r="F352" s="5">
        <v>0.60470000000000002</v>
      </c>
      <c r="G352" s="5">
        <v>0</v>
      </c>
      <c r="H352" s="5">
        <v>0</v>
      </c>
      <c r="I352" s="5">
        <v>500</v>
      </c>
      <c r="J352" s="5">
        <v>981.53</v>
      </c>
      <c r="K352" s="5">
        <v>28</v>
      </c>
      <c r="L352" s="5">
        <v>2</v>
      </c>
      <c r="M352" s="5">
        <v>1</v>
      </c>
      <c r="N352" s="5">
        <v>0</v>
      </c>
      <c r="O352" s="5">
        <v>722.3</v>
      </c>
      <c r="P352" s="6">
        <v>0</v>
      </c>
    </row>
    <row r="353" spans="1:16" ht="23.4" x14ac:dyDescent="0.45">
      <c r="A353" s="4" t="s">
        <v>356</v>
      </c>
      <c r="B353" s="5" t="s">
        <v>15</v>
      </c>
      <c r="C353" s="5">
        <v>90577.25</v>
      </c>
      <c r="D353" s="5">
        <v>29</v>
      </c>
      <c r="E353" s="5">
        <v>0</v>
      </c>
      <c r="F353" s="5">
        <v>0.57479999999999998</v>
      </c>
      <c r="G353" s="5">
        <v>0.63380000000000003</v>
      </c>
      <c r="H353" s="5">
        <v>8</v>
      </c>
      <c r="I353" s="5">
        <v>59179.89</v>
      </c>
      <c r="J353" s="5">
        <v>45886.45</v>
      </c>
      <c r="K353" s="5">
        <v>8</v>
      </c>
      <c r="L353" s="5">
        <v>3</v>
      </c>
      <c r="M353" s="5">
        <v>2</v>
      </c>
      <c r="N353" s="5">
        <v>1</v>
      </c>
      <c r="O353" s="5">
        <v>645.91999999999996</v>
      </c>
      <c r="P353" s="6">
        <v>0</v>
      </c>
    </row>
    <row r="354" spans="1:16" ht="23.4" x14ac:dyDescent="0.45">
      <c r="A354" s="4" t="s">
        <v>357</v>
      </c>
      <c r="B354" s="5" t="s">
        <v>15</v>
      </c>
      <c r="C354" s="5">
        <v>62233.66</v>
      </c>
      <c r="D354" s="5">
        <v>56</v>
      </c>
      <c r="E354" s="5">
        <v>0</v>
      </c>
      <c r="F354" s="5">
        <v>0.66139999999999999</v>
      </c>
      <c r="G354" s="5">
        <v>0.22500000000000001</v>
      </c>
      <c r="H354" s="5">
        <v>2</v>
      </c>
      <c r="I354" s="5">
        <v>9280.32</v>
      </c>
      <c r="J354" s="5">
        <v>0</v>
      </c>
      <c r="K354" s="5">
        <v>102</v>
      </c>
      <c r="L354" s="5">
        <v>1</v>
      </c>
      <c r="M354" s="5">
        <v>1</v>
      </c>
      <c r="N354" s="5">
        <v>1</v>
      </c>
      <c r="O354" s="5">
        <v>604.30999999999995</v>
      </c>
      <c r="P354" s="6">
        <v>0</v>
      </c>
    </row>
    <row r="355" spans="1:16" ht="23.4" x14ac:dyDescent="0.45">
      <c r="A355" s="4" t="s">
        <v>358</v>
      </c>
      <c r="B355" s="5" t="s">
        <v>6</v>
      </c>
      <c r="C355" s="5">
        <v>81589.929999999993</v>
      </c>
      <c r="D355" s="5">
        <v>65</v>
      </c>
      <c r="E355" s="5">
        <v>0</v>
      </c>
      <c r="F355" s="5">
        <v>0.63460000000000005</v>
      </c>
      <c r="G355" s="5">
        <v>0.21240000000000001</v>
      </c>
      <c r="H355" s="5">
        <v>1</v>
      </c>
      <c r="I355" s="5">
        <v>500</v>
      </c>
      <c r="J355" s="5">
        <v>0</v>
      </c>
      <c r="K355" s="5">
        <v>52</v>
      </c>
      <c r="L355" s="5">
        <v>1</v>
      </c>
      <c r="M355" s="5">
        <v>1</v>
      </c>
      <c r="N355" s="5">
        <v>1</v>
      </c>
      <c r="O355" s="5">
        <v>770.36</v>
      </c>
      <c r="P355" s="6">
        <v>0</v>
      </c>
    </row>
    <row r="356" spans="1:16" ht="23.4" x14ac:dyDescent="0.45">
      <c r="A356" s="4" t="s">
        <v>359</v>
      </c>
      <c r="B356" s="5" t="s">
        <v>4</v>
      </c>
      <c r="C356" s="5">
        <v>73963.839999999997</v>
      </c>
      <c r="D356" s="5">
        <v>41</v>
      </c>
      <c r="E356" s="5">
        <v>1</v>
      </c>
      <c r="F356" s="5">
        <v>0.47839999999999999</v>
      </c>
      <c r="G356" s="5">
        <v>0.47920000000000001</v>
      </c>
      <c r="H356" s="5">
        <v>3</v>
      </c>
      <c r="I356" s="5">
        <v>26051.71</v>
      </c>
      <c r="J356" s="5">
        <v>14287.58</v>
      </c>
      <c r="K356" s="5">
        <v>32</v>
      </c>
      <c r="L356" s="5">
        <v>1</v>
      </c>
      <c r="M356" s="5">
        <v>1</v>
      </c>
      <c r="N356" s="5">
        <v>0</v>
      </c>
      <c r="O356" s="5">
        <v>695.13</v>
      </c>
      <c r="P356" s="6">
        <v>1</v>
      </c>
    </row>
    <row r="357" spans="1:16" ht="23.4" x14ac:dyDescent="0.45">
      <c r="A357" s="4" t="s">
        <v>360</v>
      </c>
      <c r="B357" s="5" t="s">
        <v>1</v>
      </c>
      <c r="C357" s="5">
        <v>91008.15</v>
      </c>
      <c r="D357" s="5">
        <v>34</v>
      </c>
      <c r="E357" s="5">
        <v>1</v>
      </c>
      <c r="F357" s="5">
        <v>0.60560000000000003</v>
      </c>
      <c r="G357" s="5">
        <v>0.58099999999999996</v>
      </c>
      <c r="H357" s="5">
        <v>6</v>
      </c>
      <c r="I357" s="5">
        <v>2599.4699999999998</v>
      </c>
      <c r="J357" s="5">
        <v>0</v>
      </c>
      <c r="K357" s="5">
        <v>90</v>
      </c>
      <c r="L357" s="5">
        <v>1</v>
      </c>
      <c r="M357" s="5">
        <v>2</v>
      </c>
      <c r="N357" s="5">
        <v>0</v>
      </c>
      <c r="O357" s="5">
        <v>700.23</v>
      </c>
      <c r="P357" s="6">
        <v>0</v>
      </c>
    </row>
    <row r="358" spans="1:16" ht="23.4" x14ac:dyDescent="0.45">
      <c r="A358" s="4" t="s">
        <v>361</v>
      </c>
      <c r="B358" s="5" t="s">
        <v>4</v>
      </c>
      <c r="C358" s="5">
        <v>46055.16</v>
      </c>
      <c r="D358" s="5">
        <v>32</v>
      </c>
      <c r="E358" s="5">
        <v>0</v>
      </c>
      <c r="F358" s="5">
        <v>0.85660000000000003</v>
      </c>
      <c r="G358" s="5">
        <v>0.57050000000000001</v>
      </c>
      <c r="H358" s="5">
        <v>7</v>
      </c>
      <c r="I358" s="5">
        <v>37820.6</v>
      </c>
      <c r="J358" s="5">
        <v>14391.63</v>
      </c>
      <c r="K358" s="5">
        <v>37</v>
      </c>
      <c r="L358" s="5">
        <v>4</v>
      </c>
      <c r="M358" s="5">
        <v>2</v>
      </c>
      <c r="N358" s="5">
        <v>0</v>
      </c>
      <c r="O358" s="5">
        <v>751.81</v>
      </c>
      <c r="P358" s="6">
        <v>0</v>
      </c>
    </row>
    <row r="359" spans="1:16" ht="23.4" x14ac:dyDescent="0.45">
      <c r="A359" s="4" t="s">
        <v>362</v>
      </c>
      <c r="B359" s="5" t="s">
        <v>18</v>
      </c>
      <c r="C359" s="5">
        <v>84689.62</v>
      </c>
      <c r="D359" s="5">
        <v>33</v>
      </c>
      <c r="E359" s="5">
        <v>0</v>
      </c>
      <c r="F359" s="5">
        <v>0.3669</v>
      </c>
      <c r="G359" s="5">
        <v>0.50460000000000005</v>
      </c>
      <c r="H359" s="5">
        <v>0</v>
      </c>
      <c r="I359" s="5">
        <v>37096.33</v>
      </c>
      <c r="J359" s="5">
        <v>8358.81</v>
      </c>
      <c r="K359" s="5">
        <v>85</v>
      </c>
      <c r="L359" s="5">
        <v>3</v>
      </c>
      <c r="M359" s="5">
        <v>1</v>
      </c>
      <c r="N359" s="5">
        <v>1</v>
      </c>
      <c r="O359" s="5">
        <v>669.09</v>
      </c>
      <c r="P359" s="6">
        <v>0</v>
      </c>
    </row>
    <row r="360" spans="1:16" ht="23.4" x14ac:dyDescent="0.45">
      <c r="A360" s="4" t="s">
        <v>363</v>
      </c>
      <c r="B360" s="5" t="s">
        <v>6</v>
      </c>
      <c r="C360" s="5">
        <v>68136.149999999994</v>
      </c>
      <c r="D360" s="5">
        <v>51</v>
      </c>
      <c r="E360" s="5">
        <v>1</v>
      </c>
      <c r="F360" s="5">
        <v>0.66869999999999996</v>
      </c>
      <c r="G360" s="5">
        <v>0.29270000000000002</v>
      </c>
      <c r="H360" s="5">
        <v>1</v>
      </c>
      <c r="I360" s="5">
        <v>42718.15</v>
      </c>
      <c r="J360" s="5">
        <v>18143.28</v>
      </c>
      <c r="K360" s="5">
        <v>61</v>
      </c>
      <c r="L360" s="5">
        <v>4</v>
      </c>
      <c r="M360" s="5">
        <v>1</v>
      </c>
      <c r="N360" s="5">
        <v>0</v>
      </c>
      <c r="O360" s="5">
        <v>813.07</v>
      </c>
      <c r="P360" s="6">
        <v>0</v>
      </c>
    </row>
    <row r="361" spans="1:16" ht="23.4" x14ac:dyDescent="0.45">
      <c r="A361" s="4" t="s">
        <v>364</v>
      </c>
      <c r="B361" s="5" t="s">
        <v>15</v>
      </c>
      <c r="C361" s="5">
        <v>97566.2</v>
      </c>
      <c r="D361" s="5">
        <v>46</v>
      </c>
      <c r="E361" s="5">
        <v>1</v>
      </c>
      <c r="F361" s="5">
        <v>0.70650000000000002</v>
      </c>
      <c r="G361" s="5">
        <v>0.36749999999999999</v>
      </c>
      <c r="H361" s="5">
        <v>6</v>
      </c>
      <c r="I361" s="5">
        <v>42701.14</v>
      </c>
      <c r="J361" s="5">
        <v>18503.98</v>
      </c>
      <c r="K361" s="5">
        <v>101</v>
      </c>
      <c r="L361" s="5">
        <v>3</v>
      </c>
      <c r="M361" s="5">
        <v>1</v>
      </c>
      <c r="N361" s="5">
        <v>1</v>
      </c>
      <c r="O361" s="5">
        <v>717.89</v>
      </c>
      <c r="P361" s="6">
        <v>0</v>
      </c>
    </row>
    <row r="362" spans="1:16" ht="23.4" x14ac:dyDescent="0.45">
      <c r="A362" s="4" t="s">
        <v>365</v>
      </c>
      <c r="B362" s="5" t="s">
        <v>15</v>
      </c>
      <c r="C362" s="5">
        <v>27249.58</v>
      </c>
      <c r="D362" s="5">
        <v>69</v>
      </c>
      <c r="E362" s="5">
        <v>1</v>
      </c>
      <c r="F362" s="5">
        <v>1</v>
      </c>
      <c r="G362" s="5">
        <v>0.33800000000000002</v>
      </c>
      <c r="H362" s="5">
        <v>2</v>
      </c>
      <c r="I362" s="5">
        <v>500</v>
      </c>
      <c r="J362" s="5">
        <v>0</v>
      </c>
      <c r="K362" s="5">
        <v>33</v>
      </c>
      <c r="L362" s="5">
        <v>1</v>
      </c>
      <c r="M362" s="5">
        <v>1</v>
      </c>
      <c r="N362" s="5">
        <v>3</v>
      </c>
      <c r="O362" s="5">
        <v>767.17</v>
      </c>
      <c r="P362" s="6">
        <v>0</v>
      </c>
    </row>
    <row r="363" spans="1:16" ht="23.4" x14ac:dyDescent="0.45">
      <c r="A363" s="4" t="s">
        <v>366</v>
      </c>
      <c r="B363" s="5" t="s">
        <v>18</v>
      </c>
      <c r="C363" s="5">
        <v>16549.73</v>
      </c>
      <c r="D363" s="5">
        <v>49</v>
      </c>
      <c r="E363" s="5">
        <v>0</v>
      </c>
      <c r="F363" s="5">
        <v>0.6956</v>
      </c>
      <c r="G363" s="5">
        <v>0.3483</v>
      </c>
      <c r="H363" s="5">
        <v>0</v>
      </c>
      <c r="I363" s="5">
        <v>22495.040000000001</v>
      </c>
      <c r="J363" s="5">
        <v>15247.27</v>
      </c>
      <c r="K363" s="5">
        <v>118</v>
      </c>
      <c r="L363" s="5">
        <v>2</v>
      </c>
      <c r="M363" s="5">
        <v>2</v>
      </c>
      <c r="N363" s="5">
        <v>1</v>
      </c>
      <c r="O363" s="5">
        <v>722.64</v>
      </c>
      <c r="P363" s="6">
        <v>0</v>
      </c>
    </row>
    <row r="364" spans="1:16" ht="23.4" x14ac:dyDescent="0.45">
      <c r="A364" s="4" t="s">
        <v>367</v>
      </c>
      <c r="B364" s="5" t="s">
        <v>15</v>
      </c>
      <c r="C364" s="5">
        <v>51687.01</v>
      </c>
      <c r="D364" s="5">
        <v>50</v>
      </c>
      <c r="E364" s="5">
        <v>1</v>
      </c>
      <c r="F364" s="5">
        <v>0.65210000000000001</v>
      </c>
      <c r="G364" s="5">
        <v>0.32529999999999998</v>
      </c>
      <c r="H364" s="5">
        <v>6</v>
      </c>
      <c r="I364" s="5">
        <v>33198.65</v>
      </c>
      <c r="J364" s="5">
        <v>16731.66</v>
      </c>
      <c r="K364" s="5">
        <v>23</v>
      </c>
      <c r="L364" s="5">
        <v>2</v>
      </c>
      <c r="M364" s="5">
        <v>1</v>
      </c>
      <c r="N364" s="5">
        <v>2</v>
      </c>
      <c r="O364" s="5">
        <v>638.46</v>
      </c>
      <c r="P364" s="6">
        <v>0</v>
      </c>
    </row>
    <row r="365" spans="1:16" ht="23.4" x14ac:dyDescent="0.45">
      <c r="A365" s="4" t="s">
        <v>368</v>
      </c>
      <c r="B365" s="5" t="s">
        <v>6</v>
      </c>
      <c r="C365" s="5">
        <v>77203.73</v>
      </c>
      <c r="D365" s="5">
        <v>53</v>
      </c>
      <c r="E365" s="5">
        <v>0</v>
      </c>
      <c r="F365" s="5">
        <v>0.60709999999999997</v>
      </c>
      <c r="G365" s="5">
        <v>0.51029999999999998</v>
      </c>
      <c r="H365" s="5">
        <v>7</v>
      </c>
      <c r="I365" s="5">
        <v>42870.76</v>
      </c>
      <c r="J365" s="5">
        <v>28521.19</v>
      </c>
      <c r="K365" s="5">
        <v>22</v>
      </c>
      <c r="L365" s="5">
        <v>2</v>
      </c>
      <c r="M365" s="5">
        <v>2</v>
      </c>
      <c r="N365" s="5">
        <v>0</v>
      </c>
      <c r="O365" s="5">
        <v>638.29999999999995</v>
      </c>
      <c r="P365" s="6">
        <v>0</v>
      </c>
    </row>
    <row r="366" spans="1:16" ht="23.4" x14ac:dyDescent="0.45">
      <c r="A366" s="4" t="s">
        <v>369</v>
      </c>
      <c r="B366" s="5" t="s">
        <v>15</v>
      </c>
      <c r="C366" s="5">
        <v>33022.65</v>
      </c>
      <c r="D366" s="5">
        <v>60</v>
      </c>
      <c r="E366" s="5">
        <v>1</v>
      </c>
      <c r="F366" s="5">
        <v>0.70389999999999997</v>
      </c>
      <c r="G366" s="5">
        <v>0.34689999999999999</v>
      </c>
      <c r="H366" s="5">
        <v>4</v>
      </c>
      <c r="I366" s="5">
        <v>8506.16</v>
      </c>
      <c r="J366" s="5">
        <v>9034.43</v>
      </c>
      <c r="K366" s="5">
        <v>174</v>
      </c>
      <c r="L366" s="5">
        <v>1</v>
      </c>
      <c r="M366" s="5">
        <v>2</v>
      </c>
      <c r="N366" s="5">
        <v>0</v>
      </c>
      <c r="O366" s="5">
        <v>734.95</v>
      </c>
      <c r="P366" s="6">
        <v>0</v>
      </c>
    </row>
    <row r="367" spans="1:16" ht="23.4" x14ac:dyDescent="0.45">
      <c r="A367" s="4" t="s">
        <v>370</v>
      </c>
      <c r="B367" s="5" t="s">
        <v>18</v>
      </c>
      <c r="C367" s="5">
        <v>68417.77</v>
      </c>
      <c r="D367" s="5">
        <v>27</v>
      </c>
      <c r="E367" s="5">
        <v>0</v>
      </c>
      <c r="F367" s="5">
        <v>0.98089999999999999</v>
      </c>
      <c r="G367" s="5">
        <v>0.47110000000000002</v>
      </c>
      <c r="H367" s="5">
        <v>1</v>
      </c>
      <c r="I367" s="5">
        <v>43445.86</v>
      </c>
      <c r="J367" s="5">
        <v>26818.32</v>
      </c>
      <c r="K367" s="5">
        <v>18</v>
      </c>
      <c r="L367" s="5">
        <v>2</v>
      </c>
      <c r="M367" s="5">
        <v>2</v>
      </c>
      <c r="N367" s="5">
        <v>0</v>
      </c>
      <c r="O367" s="5">
        <v>673.7</v>
      </c>
      <c r="P367" s="6">
        <v>0</v>
      </c>
    </row>
    <row r="368" spans="1:16" ht="23.4" x14ac:dyDescent="0.45">
      <c r="A368" s="4" t="s">
        <v>371</v>
      </c>
      <c r="B368" s="5" t="s">
        <v>15</v>
      </c>
      <c r="C368" s="5">
        <v>103414.9</v>
      </c>
      <c r="D368" s="5">
        <v>26</v>
      </c>
      <c r="E368" s="5">
        <v>1</v>
      </c>
      <c r="F368" s="5">
        <v>0.92479999999999996</v>
      </c>
      <c r="G368" s="5">
        <v>5.0299999999999997E-2</v>
      </c>
      <c r="H368" s="5">
        <v>1</v>
      </c>
      <c r="I368" s="5">
        <v>500</v>
      </c>
      <c r="J368" s="5">
        <v>10503.96</v>
      </c>
      <c r="K368" s="5">
        <v>112</v>
      </c>
      <c r="L368" s="5">
        <v>3</v>
      </c>
      <c r="M368" s="5">
        <v>2</v>
      </c>
      <c r="N368" s="5">
        <v>0</v>
      </c>
      <c r="O368" s="5">
        <v>702.32</v>
      </c>
      <c r="P368" s="6">
        <v>0</v>
      </c>
    </row>
    <row r="369" spans="1:16" ht="23.4" x14ac:dyDescent="0.45">
      <c r="A369" s="4" t="s">
        <v>372</v>
      </c>
      <c r="B369" s="5" t="s">
        <v>6</v>
      </c>
      <c r="C369" s="5">
        <v>52980.91</v>
      </c>
      <c r="D369" s="5">
        <v>40</v>
      </c>
      <c r="E369" s="5">
        <v>0</v>
      </c>
      <c r="F369" s="5">
        <v>0.82310000000000005</v>
      </c>
      <c r="G369" s="5">
        <v>0.48199999999999998</v>
      </c>
      <c r="H369" s="5">
        <v>2</v>
      </c>
      <c r="I369" s="5">
        <v>24691.040000000001</v>
      </c>
      <c r="J369" s="5">
        <v>18944.78</v>
      </c>
      <c r="K369" s="5">
        <v>55</v>
      </c>
      <c r="L369" s="5">
        <v>2</v>
      </c>
      <c r="M369" s="5">
        <v>1</v>
      </c>
      <c r="N369" s="5">
        <v>1</v>
      </c>
      <c r="O369" s="5">
        <v>768.99</v>
      </c>
      <c r="P369" s="6">
        <v>0</v>
      </c>
    </row>
    <row r="370" spans="1:16" ht="23.4" x14ac:dyDescent="0.45">
      <c r="A370" s="4" t="s">
        <v>373</v>
      </c>
      <c r="B370" s="5" t="s">
        <v>9</v>
      </c>
      <c r="C370" s="5">
        <v>89764.05</v>
      </c>
      <c r="D370" s="5">
        <v>27</v>
      </c>
      <c r="E370" s="5">
        <v>1</v>
      </c>
      <c r="F370" s="5">
        <v>0.49280000000000002</v>
      </c>
      <c r="G370" s="5">
        <v>0.4335</v>
      </c>
      <c r="H370" s="5">
        <v>0</v>
      </c>
      <c r="I370" s="5">
        <v>28239.45</v>
      </c>
      <c r="J370" s="5">
        <v>5780.72</v>
      </c>
      <c r="K370" s="5">
        <v>115</v>
      </c>
      <c r="L370" s="5">
        <v>3</v>
      </c>
      <c r="M370" s="5">
        <v>1</v>
      </c>
      <c r="N370" s="5">
        <v>0</v>
      </c>
      <c r="O370" s="5">
        <v>630.1</v>
      </c>
      <c r="P370" s="6">
        <v>0</v>
      </c>
    </row>
    <row r="371" spans="1:16" ht="23.4" x14ac:dyDescent="0.45">
      <c r="A371" s="4" t="s">
        <v>374</v>
      </c>
      <c r="B371" s="5" t="s">
        <v>15</v>
      </c>
      <c r="C371" s="5">
        <v>113678.6</v>
      </c>
      <c r="D371" s="5">
        <v>59</v>
      </c>
      <c r="E371" s="5">
        <v>0</v>
      </c>
      <c r="F371" s="5">
        <v>0.52539999999999998</v>
      </c>
      <c r="G371" s="5">
        <v>0.48170000000000002</v>
      </c>
      <c r="H371" s="5">
        <v>0</v>
      </c>
      <c r="I371" s="5">
        <v>97227.03</v>
      </c>
      <c r="J371" s="5">
        <v>55837.81</v>
      </c>
      <c r="K371" s="5">
        <v>168</v>
      </c>
      <c r="L371" s="5">
        <v>2</v>
      </c>
      <c r="M371" s="5">
        <v>2</v>
      </c>
      <c r="N371" s="5">
        <v>1</v>
      </c>
      <c r="O371" s="5">
        <v>726.12</v>
      </c>
      <c r="P371" s="6">
        <v>0</v>
      </c>
    </row>
    <row r="372" spans="1:16" ht="23.4" x14ac:dyDescent="0.45">
      <c r="A372" s="4" t="s">
        <v>375</v>
      </c>
      <c r="B372" s="5" t="s">
        <v>1</v>
      </c>
      <c r="C372" s="5">
        <v>107227.14</v>
      </c>
      <c r="D372" s="5">
        <v>68</v>
      </c>
      <c r="E372" s="5">
        <v>0</v>
      </c>
      <c r="F372" s="5">
        <v>1</v>
      </c>
      <c r="G372" s="5">
        <v>0.3836</v>
      </c>
      <c r="H372" s="5">
        <v>8</v>
      </c>
      <c r="I372" s="5">
        <v>26856.12</v>
      </c>
      <c r="J372" s="5">
        <v>24091.71</v>
      </c>
      <c r="K372" s="5">
        <v>14</v>
      </c>
      <c r="L372" s="5">
        <v>4</v>
      </c>
      <c r="M372" s="5">
        <v>2</v>
      </c>
      <c r="N372" s="5">
        <v>1</v>
      </c>
      <c r="O372" s="5">
        <v>790.13</v>
      </c>
      <c r="P372" s="6">
        <v>0</v>
      </c>
    </row>
    <row r="373" spans="1:16" ht="23.4" x14ac:dyDescent="0.45">
      <c r="A373" s="4" t="s">
        <v>376</v>
      </c>
      <c r="B373" s="5" t="s">
        <v>18</v>
      </c>
      <c r="C373" s="5">
        <v>88421.41</v>
      </c>
      <c r="D373" s="5">
        <v>35</v>
      </c>
      <c r="E373" s="5">
        <v>0</v>
      </c>
      <c r="F373" s="5">
        <v>0.73809999999999998</v>
      </c>
      <c r="G373" s="5">
        <v>0.61209999999999998</v>
      </c>
      <c r="H373" s="5">
        <v>4</v>
      </c>
      <c r="I373" s="5">
        <v>18511.650000000001</v>
      </c>
      <c r="J373" s="5">
        <v>20746.79</v>
      </c>
      <c r="K373" s="5">
        <v>136</v>
      </c>
      <c r="L373" s="5">
        <v>2</v>
      </c>
      <c r="M373" s="5">
        <v>3</v>
      </c>
      <c r="N373" s="5">
        <v>0</v>
      </c>
      <c r="O373" s="5">
        <v>568.71</v>
      </c>
      <c r="P373" s="6">
        <v>1</v>
      </c>
    </row>
    <row r="374" spans="1:16" ht="23.4" x14ac:dyDescent="0.45">
      <c r="A374" s="4" t="s">
        <v>377</v>
      </c>
      <c r="B374" s="5" t="s">
        <v>15</v>
      </c>
      <c r="C374" s="5">
        <v>74865.289999999994</v>
      </c>
      <c r="D374" s="5">
        <v>44</v>
      </c>
      <c r="E374" s="5">
        <v>0</v>
      </c>
      <c r="F374" s="5">
        <v>0.78600000000000003</v>
      </c>
      <c r="G374" s="5">
        <v>0.54579999999999995</v>
      </c>
      <c r="H374" s="5">
        <v>2</v>
      </c>
      <c r="I374" s="5">
        <v>40362.83</v>
      </c>
      <c r="J374" s="5">
        <v>35590.639999999999</v>
      </c>
      <c r="K374" s="5">
        <v>152</v>
      </c>
      <c r="L374" s="5">
        <v>2</v>
      </c>
      <c r="M374" s="5">
        <v>3</v>
      </c>
      <c r="N374" s="5">
        <v>1</v>
      </c>
      <c r="O374" s="5">
        <v>683.06</v>
      </c>
      <c r="P374" s="6">
        <v>0</v>
      </c>
    </row>
    <row r="375" spans="1:16" ht="23.4" x14ac:dyDescent="0.45">
      <c r="A375" s="4" t="s">
        <v>378</v>
      </c>
      <c r="B375" s="5" t="s">
        <v>1</v>
      </c>
      <c r="C375" s="5">
        <v>11241.45</v>
      </c>
      <c r="D375" s="5">
        <v>65</v>
      </c>
      <c r="E375" s="5">
        <v>0</v>
      </c>
      <c r="F375" s="5">
        <v>0.59199999999999997</v>
      </c>
      <c r="G375" s="5">
        <v>0</v>
      </c>
      <c r="H375" s="5">
        <v>3</v>
      </c>
      <c r="I375" s="5">
        <v>12129.64</v>
      </c>
      <c r="J375" s="5">
        <v>21866.560000000001</v>
      </c>
      <c r="K375" s="5">
        <v>103</v>
      </c>
      <c r="L375" s="5">
        <v>1</v>
      </c>
      <c r="M375" s="5">
        <v>1</v>
      </c>
      <c r="N375" s="5">
        <v>1</v>
      </c>
      <c r="O375" s="5">
        <v>746.41</v>
      </c>
      <c r="P375" s="6">
        <v>0</v>
      </c>
    </row>
    <row r="376" spans="1:16" ht="23.4" x14ac:dyDescent="0.45">
      <c r="A376" s="4" t="s">
        <v>379</v>
      </c>
      <c r="B376" s="5" t="s">
        <v>4</v>
      </c>
      <c r="C376" s="5">
        <v>109126.41</v>
      </c>
      <c r="D376" s="5">
        <v>28</v>
      </c>
      <c r="E376" s="5">
        <v>1</v>
      </c>
      <c r="F376" s="5">
        <v>0.51060000000000005</v>
      </c>
      <c r="G376" s="5">
        <v>0.52249999999999996</v>
      </c>
      <c r="H376" s="5">
        <v>2</v>
      </c>
      <c r="I376" s="5">
        <v>45340.04</v>
      </c>
      <c r="J376" s="5">
        <v>18496.98</v>
      </c>
      <c r="K376" s="5">
        <v>8</v>
      </c>
      <c r="L376" s="5">
        <v>2</v>
      </c>
      <c r="M376" s="5">
        <v>2</v>
      </c>
      <c r="N376" s="5">
        <v>0</v>
      </c>
      <c r="O376" s="5">
        <v>617.46</v>
      </c>
      <c r="P376" s="6">
        <v>0</v>
      </c>
    </row>
    <row r="377" spans="1:16" ht="23.4" x14ac:dyDescent="0.45">
      <c r="A377" s="4" t="s">
        <v>380</v>
      </c>
      <c r="B377" s="5" t="s">
        <v>4</v>
      </c>
      <c r="C377" s="5">
        <v>83976.65</v>
      </c>
      <c r="D377" s="5">
        <v>41</v>
      </c>
      <c r="E377" s="5">
        <v>1</v>
      </c>
      <c r="F377" s="5">
        <v>0.55869999999999997</v>
      </c>
      <c r="G377" s="5">
        <v>0.39729999999999999</v>
      </c>
      <c r="H377" s="5">
        <v>6</v>
      </c>
      <c r="I377" s="5">
        <v>40960.1</v>
      </c>
      <c r="J377" s="5">
        <v>18743.900000000001</v>
      </c>
      <c r="K377" s="5">
        <v>158</v>
      </c>
      <c r="L377" s="5">
        <v>2</v>
      </c>
      <c r="M377" s="5">
        <v>1</v>
      </c>
      <c r="N377" s="5">
        <v>0</v>
      </c>
      <c r="O377" s="5">
        <v>725.89</v>
      </c>
      <c r="P377" s="6">
        <v>0</v>
      </c>
    </row>
    <row r="378" spans="1:16" ht="23.4" x14ac:dyDescent="0.45">
      <c r="A378" s="4" t="s">
        <v>381</v>
      </c>
      <c r="B378" s="5" t="s">
        <v>1</v>
      </c>
      <c r="C378" s="5">
        <v>114353.5</v>
      </c>
      <c r="D378" s="5">
        <v>51</v>
      </c>
      <c r="E378" s="5">
        <v>0</v>
      </c>
      <c r="F378" s="5">
        <v>0.84509999999999996</v>
      </c>
      <c r="G378" s="5">
        <v>0.32840000000000003</v>
      </c>
      <c r="H378" s="5">
        <v>2</v>
      </c>
      <c r="I378" s="5">
        <v>32451.84</v>
      </c>
      <c r="J378" s="5">
        <v>25947.96</v>
      </c>
      <c r="K378" s="5">
        <v>134</v>
      </c>
      <c r="L378" s="5">
        <v>2</v>
      </c>
      <c r="M378" s="5">
        <v>2</v>
      </c>
      <c r="N378" s="5">
        <v>1</v>
      </c>
      <c r="O378" s="5">
        <v>685.56</v>
      </c>
      <c r="P378" s="6">
        <v>0</v>
      </c>
    </row>
    <row r="379" spans="1:16" ht="23.4" x14ac:dyDescent="0.45">
      <c r="A379" s="4" t="s">
        <v>382</v>
      </c>
      <c r="B379" s="5" t="s">
        <v>15</v>
      </c>
      <c r="C379" s="5">
        <v>93575.77</v>
      </c>
      <c r="D379" s="5">
        <v>57</v>
      </c>
      <c r="E379" s="5">
        <v>1</v>
      </c>
      <c r="F379" s="5">
        <v>0.79190000000000005</v>
      </c>
      <c r="G379" s="5">
        <v>0.72619999999999996</v>
      </c>
      <c r="H379" s="5">
        <v>4</v>
      </c>
      <c r="I379" s="5">
        <v>56725.45</v>
      </c>
      <c r="J379" s="5">
        <v>53133.47</v>
      </c>
      <c r="K379" s="5">
        <v>88</v>
      </c>
      <c r="L379" s="5">
        <v>2</v>
      </c>
      <c r="M379" s="5">
        <v>2</v>
      </c>
      <c r="N379" s="5">
        <v>0</v>
      </c>
      <c r="O379" s="5">
        <v>732.14</v>
      </c>
      <c r="P379" s="6">
        <v>0</v>
      </c>
    </row>
    <row r="380" spans="1:16" ht="23.4" x14ac:dyDescent="0.45">
      <c r="A380" s="4" t="s">
        <v>383</v>
      </c>
      <c r="B380" s="5" t="s">
        <v>1</v>
      </c>
      <c r="C380" s="5">
        <v>70616.28</v>
      </c>
      <c r="D380" s="5">
        <v>43</v>
      </c>
      <c r="E380" s="5">
        <v>0</v>
      </c>
      <c r="F380" s="5">
        <v>0.7974</v>
      </c>
      <c r="G380" s="5">
        <v>0.35399999999999998</v>
      </c>
      <c r="H380" s="5">
        <v>2</v>
      </c>
      <c r="I380" s="5">
        <v>9983.23</v>
      </c>
      <c r="J380" s="5">
        <v>29500.87</v>
      </c>
      <c r="K380" s="5">
        <v>163</v>
      </c>
      <c r="L380" s="5">
        <v>3</v>
      </c>
      <c r="M380" s="5">
        <v>2</v>
      </c>
      <c r="N380" s="5">
        <v>1</v>
      </c>
      <c r="O380" s="5">
        <v>590.5</v>
      </c>
      <c r="P380" s="6">
        <v>0</v>
      </c>
    </row>
    <row r="381" spans="1:16" ht="23.4" x14ac:dyDescent="0.45">
      <c r="A381" s="4" t="s">
        <v>384</v>
      </c>
      <c r="B381" s="5" t="s">
        <v>4</v>
      </c>
      <c r="C381" s="5">
        <v>127351.7</v>
      </c>
      <c r="D381" s="5">
        <v>64</v>
      </c>
      <c r="E381" s="5">
        <v>1</v>
      </c>
      <c r="F381" s="5">
        <v>0.46360000000000001</v>
      </c>
      <c r="G381" s="5">
        <v>0.69989999999999997</v>
      </c>
      <c r="H381" s="5">
        <v>5</v>
      </c>
      <c r="I381" s="5">
        <v>83279.69</v>
      </c>
      <c r="J381" s="5">
        <v>67135.27</v>
      </c>
      <c r="K381" s="5">
        <v>43</v>
      </c>
      <c r="L381" s="5">
        <v>3</v>
      </c>
      <c r="M381" s="5">
        <v>2</v>
      </c>
      <c r="N381" s="5">
        <v>0</v>
      </c>
      <c r="O381" s="5">
        <v>698.82</v>
      </c>
      <c r="P381" s="6">
        <v>0</v>
      </c>
    </row>
    <row r="382" spans="1:16" ht="23.4" x14ac:dyDescent="0.45">
      <c r="A382" s="4" t="s">
        <v>385</v>
      </c>
      <c r="B382" s="5" t="s">
        <v>6</v>
      </c>
      <c r="C382" s="5">
        <v>127664.4</v>
      </c>
      <c r="D382" s="5">
        <v>22</v>
      </c>
      <c r="E382" s="5">
        <v>0</v>
      </c>
      <c r="F382" s="5">
        <v>0.84079999999999999</v>
      </c>
      <c r="G382" s="5">
        <v>0.1981</v>
      </c>
      <c r="H382" s="5">
        <v>4</v>
      </c>
      <c r="I382" s="5">
        <v>29763.42</v>
      </c>
      <c r="J382" s="5">
        <v>31687.33</v>
      </c>
      <c r="K382" s="5">
        <v>72</v>
      </c>
      <c r="L382" s="5">
        <v>2</v>
      </c>
      <c r="M382" s="5">
        <v>2</v>
      </c>
      <c r="N382" s="5">
        <v>3</v>
      </c>
      <c r="O382" s="5">
        <v>704.89</v>
      </c>
      <c r="P382" s="6">
        <v>0</v>
      </c>
    </row>
    <row r="383" spans="1:16" ht="23.4" x14ac:dyDescent="0.45">
      <c r="A383" s="4" t="s">
        <v>386</v>
      </c>
      <c r="B383" s="5" t="s">
        <v>6</v>
      </c>
      <c r="C383" s="5">
        <v>27092.92</v>
      </c>
      <c r="D383" s="5">
        <v>63</v>
      </c>
      <c r="E383" s="5">
        <v>1</v>
      </c>
      <c r="F383" s="5">
        <v>0.54859999999999998</v>
      </c>
      <c r="G383" s="5">
        <v>0.36780000000000002</v>
      </c>
      <c r="H383" s="5">
        <v>4</v>
      </c>
      <c r="I383" s="5">
        <v>13667.8</v>
      </c>
      <c r="J383" s="5">
        <v>6367.75</v>
      </c>
      <c r="K383" s="5">
        <v>125</v>
      </c>
      <c r="L383" s="5">
        <v>2</v>
      </c>
      <c r="M383" s="5">
        <v>1</v>
      </c>
      <c r="N383" s="5">
        <v>0</v>
      </c>
      <c r="O383" s="5">
        <v>641.34</v>
      </c>
      <c r="P383" s="6">
        <v>0</v>
      </c>
    </row>
    <row r="384" spans="1:16" ht="23.4" x14ac:dyDescent="0.45">
      <c r="A384" s="4" t="s">
        <v>387</v>
      </c>
      <c r="B384" s="5" t="s">
        <v>1</v>
      </c>
      <c r="C384" s="5">
        <v>129554.4</v>
      </c>
      <c r="D384" s="5">
        <v>27</v>
      </c>
      <c r="E384" s="5">
        <v>1</v>
      </c>
      <c r="F384" s="5">
        <v>0.46460000000000001</v>
      </c>
      <c r="G384" s="5">
        <v>0.89890000000000003</v>
      </c>
      <c r="H384" s="5">
        <v>5</v>
      </c>
      <c r="I384" s="5">
        <v>110037.28</v>
      </c>
      <c r="J384" s="5">
        <v>59782.97</v>
      </c>
      <c r="K384" s="5">
        <v>103</v>
      </c>
      <c r="L384" s="5">
        <v>2</v>
      </c>
      <c r="M384" s="5">
        <v>2</v>
      </c>
      <c r="N384" s="5">
        <v>2</v>
      </c>
      <c r="O384" s="5">
        <v>553.30999999999995</v>
      </c>
      <c r="P384" s="6">
        <v>1</v>
      </c>
    </row>
    <row r="385" spans="1:16" ht="23.4" x14ac:dyDescent="0.45">
      <c r="A385" s="4" t="s">
        <v>388</v>
      </c>
      <c r="B385" s="5" t="s">
        <v>9</v>
      </c>
      <c r="C385" s="5">
        <v>95838.5</v>
      </c>
      <c r="D385" s="5">
        <v>33</v>
      </c>
      <c r="E385" s="5">
        <v>0</v>
      </c>
      <c r="F385" s="5">
        <v>0.47860000000000003</v>
      </c>
      <c r="G385" s="5">
        <v>0.39889999999999998</v>
      </c>
      <c r="H385" s="5">
        <v>3</v>
      </c>
      <c r="I385" s="5">
        <v>36831.230000000003</v>
      </c>
      <c r="J385" s="5">
        <v>21945.119999999999</v>
      </c>
      <c r="K385" s="5">
        <v>91</v>
      </c>
      <c r="L385" s="5">
        <v>2</v>
      </c>
      <c r="M385" s="5">
        <v>2</v>
      </c>
      <c r="N385" s="5">
        <v>0</v>
      </c>
      <c r="O385" s="5">
        <v>749.19</v>
      </c>
      <c r="P385" s="6">
        <v>0</v>
      </c>
    </row>
    <row r="386" spans="1:16" ht="23.4" x14ac:dyDescent="0.45">
      <c r="A386" s="4" t="s">
        <v>389</v>
      </c>
      <c r="B386" s="5" t="s">
        <v>6</v>
      </c>
      <c r="C386" s="5">
        <v>66525.16</v>
      </c>
      <c r="D386" s="5">
        <v>53</v>
      </c>
      <c r="E386" s="5">
        <v>0</v>
      </c>
      <c r="F386" s="5">
        <v>0.83379999999999999</v>
      </c>
      <c r="G386" s="5">
        <v>0.38550000000000001</v>
      </c>
      <c r="H386" s="5">
        <v>3</v>
      </c>
      <c r="I386" s="5">
        <v>24930.75</v>
      </c>
      <c r="J386" s="5">
        <v>26195.37</v>
      </c>
      <c r="K386" s="5">
        <v>13</v>
      </c>
      <c r="L386" s="5">
        <v>3</v>
      </c>
      <c r="M386" s="5">
        <v>3</v>
      </c>
      <c r="N386" s="5">
        <v>0</v>
      </c>
      <c r="O386" s="5">
        <v>686.54</v>
      </c>
      <c r="P386" s="6">
        <v>0</v>
      </c>
    </row>
    <row r="387" spans="1:16" ht="23.4" x14ac:dyDescent="0.45">
      <c r="A387" s="4" t="s">
        <v>390</v>
      </c>
      <c r="B387" s="5" t="s">
        <v>18</v>
      </c>
      <c r="C387" s="5">
        <v>127683.03</v>
      </c>
      <c r="D387" s="5">
        <v>67</v>
      </c>
      <c r="E387" s="5">
        <v>0</v>
      </c>
      <c r="F387" s="5">
        <v>0.32440000000000002</v>
      </c>
      <c r="G387" s="5">
        <v>0.82879999999999998</v>
      </c>
      <c r="H387" s="5">
        <v>3</v>
      </c>
      <c r="I387" s="5">
        <v>92172.33</v>
      </c>
      <c r="J387" s="5">
        <v>49668.18</v>
      </c>
      <c r="K387" s="5">
        <v>45</v>
      </c>
      <c r="L387" s="5">
        <v>2</v>
      </c>
      <c r="M387" s="5">
        <v>1</v>
      </c>
      <c r="N387" s="5">
        <v>1</v>
      </c>
      <c r="O387" s="5">
        <v>666.67</v>
      </c>
      <c r="P387" s="6">
        <v>0</v>
      </c>
    </row>
    <row r="388" spans="1:16" ht="23.4" x14ac:dyDescent="0.45">
      <c r="A388" s="4" t="s">
        <v>391</v>
      </c>
      <c r="B388" s="5" t="s">
        <v>6</v>
      </c>
      <c r="C388" s="5">
        <v>134253.01</v>
      </c>
      <c r="D388" s="5">
        <v>58</v>
      </c>
      <c r="E388" s="5">
        <v>1</v>
      </c>
      <c r="F388" s="5">
        <v>0.91420000000000001</v>
      </c>
      <c r="G388" s="5">
        <v>0</v>
      </c>
      <c r="H388" s="5">
        <v>0</v>
      </c>
      <c r="I388" s="5">
        <v>8381.16</v>
      </c>
      <c r="J388" s="5">
        <v>1189.3900000000001</v>
      </c>
      <c r="K388" s="5">
        <v>140</v>
      </c>
      <c r="L388" s="5">
        <v>3</v>
      </c>
      <c r="M388" s="5">
        <v>1</v>
      </c>
      <c r="N388" s="5">
        <v>2</v>
      </c>
      <c r="O388" s="5">
        <v>770.72</v>
      </c>
      <c r="P388" s="6">
        <v>0</v>
      </c>
    </row>
    <row r="389" spans="1:16" ht="23.4" x14ac:dyDescent="0.45">
      <c r="A389" s="4" t="s">
        <v>392</v>
      </c>
      <c r="B389" s="5" t="s">
        <v>9</v>
      </c>
      <c r="C389" s="5">
        <v>24759.91</v>
      </c>
      <c r="D389" s="5">
        <v>31</v>
      </c>
      <c r="E389" s="5">
        <v>1</v>
      </c>
      <c r="F389" s="5">
        <v>0.59489999999999998</v>
      </c>
      <c r="G389" s="5">
        <v>0.69089999999999996</v>
      </c>
      <c r="H389" s="5">
        <v>5</v>
      </c>
      <c r="I389" s="5">
        <v>14716.77</v>
      </c>
      <c r="J389" s="5">
        <v>2605.21</v>
      </c>
      <c r="K389" s="5">
        <v>13</v>
      </c>
      <c r="L389" s="5">
        <v>3</v>
      </c>
      <c r="M389" s="5">
        <v>2</v>
      </c>
      <c r="N389" s="5">
        <v>0</v>
      </c>
      <c r="O389" s="5">
        <v>778.62</v>
      </c>
      <c r="P389" s="6">
        <v>0</v>
      </c>
    </row>
    <row r="390" spans="1:16" ht="23.4" x14ac:dyDescent="0.45">
      <c r="A390" s="4" t="s">
        <v>393</v>
      </c>
      <c r="B390" s="5" t="s">
        <v>4</v>
      </c>
      <c r="C390" s="5">
        <v>2000</v>
      </c>
      <c r="D390" s="5">
        <v>61</v>
      </c>
      <c r="E390" s="5">
        <v>1</v>
      </c>
      <c r="F390" s="5">
        <v>0.86329999999999996</v>
      </c>
      <c r="G390" s="5">
        <v>0.58260000000000001</v>
      </c>
      <c r="H390" s="5">
        <v>3</v>
      </c>
      <c r="I390" s="5">
        <v>2461.71</v>
      </c>
      <c r="J390" s="5">
        <v>0</v>
      </c>
      <c r="K390" s="5">
        <v>53</v>
      </c>
      <c r="L390" s="5">
        <v>1</v>
      </c>
      <c r="M390" s="5">
        <v>3</v>
      </c>
      <c r="N390" s="5">
        <v>1</v>
      </c>
      <c r="O390" s="5">
        <v>641.91</v>
      </c>
      <c r="P390" s="6">
        <v>0</v>
      </c>
    </row>
    <row r="391" spans="1:16" ht="23.4" x14ac:dyDescent="0.45">
      <c r="A391" s="4" t="s">
        <v>394</v>
      </c>
      <c r="B391" s="5" t="s">
        <v>6</v>
      </c>
      <c r="C391" s="5">
        <v>51843.19</v>
      </c>
      <c r="D391" s="5">
        <v>35</v>
      </c>
      <c r="E391" s="5">
        <v>0</v>
      </c>
      <c r="F391" s="5">
        <v>0.62770000000000004</v>
      </c>
      <c r="G391" s="5">
        <v>0.18210000000000001</v>
      </c>
      <c r="H391" s="5">
        <v>1</v>
      </c>
      <c r="I391" s="5">
        <v>500</v>
      </c>
      <c r="J391" s="5">
        <v>0</v>
      </c>
      <c r="K391" s="5">
        <v>172</v>
      </c>
      <c r="L391" s="5">
        <v>2</v>
      </c>
      <c r="M391" s="5">
        <v>2</v>
      </c>
      <c r="N391" s="5">
        <v>1</v>
      </c>
      <c r="O391" s="5">
        <v>709.55</v>
      </c>
      <c r="P391" s="6">
        <v>0</v>
      </c>
    </row>
    <row r="392" spans="1:16" ht="23.4" x14ac:dyDescent="0.45">
      <c r="A392" s="4" t="s">
        <v>395</v>
      </c>
      <c r="B392" s="5" t="s">
        <v>9</v>
      </c>
      <c r="C392" s="5">
        <v>94020.07</v>
      </c>
      <c r="D392" s="5">
        <v>69</v>
      </c>
      <c r="E392" s="5">
        <v>0</v>
      </c>
      <c r="F392" s="5">
        <v>0.748</v>
      </c>
      <c r="G392" s="5">
        <v>0.95879999999999999</v>
      </c>
      <c r="H392" s="5">
        <v>4</v>
      </c>
      <c r="I392" s="5">
        <v>100269.12</v>
      </c>
      <c r="J392" s="5">
        <v>68359.740000000005</v>
      </c>
      <c r="K392" s="5">
        <v>177</v>
      </c>
      <c r="L392" s="5">
        <v>4</v>
      </c>
      <c r="M392" s="5">
        <v>2</v>
      </c>
      <c r="N392" s="5">
        <v>0</v>
      </c>
      <c r="O392" s="5">
        <v>819.82</v>
      </c>
      <c r="P392" s="6">
        <v>0</v>
      </c>
    </row>
    <row r="393" spans="1:16" ht="23.4" x14ac:dyDescent="0.45">
      <c r="A393" s="4" t="s">
        <v>396</v>
      </c>
      <c r="B393" s="5" t="s">
        <v>9</v>
      </c>
      <c r="C393" s="5">
        <v>32039.56</v>
      </c>
      <c r="D393" s="5">
        <v>52</v>
      </c>
      <c r="E393" s="5">
        <v>0</v>
      </c>
      <c r="F393" s="5">
        <v>0.54720000000000002</v>
      </c>
      <c r="G393" s="5">
        <v>0</v>
      </c>
      <c r="H393" s="5">
        <v>2</v>
      </c>
      <c r="I393" s="5">
        <v>500</v>
      </c>
      <c r="J393" s="5">
        <v>2104.48</v>
      </c>
      <c r="K393" s="5">
        <v>103</v>
      </c>
      <c r="L393" s="5">
        <v>2</v>
      </c>
      <c r="M393" s="5">
        <v>1</v>
      </c>
      <c r="N393" s="5">
        <v>2</v>
      </c>
      <c r="O393" s="5">
        <v>634.66999999999996</v>
      </c>
      <c r="P393" s="6">
        <v>0</v>
      </c>
    </row>
    <row r="394" spans="1:16" ht="23.4" x14ac:dyDescent="0.45">
      <c r="A394" s="4" t="s">
        <v>397</v>
      </c>
      <c r="B394" s="5" t="s">
        <v>6</v>
      </c>
      <c r="C394" s="5">
        <v>27209.3</v>
      </c>
      <c r="D394" s="5">
        <v>66</v>
      </c>
      <c r="E394" s="5">
        <v>0</v>
      </c>
      <c r="F394" s="5">
        <v>0.63549999999999995</v>
      </c>
      <c r="G394" s="5">
        <v>0.46970000000000001</v>
      </c>
      <c r="H394" s="5">
        <v>0</v>
      </c>
      <c r="I394" s="5">
        <v>500</v>
      </c>
      <c r="J394" s="5">
        <v>4813.6400000000003</v>
      </c>
      <c r="K394" s="5">
        <v>16</v>
      </c>
      <c r="L394" s="5">
        <v>3</v>
      </c>
      <c r="M394" s="5">
        <v>1</v>
      </c>
      <c r="N394" s="5">
        <v>1</v>
      </c>
      <c r="O394" s="5">
        <v>705.57</v>
      </c>
      <c r="P394" s="6">
        <v>0</v>
      </c>
    </row>
    <row r="395" spans="1:16" ht="23.4" x14ac:dyDescent="0.45">
      <c r="A395" s="4" t="s">
        <v>398</v>
      </c>
      <c r="B395" s="5" t="s">
        <v>15</v>
      </c>
      <c r="C395" s="5">
        <v>88708.44</v>
      </c>
      <c r="D395" s="5">
        <v>69</v>
      </c>
      <c r="E395" s="5">
        <v>0</v>
      </c>
      <c r="F395" s="5">
        <v>0.65669999999999995</v>
      </c>
      <c r="G395" s="5">
        <v>0.34179999999999999</v>
      </c>
      <c r="H395" s="5">
        <v>2</v>
      </c>
      <c r="I395" s="5">
        <v>44933.32</v>
      </c>
      <c r="J395" s="5">
        <v>24733.759999999998</v>
      </c>
      <c r="K395" s="5">
        <v>124</v>
      </c>
      <c r="L395" s="5">
        <v>1</v>
      </c>
      <c r="M395" s="5">
        <v>1</v>
      </c>
      <c r="N395" s="5">
        <v>2</v>
      </c>
      <c r="O395" s="5">
        <v>807.42</v>
      </c>
      <c r="P395" s="6">
        <v>0</v>
      </c>
    </row>
    <row r="396" spans="1:16" ht="23.4" x14ac:dyDescent="0.45">
      <c r="A396" s="4" t="s">
        <v>399</v>
      </c>
      <c r="B396" s="5" t="s">
        <v>18</v>
      </c>
      <c r="C396" s="5">
        <v>131303.24</v>
      </c>
      <c r="D396" s="5">
        <v>62</v>
      </c>
      <c r="E396" s="5">
        <v>0</v>
      </c>
      <c r="F396" s="5">
        <v>0.57299999999999995</v>
      </c>
      <c r="G396" s="5">
        <v>1.7899999999999999E-2</v>
      </c>
      <c r="H396" s="5">
        <v>2</v>
      </c>
      <c r="I396" s="5">
        <v>22091.49</v>
      </c>
      <c r="J396" s="5">
        <v>22968.58</v>
      </c>
      <c r="K396" s="5">
        <v>145</v>
      </c>
      <c r="L396" s="5">
        <v>1</v>
      </c>
      <c r="M396" s="5">
        <v>1</v>
      </c>
      <c r="N396" s="5">
        <v>1</v>
      </c>
      <c r="O396" s="5">
        <v>751.97</v>
      </c>
      <c r="P396" s="6">
        <v>0</v>
      </c>
    </row>
    <row r="397" spans="1:16" ht="23.4" x14ac:dyDescent="0.45">
      <c r="A397" s="4" t="s">
        <v>400</v>
      </c>
      <c r="B397" s="5" t="s">
        <v>4</v>
      </c>
      <c r="C397" s="5">
        <v>144214.04999999999</v>
      </c>
      <c r="D397" s="5">
        <v>33</v>
      </c>
      <c r="E397" s="5">
        <v>1</v>
      </c>
      <c r="F397" s="5">
        <v>0.76429999999999998</v>
      </c>
      <c r="G397" s="5">
        <v>0.32690000000000002</v>
      </c>
      <c r="H397" s="5">
        <v>1</v>
      </c>
      <c r="I397" s="5">
        <v>66525.61</v>
      </c>
      <c r="J397" s="5">
        <v>45801.35</v>
      </c>
      <c r="K397" s="5">
        <v>37</v>
      </c>
      <c r="L397" s="5">
        <v>1</v>
      </c>
      <c r="M397" s="5">
        <v>2</v>
      </c>
      <c r="N397" s="5">
        <v>1</v>
      </c>
      <c r="O397" s="5">
        <v>680.71</v>
      </c>
      <c r="P397" s="6">
        <v>0</v>
      </c>
    </row>
    <row r="398" spans="1:16" ht="23.4" x14ac:dyDescent="0.45">
      <c r="A398" s="4" t="s">
        <v>401</v>
      </c>
      <c r="B398" s="5" t="s">
        <v>9</v>
      </c>
      <c r="C398" s="5">
        <v>70772.3</v>
      </c>
      <c r="D398" s="5">
        <v>53</v>
      </c>
      <c r="E398" s="5">
        <v>0</v>
      </c>
      <c r="F398" s="5">
        <v>0.38929999999999998</v>
      </c>
      <c r="G398" s="5">
        <v>0.28749999999999998</v>
      </c>
      <c r="H398" s="5">
        <v>1</v>
      </c>
      <c r="I398" s="5">
        <v>16076.8</v>
      </c>
      <c r="J398" s="5">
        <v>8188.56</v>
      </c>
      <c r="K398" s="5">
        <v>49</v>
      </c>
      <c r="L398" s="5">
        <v>3</v>
      </c>
      <c r="M398" s="5">
        <v>2</v>
      </c>
      <c r="N398" s="5">
        <v>1</v>
      </c>
      <c r="O398" s="5">
        <v>744.74</v>
      </c>
      <c r="P398" s="6">
        <v>0</v>
      </c>
    </row>
    <row r="399" spans="1:16" ht="23.4" x14ac:dyDescent="0.45">
      <c r="A399" s="4" t="s">
        <v>402</v>
      </c>
      <c r="B399" s="5" t="s">
        <v>18</v>
      </c>
      <c r="C399" s="5">
        <v>163406.82999999999</v>
      </c>
      <c r="D399" s="5">
        <v>66</v>
      </c>
      <c r="E399" s="5">
        <v>0</v>
      </c>
      <c r="F399" s="5">
        <v>0.86280000000000001</v>
      </c>
      <c r="G399" s="5">
        <v>0.46800000000000003</v>
      </c>
      <c r="H399" s="5">
        <v>2</v>
      </c>
      <c r="I399" s="5">
        <v>38563.85</v>
      </c>
      <c r="J399" s="5">
        <v>27516.11</v>
      </c>
      <c r="K399" s="5">
        <v>39</v>
      </c>
      <c r="L399" s="5">
        <v>4</v>
      </c>
      <c r="M399" s="5">
        <v>1</v>
      </c>
      <c r="N399" s="5">
        <v>1</v>
      </c>
      <c r="O399" s="5">
        <v>752.86</v>
      </c>
      <c r="P399" s="6">
        <v>1</v>
      </c>
    </row>
    <row r="400" spans="1:16" ht="23.4" x14ac:dyDescent="0.45">
      <c r="A400" s="4" t="s">
        <v>403</v>
      </c>
      <c r="B400" s="5" t="s">
        <v>4</v>
      </c>
      <c r="C400" s="5">
        <v>37126.17</v>
      </c>
      <c r="D400" s="5">
        <v>21</v>
      </c>
      <c r="E400" s="5">
        <v>1</v>
      </c>
      <c r="F400" s="5">
        <v>0.70350000000000001</v>
      </c>
      <c r="G400" s="5">
        <v>0.17299999999999999</v>
      </c>
      <c r="H400" s="5">
        <v>0</v>
      </c>
      <c r="I400" s="5">
        <v>10972.27</v>
      </c>
      <c r="J400" s="5">
        <v>18965.68</v>
      </c>
      <c r="K400" s="5">
        <v>122</v>
      </c>
      <c r="L400" s="5">
        <v>2</v>
      </c>
      <c r="M400" s="5">
        <v>1</v>
      </c>
      <c r="N400" s="5">
        <v>1</v>
      </c>
      <c r="O400" s="5">
        <v>723.09</v>
      </c>
      <c r="P400" s="6">
        <v>0</v>
      </c>
    </row>
    <row r="401" spans="1:16" ht="23.4" x14ac:dyDescent="0.45">
      <c r="A401" s="4" t="s">
        <v>404</v>
      </c>
      <c r="B401" s="5" t="s">
        <v>18</v>
      </c>
      <c r="C401" s="5">
        <v>146626.5</v>
      </c>
      <c r="D401" s="5">
        <v>56</v>
      </c>
      <c r="E401" s="5">
        <v>0</v>
      </c>
      <c r="F401" s="5">
        <v>0.75819999999999999</v>
      </c>
      <c r="G401" s="5">
        <v>0.2457</v>
      </c>
      <c r="H401" s="5">
        <v>2</v>
      </c>
      <c r="I401" s="5">
        <v>40660.980000000003</v>
      </c>
      <c r="J401" s="5">
        <v>25982.59</v>
      </c>
      <c r="K401" s="5">
        <v>14</v>
      </c>
      <c r="L401" s="5">
        <v>2</v>
      </c>
      <c r="M401" s="5">
        <v>2</v>
      </c>
      <c r="N401" s="5">
        <v>0</v>
      </c>
      <c r="O401" s="5">
        <v>748.65</v>
      </c>
      <c r="P401" s="6">
        <v>0</v>
      </c>
    </row>
    <row r="402" spans="1:16" ht="23.4" x14ac:dyDescent="0.45">
      <c r="A402" s="4" t="s">
        <v>405</v>
      </c>
      <c r="B402" s="5" t="s">
        <v>1</v>
      </c>
      <c r="C402" s="5">
        <v>134542.76</v>
      </c>
      <c r="D402" s="5">
        <v>32</v>
      </c>
      <c r="E402" s="5">
        <v>1</v>
      </c>
      <c r="F402" s="5">
        <v>0.76300000000000001</v>
      </c>
      <c r="G402" s="5">
        <v>0.5081</v>
      </c>
      <c r="H402" s="5">
        <v>4</v>
      </c>
      <c r="I402" s="5">
        <v>56010.32</v>
      </c>
      <c r="J402" s="5">
        <v>28980.59</v>
      </c>
      <c r="K402" s="5">
        <v>152</v>
      </c>
      <c r="L402" s="5">
        <v>3</v>
      </c>
      <c r="M402" s="5">
        <v>1</v>
      </c>
      <c r="N402" s="5">
        <v>1</v>
      </c>
      <c r="O402" s="5">
        <v>578.73</v>
      </c>
      <c r="P402" s="6">
        <v>0</v>
      </c>
    </row>
    <row r="403" spans="1:16" ht="23.4" x14ac:dyDescent="0.45">
      <c r="A403" s="4" t="s">
        <v>406</v>
      </c>
      <c r="B403" s="5" t="s">
        <v>18</v>
      </c>
      <c r="C403" s="5">
        <v>40397.9</v>
      </c>
      <c r="D403" s="5">
        <v>40</v>
      </c>
      <c r="E403" s="5">
        <v>1</v>
      </c>
      <c r="F403" s="5">
        <v>0.51139999999999997</v>
      </c>
      <c r="G403" s="5">
        <v>0.87870000000000004</v>
      </c>
      <c r="H403" s="5">
        <v>6</v>
      </c>
      <c r="I403" s="5">
        <v>12639.72</v>
      </c>
      <c r="J403" s="5">
        <v>9263.31</v>
      </c>
      <c r="K403" s="5">
        <v>126</v>
      </c>
      <c r="L403" s="5">
        <v>1</v>
      </c>
      <c r="M403" s="5">
        <v>2</v>
      </c>
      <c r="N403" s="5">
        <v>0</v>
      </c>
      <c r="O403" s="5">
        <v>622.76</v>
      </c>
      <c r="P403" s="6">
        <v>0</v>
      </c>
    </row>
    <row r="404" spans="1:16" ht="23.4" x14ac:dyDescent="0.45">
      <c r="A404" s="4" t="s">
        <v>407</v>
      </c>
      <c r="B404" s="5" t="s">
        <v>9</v>
      </c>
      <c r="C404" s="5">
        <v>21403.31</v>
      </c>
      <c r="D404" s="5">
        <v>60</v>
      </c>
      <c r="E404" s="5">
        <v>0</v>
      </c>
      <c r="F404" s="5">
        <v>0.65239999999999998</v>
      </c>
      <c r="G404" s="5">
        <v>0.70389999999999997</v>
      </c>
      <c r="H404" s="5">
        <v>5</v>
      </c>
      <c r="I404" s="5">
        <v>33316.51</v>
      </c>
      <c r="J404" s="5">
        <v>20750.919999999998</v>
      </c>
      <c r="K404" s="5">
        <v>28</v>
      </c>
      <c r="L404" s="5">
        <v>2</v>
      </c>
      <c r="M404" s="5">
        <v>2</v>
      </c>
      <c r="N404" s="5">
        <v>2</v>
      </c>
      <c r="O404" s="5">
        <v>721.16</v>
      </c>
      <c r="P404" s="6">
        <v>0</v>
      </c>
    </row>
    <row r="405" spans="1:16" ht="23.4" x14ac:dyDescent="0.45">
      <c r="A405" s="4" t="s">
        <v>408</v>
      </c>
      <c r="B405" s="5" t="s">
        <v>1</v>
      </c>
      <c r="C405" s="5">
        <v>86811.58</v>
      </c>
      <c r="D405" s="5">
        <v>41</v>
      </c>
      <c r="E405" s="5">
        <v>1</v>
      </c>
      <c r="F405" s="5">
        <v>0.68410000000000004</v>
      </c>
      <c r="G405" s="5">
        <v>0.72650000000000003</v>
      </c>
      <c r="H405" s="5">
        <v>1</v>
      </c>
      <c r="I405" s="5">
        <v>39064.67</v>
      </c>
      <c r="J405" s="5">
        <v>19259.55</v>
      </c>
      <c r="K405" s="5">
        <v>167</v>
      </c>
      <c r="L405" s="5">
        <v>2</v>
      </c>
      <c r="M405" s="5">
        <v>2</v>
      </c>
      <c r="N405" s="5">
        <v>2</v>
      </c>
      <c r="O405" s="5">
        <v>627.73</v>
      </c>
      <c r="P405" s="6">
        <v>0</v>
      </c>
    </row>
    <row r="406" spans="1:16" ht="23.4" x14ac:dyDescent="0.45">
      <c r="A406" s="4" t="s">
        <v>409</v>
      </c>
      <c r="B406" s="5" t="s">
        <v>9</v>
      </c>
      <c r="C406" s="5">
        <v>82571.850000000006</v>
      </c>
      <c r="D406" s="5">
        <v>28</v>
      </c>
      <c r="E406" s="5">
        <v>0</v>
      </c>
      <c r="F406" s="5">
        <v>0.82699999999999996</v>
      </c>
      <c r="G406" s="5">
        <v>0.74639999999999995</v>
      </c>
      <c r="H406" s="5">
        <v>5</v>
      </c>
      <c r="I406" s="5">
        <v>83116.53</v>
      </c>
      <c r="J406" s="5">
        <v>71223.210000000006</v>
      </c>
      <c r="K406" s="5">
        <v>163</v>
      </c>
      <c r="L406" s="5">
        <v>4</v>
      </c>
      <c r="M406" s="5">
        <v>1</v>
      </c>
      <c r="N406" s="5">
        <v>0</v>
      </c>
      <c r="O406" s="5">
        <v>610.13</v>
      </c>
      <c r="P406" s="6">
        <v>1</v>
      </c>
    </row>
    <row r="407" spans="1:16" ht="23.4" x14ac:dyDescent="0.45">
      <c r="A407" s="4" t="s">
        <v>410</v>
      </c>
      <c r="B407" s="5" t="s">
        <v>6</v>
      </c>
      <c r="C407" s="5">
        <v>66245.13</v>
      </c>
      <c r="D407" s="5">
        <v>33</v>
      </c>
      <c r="E407" s="5">
        <v>1</v>
      </c>
      <c r="F407" s="5">
        <v>0.64359999999999995</v>
      </c>
      <c r="G407" s="5">
        <v>0.22189999999999999</v>
      </c>
      <c r="H407" s="5">
        <v>3</v>
      </c>
      <c r="I407" s="5">
        <v>19939.04</v>
      </c>
      <c r="J407" s="5">
        <v>121.21</v>
      </c>
      <c r="K407" s="5">
        <v>35</v>
      </c>
      <c r="L407" s="5">
        <v>2</v>
      </c>
      <c r="M407" s="5">
        <v>1</v>
      </c>
      <c r="N407" s="5">
        <v>1</v>
      </c>
      <c r="O407" s="5">
        <v>677.84</v>
      </c>
      <c r="P407" s="6">
        <v>0</v>
      </c>
    </row>
    <row r="408" spans="1:16" ht="23.4" x14ac:dyDescent="0.45">
      <c r="A408" s="4" t="s">
        <v>411</v>
      </c>
      <c r="B408" s="5" t="s">
        <v>18</v>
      </c>
      <c r="C408" s="5">
        <v>117501.01</v>
      </c>
      <c r="D408" s="5">
        <v>42</v>
      </c>
      <c r="E408" s="5">
        <v>1</v>
      </c>
      <c r="F408" s="5">
        <v>0.72260000000000002</v>
      </c>
      <c r="G408" s="5">
        <v>0.68410000000000004</v>
      </c>
      <c r="H408" s="5">
        <v>0</v>
      </c>
      <c r="I408" s="5">
        <v>63508.22</v>
      </c>
      <c r="J408" s="5">
        <v>44947.89</v>
      </c>
      <c r="K408" s="5">
        <v>15</v>
      </c>
      <c r="L408" s="5">
        <v>2</v>
      </c>
      <c r="M408" s="5">
        <v>1</v>
      </c>
      <c r="N408" s="5">
        <v>1</v>
      </c>
      <c r="O408" s="5">
        <v>739.97</v>
      </c>
      <c r="P408" s="6">
        <v>0</v>
      </c>
    </row>
    <row r="409" spans="1:16" ht="23.4" x14ac:dyDescent="0.45">
      <c r="A409" s="4" t="s">
        <v>412</v>
      </c>
      <c r="B409" s="5" t="s">
        <v>1</v>
      </c>
      <c r="C409" s="5">
        <v>54964.38</v>
      </c>
      <c r="D409" s="5">
        <v>47</v>
      </c>
      <c r="E409" s="5">
        <v>1</v>
      </c>
      <c r="F409" s="5">
        <v>0.76100000000000001</v>
      </c>
      <c r="G409" s="5">
        <v>0.36280000000000001</v>
      </c>
      <c r="H409" s="5">
        <v>0</v>
      </c>
      <c r="I409" s="5">
        <v>17385.68</v>
      </c>
      <c r="J409" s="5">
        <v>7807.07</v>
      </c>
      <c r="K409" s="5">
        <v>10</v>
      </c>
      <c r="L409" s="5">
        <v>1</v>
      </c>
      <c r="M409" s="5">
        <v>2</v>
      </c>
      <c r="N409" s="5">
        <v>1</v>
      </c>
      <c r="O409" s="5">
        <v>643.57000000000005</v>
      </c>
      <c r="P409" s="6">
        <v>0</v>
      </c>
    </row>
    <row r="410" spans="1:16" ht="23.4" x14ac:dyDescent="0.45">
      <c r="A410" s="4" t="s">
        <v>413</v>
      </c>
      <c r="B410" s="5" t="s">
        <v>4</v>
      </c>
      <c r="C410" s="5">
        <v>17925.45</v>
      </c>
      <c r="D410" s="5">
        <v>38</v>
      </c>
      <c r="E410" s="5">
        <v>0</v>
      </c>
      <c r="F410" s="5">
        <v>1</v>
      </c>
      <c r="G410" s="5">
        <v>0.52280000000000004</v>
      </c>
      <c r="H410" s="5">
        <v>2</v>
      </c>
      <c r="I410" s="5">
        <v>500</v>
      </c>
      <c r="J410" s="5">
        <v>7382.69</v>
      </c>
      <c r="K410" s="5">
        <v>48</v>
      </c>
      <c r="L410" s="5">
        <v>2</v>
      </c>
      <c r="M410" s="5">
        <v>1</v>
      </c>
      <c r="N410" s="5">
        <v>1</v>
      </c>
      <c r="O410" s="5">
        <v>794.2</v>
      </c>
      <c r="P410" s="6">
        <v>0</v>
      </c>
    </row>
    <row r="411" spans="1:16" ht="23.4" x14ac:dyDescent="0.45">
      <c r="A411" s="4" t="s">
        <v>414</v>
      </c>
      <c r="B411" s="5" t="s">
        <v>18</v>
      </c>
      <c r="C411" s="5">
        <v>33542.5</v>
      </c>
      <c r="D411" s="5">
        <v>41</v>
      </c>
      <c r="E411" s="5">
        <v>0</v>
      </c>
      <c r="F411" s="5">
        <v>0.6603</v>
      </c>
      <c r="G411" s="5">
        <v>0.20730000000000001</v>
      </c>
      <c r="H411" s="5">
        <v>5</v>
      </c>
      <c r="I411" s="5">
        <v>22884.799999999999</v>
      </c>
      <c r="J411" s="5">
        <v>4789.07</v>
      </c>
      <c r="K411" s="5">
        <v>83</v>
      </c>
      <c r="L411" s="5">
        <v>1</v>
      </c>
      <c r="M411" s="5">
        <v>1</v>
      </c>
      <c r="N411" s="5">
        <v>0</v>
      </c>
      <c r="O411" s="5">
        <v>794.14</v>
      </c>
      <c r="P411" s="6">
        <v>0</v>
      </c>
    </row>
    <row r="412" spans="1:16" ht="23.4" x14ac:dyDescent="0.45">
      <c r="A412" s="4" t="s">
        <v>415</v>
      </c>
      <c r="B412" s="5" t="s">
        <v>9</v>
      </c>
      <c r="C412" s="5">
        <v>107290.77</v>
      </c>
      <c r="D412" s="5">
        <v>49</v>
      </c>
      <c r="E412" s="5">
        <v>1</v>
      </c>
      <c r="F412" s="5">
        <v>0.26440000000000002</v>
      </c>
      <c r="G412" s="5">
        <v>0</v>
      </c>
      <c r="H412" s="5">
        <v>0</v>
      </c>
      <c r="I412" s="5">
        <v>7175.57</v>
      </c>
      <c r="J412" s="5">
        <v>1026.69</v>
      </c>
      <c r="K412" s="5">
        <v>93</v>
      </c>
      <c r="L412" s="5">
        <v>3</v>
      </c>
      <c r="M412" s="5">
        <v>2</v>
      </c>
      <c r="N412" s="5">
        <v>1</v>
      </c>
      <c r="O412" s="5">
        <v>687.06</v>
      </c>
      <c r="P412" s="6">
        <v>0</v>
      </c>
    </row>
    <row r="413" spans="1:16" ht="23.4" x14ac:dyDescent="0.45">
      <c r="A413" s="4" t="s">
        <v>416</v>
      </c>
      <c r="B413" s="5" t="s">
        <v>18</v>
      </c>
      <c r="C413" s="5">
        <v>65293.8</v>
      </c>
      <c r="D413" s="5">
        <v>54</v>
      </c>
      <c r="E413" s="5">
        <v>1</v>
      </c>
      <c r="F413" s="5">
        <v>0.65259999999999996</v>
      </c>
      <c r="G413" s="5">
        <v>0.28050000000000003</v>
      </c>
      <c r="H413" s="5">
        <v>2</v>
      </c>
      <c r="I413" s="5">
        <v>1889.63</v>
      </c>
      <c r="J413" s="5">
        <v>0</v>
      </c>
      <c r="K413" s="5">
        <v>7</v>
      </c>
      <c r="L413" s="5">
        <v>1</v>
      </c>
      <c r="M413" s="5">
        <v>1</v>
      </c>
      <c r="N413" s="5">
        <v>2</v>
      </c>
      <c r="O413" s="5">
        <v>634.82000000000005</v>
      </c>
      <c r="P413" s="6">
        <v>0</v>
      </c>
    </row>
    <row r="414" spans="1:16" ht="23.4" x14ac:dyDescent="0.45">
      <c r="A414" s="4" t="s">
        <v>417</v>
      </c>
      <c r="B414" s="5" t="s">
        <v>4</v>
      </c>
      <c r="C414" s="5">
        <v>42827.05</v>
      </c>
      <c r="D414" s="5">
        <v>27</v>
      </c>
      <c r="E414" s="5">
        <v>0</v>
      </c>
      <c r="F414" s="5">
        <v>1</v>
      </c>
      <c r="G414" s="5">
        <v>3.6299999999999999E-2</v>
      </c>
      <c r="H414" s="5">
        <v>0</v>
      </c>
      <c r="I414" s="5">
        <v>500</v>
      </c>
      <c r="J414" s="5">
        <v>10103.36</v>
      </c>
      <c r="K414" s="5">
        <v>85</v>
      </c>
      <c r="L414" s="5">
        <v>2</v>
      </c>
      <c r="M414" s="5">
        <v>1</v>
      </c>
      <c r="N414" s="5">
        <v>0</v>
      </c>
      <c r="O414" s="5">
        <v>750.25</v>
      </c>
      <c r="P414" s="6">
        <v>0</v>
      </c>
    </row>
    <row r="415" spans="1:16" ht="23.4" x14ac:dyDescent="0.45">
      <c r="A415" s="4" t="s">
        <v>418</v>
      </c>
      <c r="B415" s="5" t="s">
        <v>6</v>
      </c>
      <c r="C415" s="5">
        <v>144017.39000000001</v>
      </c>
      <c r="D415" s="5">
        <v>63</v>
      </c>
      <c r="E415" s="5">
        <v>1</v>
      </c>
      <c r="F415" s="5">
        <v>0.78410000000000002</v>
      </c>
      <c r="G415" s="5">
        <v>0.49580000000000002</v>
      </c>
      <c r="H415" s="5">
        <v>3</v>
      </c>
      <c r="I415" s="5">
        <v>74003.460000000006</v>
      </c>
      <c r="J415" s="5">
        <v>45927.24</v>
      </c>
      <c r="K415" s="5">
        <v>58</v>
      </c>
      <c r="L415" s="5">
        <v>2</v>
      </c>
      <c r="M415" s="5">
        <v>2</v>
      </c>
      <c r="N415" s="5">
        <v>0</v>
      </c>
      <c r="O415" s="5">
        <v>654.12</v>
      </c>
      <c r="P415" s="6">
        <v>0</v>
      </c>
    </row>
    <row r="416" spans="1:16" ht="23.4" x14ac:dyDescent="0.45">
      <c r="A416" s="4" t="s">
        <v>419</v>
      </c>
      <c r="B416" s="5" t="s">
        <v>4</v>
      </c>
      <c r="C416" s="5">
        <v>109568.73</v>
      </c>
      <c r="D416" s="5">
        <v>31</v>
      </c>
      <c r="E416" s="5">
        <v>1</v>
      </c>
      <c r="F416" s="5">
        <v>0.4536</v>
      </c>
      <c r="G416" s="5">
        <v>0.7107</v>
      </c>
      <c r="H416" s="5">
        <v>5</v>
      </c>
      <c r="I416" s="5">
        <v>69270.23</v>
      </c>
      <c r="J416" s="5">
        <v>47627.519999999997</v>
      </c>
      <c r="K416" s="5">
        <v>39</v>
      </c>
      <c r="L416" s="5">
        <v>1</v>
      </c>
      <c r="M416" s="5">
        <v>3</v>
      </c>
      <c r="N416" s="5">
        <v>0</v>
      </c>
      <c r="O416" s="5">
        <v>628.63</v>
      </c>
      <c r="P416" s="6">
        <v>0</v>
      </c>
    </row>
    <row r="417" spans="1:16" ht="23.4" x14ac:dyDescent="0.45">
      <c r="A417" s="4" t="s">
        <v>420</v>
      </c>
      <c r="B417" s="5" t="s">
        <v>15</v>
      </c>
      <c r="C417" s="5">
        <v>102755.14</v>
      </c>
      <c r="D417" s="5">
        <v>66</v>
      </c>
      <c r="E417" s="5">
        <v>0</v>
      </c>
      <c r="F417" s="5">
        <v>0.4793</v>
      </c>
      <c r="G417" s="5">
        <v>0.2097</v>
      </c>
      <c r="H417" s="5">
        <v>3</v>
      </c>
      <c r="I417" s="5">
        <v>1618.01</v>
      </c>
      <c r="J417" s="5">
        <v>0</v>
      </c>
      <c r="K417" s="5">
        <v>56</v>
      </c>
      <c r="L417" s="5">
        <v>2</v>
      </c>
      <c r="M417" s="5">
        <v>2</v>
      </c>
      <c r="N417" s="5">
        <v>1</v>
      </c>
      <c r="O417" s="5">
        <v>656.08</v>
      </c>
      <c r="P417" s="6">
        <v>0</v>
      </c>
    </row>
    <row r="418" spans="1:16" ht="23.4" x14ac:dyDescent="0.45">
      <c r="A418" s="4" t="s">
        <v>421</v>
      </c>
      <c r="B418" s="5" t="s">
        <v>15</v>
      </c>
      <c r="C418" s="5">
        <v>91817.64</v>
      </c>
      <c r="D418" s="5">
        <v>29</v>
      </c>
      <c r="E418" s="5">
        <v>0</v>
      </c>
      <c r="F418" s="5">
        <v>0.47620000000000001</v>
      </c>
      <c r="G418" s="5">
        <v>0.77559999999999996</v>
      </c>
      <c r="H418" s="5">
        <v>6</v>
      </c>
      <c r="I418" s="5">
        <v>69061.25</v>
      </c>
      <c r="J418" s="5">
        <v>37347.879999999997</v>
      </c>
      <c r="K418" s="5">
        <v>85</v>
      </c>
      <c r="L418" s="5">
        <v>2</v>
      </c>
      <c r="M418" s="5">
        <v>2</v>
      </c>
      <c r="N418" s="5">
        <v>1</v>
      </c>
      <c r="O418" s="5">
        <v>650</v>
      </c>
      <c r="P418" s="6">
        <v>0</v>
      </c>
    </row>
    <row r="419" spans="1:16" ht="23.4" x14ac:dyDescent="0.45">
      <c r="A419" s="4" t="s">
        <v>422</v>
      </c>
      <c r="B419" s="5" t="s">
        <v>9</v>
      </c>
      <c r="C419" s="5">
        <v>121819.88</v>
      </c>
      <c r="D419" s="5">
        <v>60</v>
      </c>
      <c r="E419" s="5">
        <v>0</v>
      </c>
      <c r="F419" s="5">
        <v>0.69040000000000001</v>
      </c>
      <c r="G419" s="5">
        <v>0.63729999999999998</v>
      </c>
      <c r="H419" s="5">
        <v>6</v>
      </c>
      <c r="I419" s="5">
        <v>108231.79</v>
      </c>
      <c r="J419" s="5">
        <v>65499.24</v>
      </c>
      <c r="K419" s="5">
        <v>89</v>
      </c>
      <c r="L419" s="5">
        <v>2</v>
      </c>
      <c r="M419" s="5">
        <v>1</v>
      </c>
      <c r="N419" s="5">
        <v>1</v>
      </c>
      <c r="O419" s="5">
        <v>786.16</v>
      </c>
      <c r="P419" s="6">
        <v>0</v>
      </c>
    </row>
    <row r="420" spans="1:16" ht="23.4" x14ac:dyDescent="0.45">
      <c r="A420" s="4" t="s">
        <v>423</v>
      </c>
      <c r="B420" s="5" t="s">
        <v>15</v>
      </c>
      <c r="C420" s="5">
        <v>63270.9</v>
      </c>
      <c r="D420" s="5">
        <v>70</v>
      </c>
      <c r="E420" s="5">
        <v>0</v>
      </c>
      <c r="F420" s="5">
        <v>0.72950000000000004</v>
      </c>
      <c r="G420" s="5">
        <v>0.2102</v>
      </c>
      <c r="H420" s="5">
        <v>4</v>
      </c>
      <c r="I420" s="5">
        <v>500</v>
      </c>
      <c r="J420" s="5">
        <v>0</v>
      </c>
      <c r="K420" s="5">
        <v>33</v>
      </c>
      <c r="L420" s="5">
        <v>1</v>
      </c>
      <c r="M420" s="5">
        <v>2</v>
      </c>
      <c r="N420" s="5">
        <v>1</v>
      </c>
      <c r="O420" s="5">
        <v>661.28</v>
      </c>
      <c r="P420" s="6">
        <v>0</v>
      </c>
    </row>
    <row r="421" spans="1:16" ht="23.4" x14ac:dyDescent="0.45">
      <c r="A421" s="4" t="s">
        <v>424</v>
      </c>
      <c r="B421" s="5" t="s">
        <v>6</v>
      </c>
      <c r="C421" s="5">
        <v>80695.22</v>
      </c>
      <c r="D421" s="5">
        <v>60</v>
      </c>
      <c r="E421" s="5">
        <v>1</v>
      </c>
      <c r="F421" s="5">
        <v>0.70469999999999999</v>
      </c>
      <c r="G421" s="5">
        <v>0.54700000000000004</v>
      </c>
      <c r="H421" s="5">
        <v>3</v>
      </c>
      <c r="I421" s="5">
        <v>44754.68</v>
      </c>
      <c r="J421" s="5">
        <v>33710.519999999997</v>
      </c>
      <c r="K421" s="5">
        <v>116</v>
      </c>
      <c r="L421" s="5">
        <v>3</v>
      </c>
      <c r="M421" s="5">
        <v>1</v>
      </c>
      <c r="N421" s="5">
        <v>1</v>
      </c>
      <c r="O421" s="5">
        <v>779.98</v>
      </c>
      <c r="P421" s="6">
        <v>0</v>
      </c>
    </row>
    <row r="422" spans="1:16" ht="23.4" x14ac:dyDescent="0.45">
      <c r="A422" s="4" t="s">
        <v>425</v>
      </c>
      <c r="B422" s="5" t="s">
        <v>1</v>
      </c>
      <c r="C422" s="5">
        <v>95763.59</v>
      </c>
      <c r="D422" s="5">
        <v>25</v>
      </c>
      <c r="E422" s="5">
        <v>1</v>
      </c>
      <c r="F422" s="5">
        <v>0.99370000000000003</v>
      </c>
      <c r="G422" s="5">
        <v>0.37369999999999998</v>
      </c>
      <c r="H422" s="5">
        <v>0</v>
      </c>
      <c r="I422" s="5">
        <v>39616.06</v>
      </c>
      <c r="J422" s="5">
        <v>28222.36</v>
      </c>
      <c r="K422" s="5">
        <v>158</v>
      </c>
      <c r="L422" s="5">
        <v>2</v>
      </c>
      <c r="M422" s="5">
        <v>2</v>
      </c>
      <c r="N422" s="5">
        <v>2</v>
      </c>
      <c r="O422" s="5">
        <v>806.42</v>
      </c>
      <c r="P422" s="6">
        <v>0</v>
      </c>
    </row>
    <row r="423" spans="1:16" ht="23.4" x14ac:dyDescent="0.45">
      <c r="A423" s="4" t="s">
        <v>426</v>
      </c>
      <c r="B423" s="5" t="s">
        <v>4</v>
      </c>
      <c r="C423" s="5">
        <v>190546.55</v>
      </c>
      <c r="D423" s="5">
        <v>27</v>
      </c>
      <c r="E423" s="5">
        <v>0</v>
      </c>
      <c r="F423" s="5">
        <v>0.59379999999999999</v>
      </c>
      <c r="G423" s="5">
        <v>9.0499999999999997E-2</v>
      </c>
      <c r="H423" s="5">
        <v>2</v>
      </c>
      <c r="I423" s="5">
        <v>5150.8999999999996</v>
      </c>
      <c r="J423" s="5">
        <v>1536.89</v>
      </c>
      <c r="K423" s="5">
        <v>61</v>
      </c>
      <c r="L423" s="5">
        <v>3</v>
      </c>
      <c r="M423" s="5">
        <v>2</v>
      </c>
      <c r="N423" s="5">
        <v>2</v>
      </c>
      <c r="O423" s="5">
        <v>697.13</v>
      </c>
      <c r="P423" s="6">
        <v>0</v>
      </c>
    </row>
    <row r="424" spans="1:16" ht="23.4" x14ac:dyDescent="0.45">
      <c r="A424" s="4" t="s">
        <v>427</v>
      </c>
      <c r="B424" s="5" t="s">
        <v>1</v>
      </c>
      <c r="C424" s="5">
        <v>115350.11</v>
      </c>
      <c r="D424" s="5">
        <v>30</v>
      </c>
      <c r="E424" s="5">
        <v>0</v>
      </c>
      <c r="F424" s="5">
        <v>0.70009999999999994</v>
      </c>
      <c r="G424" s="5">
        <v>0.2014</v>
      </c>
      <c r="H424" s="5">
        <v>2</v>
      </c>
      <c r="I424" s="5">
        <v>11025.48</v>
      </c>
      <c r="J424" s="5">
        <v>1714.44</v>
      </c>
      <c r="K424" s="5">
        <v>58</v>
      </c>
      <c r="L424" s="5">
        <v>2</v>
      </c>
      <c r="M424" s="5">
        <v>1</v>
      </c>
      <c r="N424" s="5">
        <v>1</v>
      </c>
      <c r="O424" s="5">
        <v>761.62</v>
      </c>
      <c r="P424" s="6">
        <v>0</v>
      </c>
    </row>
    <row r="425" spans="1:16" ht="23.4" x14ac:dyDescent="0.45">
      <c r="A425" s="4" t="s">
        <v>428</v>
      </c>
      <c r="B425" s="5" t="s">
        <v>6</v>
      </c>
      <c r="C425" s="5">
        <v>70105.56</v>
      </c>
      <c r="D425" s="5">
        <v>48</v>
      </c>
      <c r="E425" s="5">
        <v>0</v>
      </c>
      <c r="F425" s="5">
        <v>0.61070000000000002</v>
      </c>
      <c r="G425" s="5">
        <v>0</v>
      </c>
      <c r="H425" s="5">
        <v>3</v>
      </c>
      <c r="I425" s="5">
        <v>500</v>
      </c>
      <c r="J425" s="5">
        <v>0</v>
      </c>
      <c r="K425" s="5">
        <v>38</v>
      </c>
      <c r="L425" s="5">
        <v>3</v>
      </c>
      <c r="M425" s="5">
        <v>1</v>
      </c>
      <c r="N425" s="5">
        <v>2</v>
      </c>
      <c r="O425" s="5">
        <v>677.06</v>
      </c>
      <c r="P425" s="6">
        <v>0</v>
      </c>
    </row>
    <row r="426" spans="1:16" ht="23.4" x14ac:dyDescent="0.45">
      <c r="A426" s="4" t="s">
        <v>429</v>
      </c>
      <c r="B426" s="5" t="s">
        <v>15</v>
      </c>
      <c r="C426" s="5">
        <v>147664.17000000001</v>
      </c>
      <c r="D426" s="5">
        <v>43</v>
      </c>
      <c r="E426" s="5">
        <v>1</v>
      </c>
      <c r="F426" s="5">
        <v>0.70140000000000002</v>
      </c>
      <c r="G426" s="5">
        <v>0.55710000000000004</v>
      </c>
      <c r="H426" s="5">
        <v>4</v>
      </c>
      <c r="I426" s="5">
        <v>97907.31</v>
      </c>
      <c r="J426" s="5">
        <v>68286</v>
      </c>
      <c r="K426" s="5">
        <v>157</v>
      </c>
      <c r="L426" s="5">
        <v>2</v>
      </c>
      <c r="M426" s="5">
        <v>1</v>
      </c>
      <c r="N426" s="5">
        <v>0</v>
      </c>
      <c r="O426" s="5">
        <v>634.19000000000005</v>
      </c>
      <c r="P426" s="6">
        <v>0</v>
      </c>
    </row>
    <row r="427" spans="1:16" ht="23.4" x14ac:dyDescent="0.45">
      <c r="A427" s="4" t="s">
        <v>430</v>
      </c>
      <c r="B427" s="5" t="s">
        <v>15</v>
      </c>
      <c r="C427" s="5">
        <v>128258.12</v>
      </c>
      <c r="D427" s="5">
        <v>51</v>
      </c>
      <c r="E427" s="5">
        <v>1</v>
      </c>
      <c r="F427" s="5">
        <v>0.86350000000000005</v>
      </c>
      <c r="G427" s="5">
        <v>0.64410000000000001</v>
      </c>
      <c r="H427" s="5">
        <v>5</v>
      </c>
      <c r="I427" s="5">
        <v>70798.539999999994</v>
      </c>
      <c r="J427" s="5">
        <v>47044.63</v>
      </c>
      <c r="K427" s="5">
        <v>177</v>
      </c>
      <c r="L427" s="5">
        <v>1</v>
      </c>
      <c r="M427" s="5">
        <v>1</v>
      </c>
      <c r="N427" s="5">
        <v>1</v>
      </c>
      <c r="O427" s="5">
        <v>726.69</v>
      </c>
      <c r="P427" s="6">
        <v>0</v>
      </c>
    </row>
    <row r="428" spans="1:16" ht="23.4" x14ac:dyDescent="0.45">
      <c r="A428" s="4" t="s">
        <v>431</v>
      </c>
      <c r="B428" s="5" t="s">
        <v>15</v>
      </c>
      <c r="C428" s="5">
        <v>139411.76</v>
      </c>
      <c r="D428" s="5">
        <v>29</v>
      </c>
      <c r="E428" s="5">
        <v>1</v>
      </c>
      <c r="F428" s="5">
        <v>0.50609999999999999</v>
      </c>
      <c r="G428" s="5">
        <v>0.70889999999999997</v>
      </c>
      <c r="H428" s="5">
        <v>5</v>
      </c>
      <c r="I428" s="5">
        <v>84539.19</v>
      </c>
      <c r="J428" s="5">
        <v>55383.26</v>
      </c>
      <c r="K428" s="5">
        <v>160</v>
      </c>
      <c r="L428" s="5">
        <v>3</v>
      </c>
      <c r="M428" s="5">
        <v>2</v>
      </c>
      <c r="N428" s="5">
        <v>1</v>
      </c>
      <c r="O428" s="5">
        <v>555.28</v>
      </c>
      <c r="P428" s="6">
        <v>0</v>
      </c>
    </row>
    <row r="429" spans="1:16" ht="23.4" x14ac:dyDescent="0.45">
      <c r="A429" s="4" t="s">
        <v>432</v>
      </c>
      <c r="B429" s="5" t="s">
        <v>18</v>
      </c>
      <c r="C429" s="5">
        <v>128246.1</v>
      </c>
      <c r="D429" s="5">
        <v>35</v>
      </c>
      <c r="E429" s="5">
        <v>0</v>
      </c>
      <c r="F429" s="5">
        <v>0.80700000000000005</v>
      </c>
      <c r="G429" s="5">
        <v>0.71319999999999995</v>
      </c>
      <c r="H429" s="5">
        <v>1</v>
      </c>
      <c r="I429" s="5">
        <v>77799.67</v>
      </c>
      <c r="J429" s="5">
        <v>57017.42</v>
      </c>
      <c r="K429" s="5">
        <v>111</v>
      </c>
      <c r="L429" s="5">
        <v>3</v>
      </c>
      <c r="M429" s="5">
        <v>2</v>
      </c>
      <c r="N429" s="5">
        <v>0</v>
      </c>
      <c r="O429" s="5">
        <v>760.35</v>
      </c>
      <c r="P429" s="6">
        <v>0</v>
      </c>
    </row>
    <row r="430" spans="1:16" ht="23.4" x14ac:dyDescent="0.45">
      <c r="A430" s="4" t="s">
        <v>433</v>
      </c>
      <c r="B430" s="5" t="s">
        <v>15</v>
      </c>
      <c r="C430" s="5">
        <v>47086</v>
      </c>
      <c r="D430" s="5">
        <v>58</v>
      </c>
      <c r="E430" s="5">
        <v>0</v>
      </c>
      <c r="F430" s="5">
        <v>0.72009999999999996</v>
      </c>
      <c r="G430" s="5">
        <v>1.9699999999999999E-2</v>
      </c>
      <c r="H430" s="5">
        <v>1</v>
      </c>
      <c r="I430" s="5">
        <v>16180.98</v>
      </c>
      <c r="J430" s="5">
        <v>21234.1</v>
      </c>
      <c r="K430" s="5">
        <v>77</v>
      </c>
      <c r="L430" s="5">
        <v>2</v>
      </c>
      <c r="M430" s="5">
        <v>1</v>
      </c>
      <c r="N430" s="5">
        <v>2</v>
      </c>
      <c r="O430" s="5">
        <v>792.48</v>
      </c>
      <c r="P430" s="6">
        <v>0</v>
      </c>
    </row>
    <row r="431" spans="1:16" ht="23.4" x14ac:dyDescent="0.45">
      <c r="A431" s="4" t="s">
        <v>434</v>
      </c>
      <c r="B431" s="5" t="s">
        <v>6</v>
      </c>
      <c r="C431" s="5">
        <v>116848.74</v>
      </c>
      <c r="D431" s="5">
        <v>63</v>
      </c>
      <c r="E431" s="5">
        <v>0</v>
      </c>
      <c r="F431" s="5">
        <v>0.95</v>
      </c>
      <c r="G431" s="5">
        <v>0.56689999999999996</v>
      </c>
      <c r="H431" s="5">
        <v>4</v>
      </c>
      <c r="I431" s="5">
        <v>53849.01</v>
      </c>
      <c r="J431" s="5">
        <v>48942.67</v>
      </c>
      <c r="K431" s="5">
        <v>8</v>
      </c>
      <c r="L431" s="5">
        <v>2</v>
      </c>
      <c r="M431" s="5">
        <v>2</v>
      </c>
      <c r="N431" s="5">
        <v>1</v>
      </c>
      <c r="O431" s="5">
        <v>736.57</v>
      </c>
      <c r="P431" s="6">
        <v>0</v>
      </c>
    </row>
    <row r="432" spans="1:16" ht="23.4" x14ac:dyDescent="0.45">
      <c r="A432" s="4" t="s">
        <v>435</v>
      </c>
      <c r="B432" s="5" t="s">
        <v>15</v>
      </c>
      <c r="C432" s="5">
        <v>2000</v>
      </c>
      <c r="D432" s="5">
        <v>39</v>
      </c>
      <c r="E432" s="5">
        <v>0</v>
      </c>
      <c r="F432" s="5">
        <v>0.94220000000000004</v>
      </c>
      <c r="G432" s="5">
        <v>0.3836</v>
      </c>
      <c r="H432" s="5">
        <v>3</v>
      </c>
      <c r="I432" s="5">
        <v>22849.19</v>
      </c>
      <c r="J432" s="5">
        <v>11549.72</v>
      </c>
      <c r="K432" s="5">
        <v>150</v>
      </c>
      <c r="L432" s="5">
        <v>1</v>
      </c>
      <c r="M432" s="5">
        <v>2</v>
      </c>
      <c r="N432" s="5">
        <v>1</v>
      </c>
      <c r="O432" s="5">
        <v>653.71</v>
      </c>
      <c r="P432" s="6">
        <v>0</v>
      </c>
    </row>
    <row r="433" spans="1:16" ht="23.4" x14ac:dyDescent="0.45">
      <c r="A433" s="4" t="s">
        <v>436</v>
      </c>
      <c r="B433" s="5" t="s">
        <v>6</v>
      </c>
      <c r="C433" s="5">
        <v>60932.06</v>
      </c>
      <c r="D433" s="5">
        <v>68</v>
      </c>
      <c r="E433" s="5">
        <v>0</v>
      </c>
      <c r="F433" s="5">
        <v>0.58320000000000005</v>
      </c>
      <c r="G433" s="5">
        <v>0.25530000000000003</v>
      </c>
      <c r="H433" s="5">
        <v>4</v>
      </c>
      <c r="I433" s="5">
        <v>24376.69</v>
      </c>
      <c r="J433" s="5">
        <v>19278.91</v>
      </c>
      <c r="K433" s="5">
        <v>39</v>
      </c>
      <c r="L433" s="5">
        <v>2</v>
      </c>
      <c r="M433" s="5">
        <v>1</v>
      </c>
      <c r="N433" s="5">
        <v>0</v>
      </c>
      <c r="O433" s="5">
        <v>660.66</v>
      </c>
      <c r="P433" s="6">
        <v>0</v>
      </c>
    </row>
    <row r="434" spans="1:16" ht="23.4" x14ac:dyDescent="0.45">
      <c r="A434" s="4" t="s">
        <v>437</v>
      </c>
      <c r="B434" s="5" t="s">
        <v>6</v>
      </c>
      <c r="C434" s="5">
        <v>11499.88</v>
      </c>
      <c r="D434" s="5">
        <v>68</v>
      </c>
      <c r="E434" s="5">
        <v>1</v>
      </c>
      <c r="F434" s="5">
        <v>0.4335</v>
      </c>
      <c r="G434" s="5">
        <v>0.55830000000000002</v>
      </c>
      <c r="H434" s="5">
        <v>5</v>
      </c>
      <c r="I434" s="5">
        <v>10569.75</v>
      </c>
      <c r="J434" s="5">
        <v>241.65</v>
      </c>
      <c r="K434" s="5">
        <v>66</v>
      </c>
      <c r="L434" s="5">
        <v>2</v>
      </c>
      <c r="M434" s="5">
        <v>2</v>
      </c>
      <c r="N434" s="5">
        <v>2</v>
      </c>
      <c r="O434" s="5">
        <v>643.48</v>
      </c>
      <c r="P434" s="6">
        <v>0</v>
      </c>
    </row>
    <row r="435" spans="1:16" ht="23.4" x14ac:dyDescent="0.45">
      <c r="A435" s="4" t="s">
        <v>438</v>
      </c>
      <c r="B435" s="5" t="s">
        <v>15</v>
      </c>
      <c r="C435" s="5">
        <v>105772</v>
      </c>
      <c r="D435" s="5">
        <v>30</v>
      </c>
      <c r="E435" s="5">
        <v>0</v>
      </c>
      <c r="F435" s="5">
        <v>0.87490000000000001</v>
      </c>
      <c r="G435" s="5">
        <v>4.3799999999999999E-2</v>
      </c>
      <c r="H435" s="5">
        <v>0</v>
      </c>
      <c r="I435" s="5">
        <v>12302.07</v>
      </c>
      <c r="J435" s="5">
        <v>2374.06</v>
      </c>
      <c r="K435" s="5">
        <v>48</v>
      </c>
      <c r="L435" s="5">
        <v>1</v>
      </c>
      <c r="M435" s="5">
        <v>2</v>
      </c>
      <c r="N435" s="5">
        <v>0</v>
      </c>
      <c r="O435" s="5">
        <v>669.75</v>
      </c>
      <c r="P435" s="6">
        <v>0</v>
      </c>
    </row>
    <row r="436" spans="1:16" ht="23.4" x14ac:dyDescent="0.45">
      <c r="A436" s="4" t="s">
        <v>439</v>
      </c>
      <c r="B436" s="5" t="s">
        <v>15</v>
      </c>
      <c r="C436" s="5">
        <v>90769.8</v>
      </c>
      <c r="D436" s="5">
        <v>31</v>
      </c>
      <c r="E436" s="5">
        <v>1</v>
      </c>
      <c r="F436" s="5">
        <v>0.60070000000000001</v>
      </c>
      <c r="G436" s="5">
        <v>0.1229</v>
      </c>
      <c r="H436" s="5">
        <v>2</v>
      </c>
      <c r="I436" s="5">
        <v>500</v>
      </c>
      <c r="J436" s="5">
        <v>3212.74</v>
      </c>
      <c r="K436" s="5">
        <v>142</v>
      </c>
      <c r="L436" s="5">
        <v>1</v>
      </c>
      <c r="M436" s="5">
        <v>2</v>
      </c>
      <c r="N436" s="5">
        <v>0</v>
      </c>
      <c r="O436" s="5">
        <v>706.41</v>
      </c>
      <c r="P436" s="6">
        <v>0</v>
      </c>
    </row>
    <row r="437" spans="1:16" ht="23.4" x14ac:dyDescent="0.45">
      <c r="A437" s="4" t="s">
        <v>440</v>
      </c>
      <c r="B437" s="5" t="s">
        <v>15</v>
      </c>
      <c r="C437" s="5">
        <v>145158.21</v>
      </c>
      <c r="D437" s="5">
        <v>39</v>
      </c>
      <c r="E437" s="5">
        <v>1</v>
      </c>
      <c r="F437" s="5">
        <v>0.89590000000000003</v>
      </c>
      <c r="G437" s="5">
        <v>0.27950000000000003</v>
      </c>
      <c r="H437" s="5">
        <v>0</v>
      </c>
      <c r="I437" s="5">
        <v>6054.04</v>
      </c>
      <c r="J437" s="5">
        <v>3643.26</v>
      </c>
      <c r="K437" s="5">
        <v>142</v>
      </c>
      <c r="L437" s="5">
        <v>2</v>
      </c>
      <c r="M437" s="5">
        <v>3</v>
      </c>
      <c r="N437" s="5">
        <v>0</v>
      </c>
      <c r="O437" s="5">
        <v>719.3</v>
      </c>
      <c r="P437" s="6">
        <v>0</v>
      </c>
    </row>
    <row r="438" spans="1:16" ht="23.4" x14ac:dyDescent="0.45">
      <c r="A438" s="4" t="s">
        <v>441</v>
      </c>
      <c r="B438" s="5" t="s">
        <v>9</v>
      </c>
      <c r="C438" s="5">
        <v>115583.6</v>
      </c>
      <c r="D438" s="5">
        <v>38</v>
      </c>
      <c r="E438" s="5">
        <v>1</v>
      </c>
      <c r="F438" s="5">
        <v>0.55959999999999999</v>
      </c>
      <c r="G438" s="5">
        <v>0.46200000000000002</v>
      </c>
      <c r="H438" s="5">
        <v>1</v>
      </c>
      <c r="I438" s="5">
        <v>38996.1</v>
      </c>
      <c r="J438" s="5">
        <v>19839.080000000002</v>
      </c>
      <c r="K438" s="5">
        <v>178</v>
      </c>
      <c r="L438" s="5">
        <v>2</v>
      </c>
      <c r="M438" s="5">
        <v>2</v>
      </c>
      <c r="N438" s="5">
        <v>1</v>
      </c>
      <c r="O438" s="5">
        <v>698.66</v>
      </c>
      <c r="P438" s="6">
        <v>0</v>
      </c>
    </row>
    <row r="439" spans="1:16" ht="23.4" x14ac:dyDescent="0.45">
      <c r="A439" s="4" t="s">
        <v>442</v>
      </c>
      <c r="B439" s="5" t="s">
        <v>15</v>
      </c>
      <c r="C439" s="5">
        <v>128408.15</v>
      </c>
      <c r="D439" s="5">
        <v>32</v>
      </c>
      <c r="E439" s="5">
        <v>0</v>
      </c>
      <c r="F439" s="5">
        <v>0.68869999999999998</v>
      </c>
      <c r="G439" s="5">
        <v>0.43359999999999999</v>
      </c>
      <c r="H439" s="5">
        <v>3</v>
      </c>
      <c r="I439" s="5">
        <v>55979.42</v>
      </c>
      <c r="J439" s="5">
        <v>29527.3</v>
      </c>
      <c r="K439" s="5">
        <v>120</v>
      </c>
      <c r="L439" s="5">
        <v>2</v>
      </c>
      <c r="M439" s="5">
        <v>2</v>
      </c>
      <c r="N439" s="5">
        <v>0</v>
      </c>
      <c r="O439" s="5">
        <v>736.71</v>
      </c>
      <c r="P439" s="6">
        <v>1</v>
      </c>
    </row>
    <row r="440" spans="1:16" ht="23.4" x14ac:dyDescent="0.45">
      <c r="A440" s="4" t="s">
        <v>443</v>
      </c>
      <c r="B440" s="5" t="s">
        <v>18</v>
      </c>
      <c r="C440" s="5">
        <v>78733.48</v>
      </c>
      <c r="D440" s="5">
        <v>59</v>
      </c>
      <c r="E440" s="5">
        <v>1</v>
      </c>
      <c r="F440" s="5">
        <v>0.65329999999999999</v>
      </c>
      <c r="G440" s="5">
        <v>0.13700000000000001</v>
      </c>
      <c r="H440" s="5">
        <v>0</v>
      </c>
      <c r="I440" s="5">
        <v>31147.11</v>
      </c>
      <c r="J440" s="5">
        <v>17107.39</v>
      </c>
      <c r="K440" s="5">
        <v>36</v>
      </c>
      <c r="L440" s="5">
        <v>1</v>
      </c>
      <c r="M440" s="5">
        <v>2</v>
      </c>
      <c r="N440" s="5">
        <v>0</v>
      </c>
      <c r="O440" s="5">
        <v>724.98</v>
      </c>
      <c r="P440" s="6">
        <v>0</v>
      </c>
    </row>
    <row r="441" spans="1:16" ht="23.4" x14ac:dyDescent="0.45">
      <c r="A441" s="4" t="s">
        <v>444</v>
      </c>
      <c r="B441" s="5" t="s">
        <v>9</v>
      </c>
      <c r="C441" s="5">
        <v>25226.17</v>
      </c>
      <c r="D441" s="5">
        <v>32</v>
      </c>
      <c r="E441" s="5">
        <v>0</v>
      </c>
      <c r="F441" s="5">
        <v>0.94489999999999996</v>
      </c>
      <c r="G441" s="5">
        <v>0.1656</v>
      </c>
      <c r="H441" s="5">
        <v>1</v>
      </c>
      <c r="I441" s="5">
        <v>20999.26</v>
      </c>
      <c r="J441" s="5">
        <v>26847.95</v>
      </c>
      <c r="K441" s="5">
        <v>76</v>
      </c>
      <c r="L441" s="5">
        <v>3</v>
      </c>
      <c r="M441" s="5">
        <v>2</v>
      </c>
      <c r="N441" s="5">
        <v>1</v>
      </c>
      <c r="O441" s="5">
        <v>716.73</v>
      </c>
      <c r="P441" s="6">
        <v>0</v>
      </c>
    </row>
    <row r="442" spans="1:16" ht="23.4" x14ac:dyDescent="0.45">
      <c r="A442" s="4" t="s">
        <v>445</v>
      </c>
      <c r="B442" s="5" t="s">
        <v>9</v>
      </c>
      <c r="C442" s="5">
        <v>86387.51</v>
      </c>
      <c r="D442" s="5">
        <v>38</v>
      </c>
      <c r="E442" s="5">
        <v>1</v>
      </c>
      <c r="F442" s="5">
        <v>1</v>
      </c>
      <c r="G442" s="5">
        <v>0.44159999999999999</v>
      </c>
      <c r="H442" s="5">
        <v>1</v>
      </c>
      <c r="I442" s="5">
        <v>35530.870000000003</v>
      </c>
      <c r="J442" s="5">
        <v>30869.119999999999</v>
      </c>
      <c r="K442" s="5">
        <v>73</v>
      </c>
      <c r="L442" s="5">
        <v>1</v>
      </c>
      <c r="M442" s="5">
        <v>1</v>
      </c>
      <c r="N442" s="5">
        <v>3</v>
      </c>
      <c r="O442" s="5">
        <v>752.95</v>
      </c>
      <c r="P442" s="6">
        <v>0</v>
      </c>
    </row>
    <row r="443" spans="1:16" ht="23.4" x14ac:dyDescent="0.45">
      <c r="A443" s="4" t="s">
        <v>446</v>
      </c>
      <c r="B443" s="5" t="s">
        <v>1</v>
      </c>
      <c r="C443" s="5">
        <v>132796.64000000001</v>
      </c>
      <c r="D443" s="5">
        <v>27</v>
      </c>
      <c r="E443" s="5">
        <v>0</v>
      </c>
      <c r="F443" s="5">
        <v>0.91169999999999995</v>
      </c>
      <c r="G443" s="5">
        <v>0.73619999999999997</v>
      </c>
      <c r="H443" s="5">
        <v>5</v>
      </c>
      <c r="I443" s="5">
        <v>118875.06</v>
      </c>
      <c r="J443" s="5">
        <v>101718.35</v>
      </c>
      <c r="K443" s="5">
        <v>32</v>
      </c>
      <c r="L443" s="5">
        <v>1</v>
      </c>
      <c r="M443" s="5">
        <v>1</v>
      </c>
      <c r="N443" s="5">
        <v>1</v>
      </c>
      <c r="O443" s="5">
        <v>650.86</v>
      </c>
      <c r="P443" s="6">
        <v>0</v>
      </c>
    </row>
    <row r="444" spans="1:16" ht="23.4" x14ac:dyDescent="0.45">
      <c r="A444" s="4" t="s">
        <v>447</v>
      </c>
      <c r="B444" s="5" t="s">
        <v>9</v>
      </c>
      <c r="C444" s="5">
        <v>142441.24</v>
      </c>
      <c r="D444" s="5">
        <v>62</v>
      </c>
      <c r="E444" s="5">
        <v>1</v>
      </c>
      <c r="F444" s="5">
        <v>0.72760000000000002</v>
      </c>
      <c r="G444" s="5">
        <v>3.0499999999999999E-2</v>
      </c>
      <c r="H444" s="5">
        <v>0</v>
      </c>
      <c r="I444" s="5">
        <v>500</v>
      </c>
      <c r="J444" s="5">
        <v>0</v>
      </c>
      <c r="K444" s="5">
        <v>90</v>
      </c>
      <c r="L444" s="5">
        <v>3</v>
      </c>
      <c r="M444" s="5">
        <v>2</v>
      </c>
      <c r="N444" s="5">
        <v>1</v>
      </c>
      <c r="O444" s="5">
        <v>799.66</v>
      </c>
      <c r="P444" s="6">
        <v>0</v>
      </c>
    </row>
    <row r="445" spans="1:16" ht="23.4" x14ac:dyDescent="0.45">
      <c r="A445" s="4" t="s">
        <v>448</v>
      </c>
      <c r="B445" s="5" t="s">
        <v>4</v>
      </c>
      <c r="C445" s="5">
        <v>70729.95</v>
      </c>
      <c r="D445" s="5">
        <v>67</v>
      </c>
      <c r="E445" s="5">
        <v>1</v>
      </c>
      <c r="F445" s="5">
        <v>0.76780000000000004</v>
      </c>
      <c r="G445" s="5">
        <v>0</v>
      </c>
      <c r="H445" s="5">
        <v>0</v>
      </c>
      <c r="I445" s="5">
        <v>500</v>
      </c>
      <c r="J445" s="5">
        <v>14512.12</v>
      </c>
      <c r="K445" s="5">
        <v>129</v>
      </c>
      <c r="L445" s="5">
        <v>1</v>
      </c>
      <c r="M445" s="5">
        <v>2</v>
      </c>
      <c r="N445" s="5">
        <v>3</v>
      </c>
      <c r="O445" s="5">
        <v>710.67</v>
      </c>
      <c r="P445" s="6">
        <v>0</v>
      </c>
    </row>
    <row r="446" spans="1:16" ht="23.4" x14ac:dyDescent="0.45">
      <c r="A446" s="4" t="s">
        <v>449</v>
      </c>
      <c r="B446" s="5" t="s">
        <v>9</v>
      </c>
      <c r="C446" s="5">
        <v>85058.58</v>
      </c>
      <c r="D446" s="5">
        <v>62</v>
      </c>
      <c r="E446" s="5">
        <v>0</v>
      </c>
      <c r="F446" s="5">
        <v>0.76370000000000005</v>
      </c>
      <c r="G446" s="5">
        <v>0.66039999999999999</v>
      </c>
      <c r="H446" s="5">
        <v>5</v>
      </c>
      <c r="I446" s="5">
        <v>62130.7</v>
      </c>
      <c r="J446" s="5">
        <v>43035.98</v>
      </c>
      <c r="K446" s="5">
        <v>123</v>
      </c>
      <c r="L446" s="5">
        <v>3</v>
      </c>
      <c r="M446" s="5">
        <v>1</v>
      </c>
      <c r="N446" s="5">
        <v>0</v>
      </c>
      <c r="O446" s="5">
        <v>540.85</v>
      </c>
      <c r="P446" s="6">
        <v>0</v>
      </c>
    </row>
    <row r="447" spans="1:16" ht="23.4" x14ac:dyDescent="0.45">
      <c r="A447" s="4" t="s">
        <v>450</v>
      </c>
      <c r="B447" s="5" t="s">
        <v>9</v>
      </c>
      <c r="C447" s="5">
        <v>50459.09</v>
      </c>
      <c r="D447" s="5">
        <v>40</v>
      </c>
      <c r="E447" s="5">
        <v>0</v>
      </c>
      <c r="F447" s="5">
        <v>0.55789999999999995</v>
      </c>
      <c r="G447" s="5">
        <v>0</v>
      </c>
      <c r="H447" s="5">
        <v>0</v>
      </c>
      <c r="I447" s="5">
        <v>500</v>
      </c>
      <c r="J447" s="5">
        <v>10063.629999999999</v>
      </c>
      <c r="K447" s="5">
        <v>54</v>
      </c>
      <c r="L447" s="5">
        <v>1</v>
      </c>
      <c r="M447" s="5">
        <v>1</v>
      </c>
      <c r="N447" s="5">
        <v>1</v>
      </c>
      <c r="O447" s="5">
        <v>760.12</v>
      </c>
      <c r="P447" s="6">
        <v>0</v>
      </c>
    </row>
    <row r="448" spans="1:16" ht="23.4" x14ac:dyDescent="0.45">
      <c r="A448" s="4" t="s">
        <v>451</v>
      </c>
      <c r="B448" s="5" t="s">
        <v>18</v>
      </c>
      <c r="C448" s="5">
        <v>73804.149999999994</v>
      </c>
      <c r="D448" s="5">
        <v>55</v>
      </c>
      <c r="E448" s="5">
        <v>0</v>
      </c>
      <c r="F448" s="5">
        <v>0.70489999999999997</v>
      </c>
      <c r="G448" s="5">
        <v>0.21740000000000001</v>
      </c>
      <c r="H448" s="5">
        <v>0</v>
      </c>
      <c r="I448" s="5">
        <v>42794.3</v>
      </c>
      <c r="J448" s="5">
        <v>25989.98</v>
      </c>
      <c r="K448" s="5">
        <v>10</v>
      </c>
      <c r="L448" s="5">
        <v>1</v>
      </c>
      <c r="M448" s="5">
        <v>1</v>
      </c>
      <c r="N448" s="5">
        <v>1</v>
      </c>
      <c r="O448" s="5">
        <v>746.21</v>
      </c>
      <c r="P448" s="6">
        <v>0</v>
      </c>
    </row>
    <row r="449" spans="1:16" ht="23.4" x14ac:dyDescent="0.45">
      <c r="A449" s="4" t="s">
        <v>452</v>
      </c>
      <c r="B449" s="5" t="s">
        <v>4</v>
      </c>
      <c r="C449" s="5">
        <v>95998.54</v>
      </c>
      <c r="D449" s="5">
        <v>63</v>
      </c>
      <c r="E449" s="5">
        <v>0</v>
      </c>
      <c r="F449" s="5">
        <v>0.23050000000000001</v>
      </c>
      <c r="G449" s="5">
        <v>0.31409999999999999</v>
      </c>
      <c r="H449" s="5">
        <v>4</v>
      </c>
      <c r="I449" s="5">
        <v>16611.16</v>
      </c>
      <c r="J449" s="5">
        <v>7848.26</v>
      </c>
      <c r="K449" s="5">
        <v>24</v>
      </c>
      <c r="L449" s="5">
        <v>1</v>
      </c>
      <c r="M449" s="5">
        <v>1</v>
      </c>
      <c r="N449" s="5">
        <v>1</v>
      </c>
      <c r="O449" s="5">
        <v>608.89</v>
      </c>
      <c r="P449" s="6">
        <v>0</v>
      </c>
    </row>
    <row r="450" spans="1:16" ht="23.4" x14ac:dyDescent="0.45">
      <c r="A450" s="4" t="s">
        <v>453</v>
      </c>
      <c r="B450" s="5" t="s">
        <v>6</v>
      </c>
      <c r="C450" s="5">
        <v>101991.66</v>
      </c>
      <c r="D450" s="5">
        <v>65</v>
      </c>
      <c r="E450" s="5">
        <v>1</v>
      </c>
      <c r="F450" s="5">
        <v>0.66979999999999995</v>
      </c>
      <c r="G450" s="5">
        <v>0.37469999999999998</v>
      </c>
      <c r="H450" s="5">
        <v>2</v>
      </c>
      <c r="I450" s="5">
        <v>16357.46</v>
      </c>
      <c r="J450" s="5">
        <v>0</v>
      </c>
      <c r="K450" s="5">
        <v>30</v>
      </c>
      <c r="L450" s="5">
        <v>2</v>
      </c>
      <c r="M450" s="5">
        <v>1</v>
      </c>
      <c r="N450" s="5">
        <v>1</v>
      </c>
      <c r="O450" s="5">
        <v>712.16</v>
      </c>
      <c r="P450" s="6">
        <v>0</v>
      </c>
    </row>
    <row r="451" spans="1:16" ht="23.4" x14ac:dyDescent="0.45">
      <c r="A451" s="4" t="s">
        <v>454</v>
      </c>
      <c r="B451" s="5" t="s">
        <v>6</v>
      </c>
      <c r="C451" s="5">
        <v>70569.27</v>
      </c>
      <c r="D451" s="5">
        <v>60</v>
      </c>
      <c r="E451" s="5">
        <v>1</v>
      </c>
      <c r="F451" s="5">
        <v>0.76639999999999997</v>
      </c>
      <c r="G451" s="5">
        <v>0.84399999999999997</v>
      </c>
      <c r="H451" s="5">
        <v>1</v>
      </c>
      <c r="I451" s="5">
        <v>71812.240000000005</v>
      </c>
      <c r="J451" s="5">
        <v>62715.37</v>
      </c>
      <c r="K451" s="5">
        <v>89</v>
      </c>
      <c r="L451" s="5">
        <v>1</v>
      </c>
      <c r="M451" s="5">
        <v>2</v>
      </c>
      <c r="N451" s="5">
        <v>1</v>
      </c>
      <c r="O451" s="5">
        <v>664.36</v>
      </c>
      <c r="P451" s="6">
        <v>0</v>
      </c>
    </row>
    <row r="452" spans="1:16" ht="23.4" x14ac:dyDescent="0.45">
      <c r="A452" s="4" t="s">
        <v>455</v>
      </c>
      <c r="B452" s="5" t="s">
        <v>15</v>
      </c>
      <c r="C452" s="5">
        <v>120401.57</v>
      </c>
      <c r="D452" s="5">
        <v>23</v>
      </c>
      <c r="E452" s="5">
        <v>0</v>
      </c>
      <c r="F452" s="5">
        <v>0.66949999999999998</v>
      </c>
      <c r="G452" s="5">
        <v>0.21149999999999999</v>
      </c>
      <c r="H452" s="5">
        <v>1</v>
      </c>
      <c r="I452" s="5">
        <v>31476.959999999999</v>
      </c>
      <c r="J452" s="5">
        <v>24057.72</v>
      </c>
      <c r="K452" s="5">
        <v>112</v>
      </c>
      <c r="L452" s="5">
        <v>1</v>
      </c>
      <c r="M452" s="5">
        <v>1</v>
      </c>
      <c r="N452" s="5">
        <v>0</v>
      </c>
      <c r="O452" s="5">
        <v>716.58</v>
      </c>
      <c r="P452" s="6">
        <v>0</v>
      </c>
    </row>
    <row r="453" spans="1:16" ht="23.4" x14ac:dyDescent="0.45">
      <c r="A453" s="4" t="s">
        <v>456</v>
      </c>
      <c r="B453" s="5" t="s">
        <v>18</v>
      </c>
      <c r="C453" s="5">
        <v>149388.06</v>
      </c>
      <c r="D453" s="5">
        <v>61</v>
      </c>
      <c r="E453" s="5">
        <v>0</v>
      </c>
      <c r="F453" s="5">
        <v>0.43619999999999998</v>
      </c>
      <c r="G453" s="5">
        <v>0.1186</v>
      </c>
      <c r="H453" s="5">
        <v>3</v>
      </c>
      <c r="I453" s="5">
        <v>19412.009999999998</v>
      </c>
      <c r="J453" s="5">
        <v>16178.67</v>
      </c>
      <c r="K453" s="5">
        <v>28</v>
      </c>
      <c r="L453" s="5">
        <v>2</v>
      </c>
      <c r="M453" s="5">
        <v>2</v>
      </c>
      <c r="N453" s="5">
        <v>0</v>
      </c>
      <c r="O453" s="5">
        <v>694.36</v>
      </c>
      <c r="P453" s="6">
        <v>0</v>
      </c>
    </row>
    <row r="454" spans="1:16" ht="23.4" x14ac:dyDescent="0.45">
      <c r="A454" s="4" t="s">
        <v>457</v>
      </c>
      <c r="B454" s="5" t="s">
        <v>15</v>
      </c>
      <c r="C454" s="5">
        <v>103419.64</v>
      </c>
      <c r="D454" s="5">
        <v>29</v>
      </c>
      <c r="E454" s="5">
        <v>0</v>
      </c>
      <c r="F454" s="5">
        <v>0.48060000000000003</v>
      </c>
      <c r="G454" s="5">
        <v>0.49719999999999998</v>
      </c>
      <c r="H454" s="5">
        <v>6</v>
      </c>
      <c r="I454" s="5">
        <v>36120.620000000003</v>
      </c>
      <c r="J454" s="5">
        <v>20199.96</v>
      </c>
      <c r="K454" s="5">
        <v>50</v>
      </c>
      <c r="L454" s="5">
        <v>2</v>
      </c>
      <c r="M454" s="5">
        <v>1</v>
      </c>
      <c r="N454" s="5">
        <v>0</v>
      </c>
      <c r="O454" s="5">
        <v>520.88</v>
      </c>
      <c r="P454" s="6">
        <v>0</v>
      </c>
    </row>
    <row r="455" spans="1:16" ht="23.4" x14ac:dyDescent="0.45">
      <c r="A455" s="4" t="s">
        <v>458</v>
      </c>
      <c r="B455" s="5" t="s">
        <v>1</v>
      </c>
      <c r="C455" s="5">
        <v>90077.84</v>
      </c>
      <c r="D455" s="5">
        <v>40</v>
      </c>
      <c r="E455" s="5">
        <v>0</v>
      </c>
      <c r="F455" s="5">
        <v>0.68899999999999995</v>
      </c>
      <c r="G455" s="5">
        <v>0.41949999999999998</v>
      </c>
      <c r="H455" s="5">
        <v>3</v>
      </c>
      <c r="I455" s="5">
        <v>45261.48</v>
      </c>
      <c r="J455" s="5">
        <v>27054.29</v>
      </c>
      <c r="K455" s="5">
        <v>98</v>
      </c>
      <c r="L455" s="5">
        <v>3</v>
      </c>
      <c r="M455" s="5">
        <v>3</v>
      </c>
      <c r="N455" s="5">
        <v>1</v>
      </c>
      <c r="O455" s="5">
        <v>694.04</v>
      </c>
      <c r="P455" s="6">
        <v>0</v>
      </c>
    </row>
    <row r="456" spans="1:16" ht="23.4" x14ac:dyDescent="0.45">
      <c r="A456" s="4" t="s">
        <v>459</v>
      </c>
      <c r="B456" s="5" t="s">
        <v>4</v>
      </c>
      <c r="C456" s="5">
        <v>68463.94</v>
      </c>
      <c r="D456" s="5">
        <v>24</v>
      </c>
      <c r="E456" s="5">
        <v>0</v>
      </c>
      <c r="F456" s="5">
        <v>0.60250000000000004</v>
      </c>
      <c r="G456" s="5">
        <v>0.55449999999999999</v>
      </c>
      <c r="H456" s="5">
        <v>7</v>
      </c>
      <c r="I456" s="5">
        <v>22348.41</v>
      </c>
      <c r="J456" s="5">
        <v>0</v>
      </c>
      <c r="K456" s="5">
        <v>127</v>
      </c>
      <c r="L456" s="5">
        <v>2</v>
      </c>
      <c r="M456" s="5">
        <v>1</v>
      </c>
      <c r="N456" s="5">
        <v>2</v>
      </c>
      <c r="O456" s="5">
        <v>731.78</v>
      </c>
      <c r="P456" s="6">
        <v>0</v>
      </c>
    </row>
    <row r="457" spans="1:16" ht="23.4" x14ac:dyDescent="0.45">
      <c r="A457" s="4" t="s">
        <v>460</v>
      </c>
      <c r="B457" s="5" t="s">
        <v>4</v>
      </c>
      <c r="C457" s="5">
        <v>104260.41</v>
      </c>
      <c r="D457" s="5">
        <v>37</v>
      </c>
      <c r="E457" s="5">
        <v>1</v>
      </c>
      <c r="F457" s="5">
        <v>0.51719999999999999</v>
      </c>
      <c r="G457" s="5">
        <v>0.79020000000000001</v>
      </c>
      <c r="H457" s="5">
        <v>4</v>
      </c>
      <c r="I457" s="5">
        <v>77929.179999999993</v>
      </c>
      <c r="J457" s="5">
        <v>46199.87</v>
      </c>
      <c r="K457" s="5">
        <v>51</v>
      </c>
      <c r="L457" s="5">
        <v>1</v>
      </c>
      <c r="M457" s="5">
        <v>1</v>
      </c>
      <c r="N457" s="5">
        <v>1</v>
      </c>
      <c r="O457" s="5">
        <v>512.59</v>
      </c>
      <c r="P457" s="6">
        <v>1</v>
      </c>
    </row>
    <row r="458" spans="1:16" ht="23.4" x14ac:dyDescent="0.45">
      <c r="A458" s="4" t="s">
        <v>461</v>
      </c>
      <c r="B458" s="5" t="s">
        <v>1</v>
      </c>
      <c r="C458" s="5">
        <v>94502.69</v>
      </c>
      <c r="D458" s="5">
        <v>58</v>
      </c>
      <c r="E458" s="5">
        <v>0</v>
      </c>
      <c r="F458" s="5">
        <v>0.91600000000000004</v>
      </c>
      <c r="G458" s="5">
        <v>0.32350000000000001</v>
      </c>
      <c r="H458" s="5">
        <v>3</v>
      </c>
      <c r="I458" s="5">
        <v>24668.32</v>
      </c>
      <c r="J458" s="5">
        <v>12541.18</v>
      </c>
      <c r="K458" s="5">
        <v>34</v>
      </c>
      <c r="L458" s="5">
        <v>1</v>
      </c>
      <c r="M458" s="5">
        <v>1</v>
      </c>
      <c r="N458" s="5">
        <v>1</v>
      </c>
      <c r="O458" s="5">
        <v>773.87</v>
      </c>
      <c r="P458" s="6">
        <v>0</v>
      </c>
    </row>
    <row r="459" spans="1:16" ht="23.4" x14ac:dyDescent="0.45">
      <c r="A459" s="4" t="s">
        <v>462</v>
      </c>
      <c r="B459" s="5" t="s">
        <v>1</v>
      </c>
      <c r="C459" s="5">
        <v>58145.45</v>
      </c>
      <c r="D459" s="5">
        <v>51</v>
      </c>
      <c r="E459" s="5">
        <v>0</v>
      </c>
      <c r="F459" s="5">
        <v>0.64249999999999996</v>
      </c>
      <c r="G459" s="5">
        <v>0.3574</v>
      </c>
      <c r="H459" s="5">
        <v>1</v>
      </c>
      <c r="I459" s="5">
        <v>24887.69</v>
      </c>
      <c r="J459" s="5">
        <v>12479.39</v>
      </c>
      <c r="K459" s="5">
        <v>101</v>
      </c>
      <c r="L459" s="5">
        <v>1</v>
      </c>
      <c r="M459" s="5">
        <v>2</v>
      </c>
      <c r="N459" s="5">
        <v>1</v>
      </c>
      <c r="O459" s="5">
        <v>674.66</v>
      </c>
      <c r="P459" s="6">
        <v>0</v>
      </c>
    </row>
    <row r="460" spans="1:16" ht="23.4" x14ac:dyDescent="0.45">
      <c r="A460" s="4" t="s">
        <v>463</v>
      </c>
      <c r="B460" s="5" t="s">
        <v>6</v>
      </c>
      <c r="C460" s="5">
        <v>96943.2</v>
      </c>
      <c r="D460" s="5">
        <v>65</v>
      </c>
      <c r="E460" s="5">
        <v>1</v>
      </c>
      <c r="F460" s="5">
        <v>0.79969999999999997</v>
      </c>
      <c r="G460" s="5">
        <v>0.2157</v>
      </c>
      <c r="H460" s="5">
        <v>1</v>
      </c>
      <c r="I460" s="5">
        <v>33772.42</v>
      </c>
      <c r="J460" s="5">
        <v>30067.62</v>
      </c>
      <c r="K460" s="5">
        <v>113</v>
      </c>
      <c r="L460" s="5">
        <v>1</v>
      </c>
      <c r="M460" s="5">
        <v>1</v>
      </c>
      <c r="N460" s="5">
        <v>2</v>
      </c>
      <c r="O460" s="5">
        <v>644.45000000000005</v>
      </c>
      <c r="P460" s="6">
        <v>0</v>
      </c>
    </row>
    <row r="461" spans="1:16" ht="23.4" x14ac:dyDescent="0.45">
      <c r="A461" s="4" t="s">
        <v>464</v>
      </c>
      <c r="B461" s="5" t="s">
        <v>9</v>
      </c>
      <c r="C461" s="5">
        <v>41845.9</v>
      </c>
      <c r="D461" s="5">
        <v>60</v>
      </c>
      <c r="E461" s="5">
        <v>0</v>
      </c>
      <c r="F461" s="5">
        <v>0.91790000000000005</v>
      </c>
      <c r="G461" s="5">
        <v>0.21640000000000001</v>
      </c>
      <c r="H461" s="5">
        <v>0</v>
      </c>
      <c r="I461" s="5">
        <v>5527.5</v>
      </c>
      <c r="J461" s="5">
        <v>0</v>
      </c>
      <c r="K461" s="5">
        <v>61</v>
      </c>
      <c r="L461" s="5">
        <v>2</v>
      </c>
      <c r="M461" s="5">
        <v>2</v>
      </c>
      <c r="N461" s="5">
        <v>0</v>
      </c>
      <c r="O461" s="5">
        <v>781.23</v>
      </c>
      <c r="P461" s="6">
        <v>0</v>
      </c>
    </row>
    <row r="462" spans="1:16" ht="23.4" x14ac:dyDescent="0.45">
      <c r="A462" s="4" t="s">
        <v>465</v>
      </c>
      <c r="B462" s="5" t="s">
        <v>15</v>
      </c>
      <c r="C462" s="5">
        <v>87062.52</v>
      </c>
      <c r="D462" s="5">
        <v>41</v>
      </c>
      <c r="E462" s="5">
        <v>1</v>
      </c>
      <c r="F462" s="5">
        <v>0.55000000000000004</v>
      </c>
      <c r="G462" s="5">
        <v>0.23760000000000001</v>
      </c>
      <c r="H462" s="5">
        <v>2</v>
      </c>
      <c r="I462" s="5">
        <v>53255.47</v>
      </c>
      <c r="J462" s="5">
        <v>24506.71</v>
      </c>
      <c r="K462" s="5">
        <v>152</v>
      </c>
      <c r="L462" s="5">
        <v>3</v>
      </c>
      <c r="M462" s="5">
        <v>1</v>
      </c>
      <c r="N462" s="5">
        <v>0</v>
      </c>
      <c r="O462" s="5">
        <v>794.42</v>
      </c>
      <c r="P462" s="6">
        <v>0</v>
      </c>
    </row>
    <row r="463" spans="1:16" ht="23.4" x14ac:dyDescent="0.45">
      <c r="A463" s="4" t="s">
        <v>466</v>
      </c>
      <c r="B463" s="5" t="s">
        <v>9</v>
      </c>
      <c r="C463" s="5">
        <v>85989.55</v>
      </c>
      <c r="D463" s="5">
        <v>48</v>
      </c>
      <c r="E463" s="5">
        <v>1</v>
      </c>
      <c r="F463" s="5">
        <v>0.47589999999999999</v>
      </c>
      <c r="G463" s="5">
        <v>0.34449999999999997</v>
      </c>
      <c r="H463" s="5">
        <v>3</v>
      </c>
      <c r="I463" s="5">
        <v>3044.48</v>
      </c>
      <c r="J463" s="5">
        <v>0</v>
      </c>
      <c r="K463" s="5">
        <v>148</v>
      </c>
      <c r="L463" s="5">
        <v>3</v>
      </c>
      <c r="M463" s="5">
        <v>2</v>
      </c>
      <c r="N463" s="5">
        <v>0</v>
      </c>
      <c r="O463" s="5">
        <v>692.65</v>
      </c>
      <c r="P463" s="6">
        <v>0</v>
      </c>
    </row>
    <row r="464" spans="1:16" ht="23.4" x14ac:dyDescent="0.45">
      <c r="A464" s="4" t="s">
        <v>467</v>
      </c>
      <c r="B464" s="5" t="s">
        <v>18</v>
      </c>
      <c r="C464" s="5">
        <v>69054.710000000006</v>
      </c>
      <c r="D464" s="5">
        <v>26</v>
      </c>
      <c r="E464" s="5">
        <v>1</v>
      </c>
      <c r="F464" s="5">
        <v>0.81489999999999996</v>
      </c>
      <c r="G464" s="5">
        <v>0.76990000000000003</v>
      </c>
      <c r="H464" s="5">
        <v>5</v>
      </c>
      <c r="I464" s="5">
        <v>61919.56</v>
      </c>
      <c r="J464" s="5">
        <v>52493.63</v>
      </c>
      <c r="K464" s="5">
        <v>152</v>
      </c>
      <c r="L464" s="5">
        <v>2</v>
      </c>
      <c r="M464" s="5">
        <v>1</v>
      </c>
      <c r="N464" s="5">
        <v>1</v>
      </c>
      <c r="O464" s="5">
        <v>702.9</v>
      </c>
      <c r="P464" s="6">
        <v>0</v>
      </c>
    </row>
    <row r="465" spans="1:16" ht="23.4" x14ac:dyDescent="0.45">
      <c r="A465" s="4" t="s">
        <v>468</v>
      </c>
      <c r="B465" s="5" t="s">
        <v>6</v>
      </c>
      <c r="C465" s="5">
        <v>2000</v>
      </c>
      <c r="D465" s="5">
        <v>44</v>
      </c>
      <c r="E465" s="5">
        <v>1</v>
      </c>
      <c r="F465" s="5">
        <v>0.4819</v>
      </c>
      <c r="G465" s="5">
        <v>0.1211</v>
      </c>
      <c r="H465" s="5">
        <v>4</v>
      </c>
      <c r="I465" s="5">
        <v>500</v>
      </c>
      <c r="J465" s="5">
        <v>0</v>
      </c>
      <c r="K465" s="5">
        <v>141</v>
      </c>
      <c r="L465" s="5">
        <v>1</v>
      </c>
      <c r="M465" s="5">
        <v>1</v>
      </c>
      <c r="N465" s="5">
        <v>0</v>
      </c>
      <c r="O465" s="5">
        <v>758.98</v>
      </c>
      <c r="P465" s="6">
        <v>0</v>
      </c>
    </row>
    <row r="466" spans="1:16" ht="23.4" x14ac:dyDescent="0.45">
      <c r="A466" s="4" t="s">
        <v>469</v>
      </c>
      <c r="B466" s="5" t="s">
        <v>15</v>
      </c>
      <c r="C466" s="5">
        <v>12778.99</v>
      </c>
      <c r="D466" s="5">
        <v>64</v>
      </c>
      <c r="E466" s="5">
        <v>1</v>
      </c>
      <c r="F466" s="5">
        <v>0.60629999999999995</v>
      </c>
      <c r="G466" s="5">
        <v>0.85040000000000004</v>
      </c>
      <c r="H466" s="5">
        <v>7</v>
      </c>
      <c r="I466" s="5">
        <v>10417.02</v>
      </c>
      <c r="J466" s="5">
        <v>4017.55</v>
      </c>
      <c r="K466" s="5">
        <v>178</v>
      </c>
      <c r="L466" s="5">
        <v>2</v>
      </c>
      <c r="M466" s="5">
        <v>1</v>
      </c>
      <c r="N466" s="5">
        <v>0</v>
      </c>
      <c r="O466" s="5">
        <v>637.79999999999995</v>
      </c>
      <c r="P466" s="6">
        <v>0</v>
      </c>
    </row>
    <row r="467" spans="1:16" ht="23.4" x14ac:dyDescent="0.45">
      <c r="A467" s="4" t="s">
        <v>470</v>
      </c>
      <c r="B467" s="5" t="s">
        <v>9</v>
      </c>
      <c r="C467" s="5">
        <v>92807.89</v>
      </c>
      <c r="D467" s="5">
        <v>62</v>
      </c>
      <c r="E467" s="5">
        <v>1</v>
      </c>
      <c r="F467" s="5">
        <v>0.63049999999999995</v>
      </c>
      <c r="G467" s="5">
        <v>0.3664</v>
      </c>
      <c r="H467" s="5">
        <v>2</v>
      </c>
      <c r="I467" s="5">
        <v>24180.26</v>
      </c>
      <c r="J467" s="5">
        <v>21637.21</v>
      </c>
      <c r="K467" s="5">
        <v>35</v>
      </c>
      <c r="L467" s="5">
        <v>2</v>
      </c>
      <c r="M467" s="5">
        <v>2</v>
      </c>
      <c r="N467" s="5">
        <v>1</v>
      </c>
      <c r="O467" s="5">
        <v>691.15</v>
      </c>
      <c r="P467" s="6">
        <v>0</v>
      </c>
    </row>
    <row r="468" spans="1:16" ht="23.4" x14ac:dyDescent="0.45">
      <c r="A468" s="4" t="s">
        <v>471</v>
      </c>
      <c r="B468" s="5" t="s">
        <v>9</v>
      </c>
      <c r="C468" s="5">
        <v>68021.679999999993</v>
      </c>
      <c r="D468" s="5">
        <v>69</v>
      </c>
      <c r="E468" s="5">
        <v>1</v>
      </c>
      <c r="F468" s="5">
        <v>0.38</v>
      </c>
      <c r="G468" s="5">
        <v>0.43580000000000002</v>
      </c>
      <c r="H468" s="5">
        <v>5</v>
      </c>
      <c r="I468" s="5">
        <v>27181.35</v>
      </c>
      <c r="J468" s="5">
        <v>27013.1</v>
      </c>
      <c r="K468" s="5">
        <v>76</v>
      </c>
      <c r="L468" s="5">
        <v>1</v>
      </c>
      <c r="M468" s="5">
        <v>1</v>
      </c>
      <c r="N468" s="5">
        <v>1</v>
      </c>
      <c r="O468" s="5">
        <v>547.87</v>
      </c>
      <c r="P468" s="6">
        <v>0</v>
      </c>
    </row>
    <row r="469" spans="1:16" ht="23.4" x14ac:dyDescent="0.45">
      <c r="A469" s="4" t="s">
        <v>472</v>
      </c>
      <c r="B469" s="5" t="s">
        <v>18</v>
      </c>
      <c r="C469" s="5">
        <v>89228.73</v>
      </c>
      <c r="D469" s="5">
        <v>55</v>
      </c>
      <c r="E469" s="5">
        <v>1</v>
      </c>
      <c r="F469" s="5">
        <v>0.59260000000000002</v>
      </c>
      <c r="G469" s="5">
        <v>0.12230000000000001</v>
      </c>
      <c r="H469" s="5">
        <v>0</v>
      </c>
      <c r="I469" s="5">
        <v>31075.68</v>
      </c>
      <c r="J469" s="5">
        <v>25745.94</v>
      </c>
      <c r="K469" s="5">
        <v>22</v>
      </c>
      <c r="L469" s="5">
        <v>1</v>
      </c>
      <c r="M469" s="5">
        <v>2</v>
      </c>
      <c r="N469" s="5">
        <v>0</v>
      </c>
      <c r="O469" s="5">
        <v>573.70000000000005</v>
      </c>
      <c r="P469" s="6">
        <v>0</v>
      </c>
    </row>
    <row r="470" spans="1:16" ht="23.4" x14ac:dyDescent="0.45">
      <c r="A470" s="4" t="s">
        <v>473</v>
      </c>
      <c r="B470" s="5" t="s">
        <v>6</v>
      </c>
      <c r="C470" s="5">
        <v>139055.85</v>
      </c>
      <c r="D470" s="5">
        <v>25</v>
      </c>
      <c r="E470" s="5">
        <v>1</v>
      </c>
      <c r="F470" s="5">
        <v>1</v>
      </c>
      <c r="G470" s="5">
        <v>0.55530000000000002</v>
      </c>
      <c r="H470" s="5">
        <v>4</v>
      </c>
      <c r="I470" s="5">
        <v>71484.37</v>
      </c>
      <c r="J470" s="5">
        <v>48331.199999999997</v>
      </c>
      <c r="K470" s="5">
        <v>58</v>
      </c>
      <c r="L470" s="5">
        <v>2</v>
      </c>
      <c r="M470" s="5">
        <v>2</v>
      </c>
      <c r="N470" s="5">
        <v>0</v>
      </c>
      <c r="O470" s="5">
        <v>799.13</v>
      </c>
      <c r="P470" s="6">
        <v>0</v>
      </c>
    </row>
    <row r="471" spans="1:16" ht="23.4" x14ac:dyDescent="0.45">
      <c r="A471" s="4" t="s">
        <v>474</v>
      </c>
      <c r="B471" s="5" t="s">
        <v>9</v>
      </c>
      <c r="C471" s="5">
        <v>79323.08</v>
      </c>
      <c r="D471" s="5">
        <v>43</v>
      </c>
      <c r="E471" s="5">
        <v>0</v>
      </c>
      <c r="F471" s="5">
        <v>0.41310000000000002</v>
      </c>
      <c r="G471" s="5">
        <v>0.59670000000000001</v>
      </c>
      <c r="H471" s="5">
        <v>5</v>
      </c>
      <c r="I471" s="5">
        <v>48642.71</v>
      </c>
      <c r="J471" s="5">
        <v>41755.24</v>
      </c>
      <c r="K471" s="5">
        <v>139</v>
      </c>
      <c r="L471" s="5">
        <v>2</v>
      </c>
      <c r="M471" s="5">
        <v>1</v>
      </c>
      <c r="N471" s="5">
        <v>0</v>
      </c>
      <c r="O471" s="5">
        <v>666.74</v>
      </c>
      <c r="P471" s="6">
        <v>0</v>
      </c>
    </row>
    <row r="472" spans="1:16" ht="23.4" x14ac:dyDescent="0.45">
      <c r="A472" s="4" t="s">
        <v>475</v>
      </c>
      <c r="B472" s="5" t="s">
        <v>18</v>
      </c>
      <c r="C472" s="5">
        <v>62153</v>
      </c>
      <c r="D472" s="5">
        <v>65</v>
      </c>
      <c r="E472" s="5">
        <v>1</v>
      </c>
      <c r="F472" s="5">
        <v>0.93810000000000004</v>
      </c>
      <c r="G472" s="5">
        <v>9.0399999999999994E-2</v>
      </c>
      <c r="H472" s="5">
        <v>0</v>
      </c>
      <c r="I472" s="5">
        <v>500</v>
      </c>
      <c r="J472" s="5">
        <v>3088.01</v>
      </c>
      <c r="K472" s="5">
        <v>84</v>
      </c>
      <c r="L472" s="5">
        <v>1</v>
      </c>
      <c r="M472" s="5">
        <v>1</v>
      </c>
      <c r="N472" s="5">
        <v>1</v>
      </c>
      <c r="O472" s="5">
        <v>850</v>
      </c>
      <c r="P472" s="6">
        <v>0</v>
      </c>
    </row>
    <row r="473" spans="1:16" ht="23.4" x14ac:dyDescent="0.45">
      <c r="A473" s="4" t="s">
        <v>476</v>
      </c>
      <c r="B473" s="5" t="s">
        <v>18</v>
      </c>
      <c r="C473" s="5">
        <v>75893.59</v>
      </c>
      <c r="D473" s="5">
        <v>43</v>
      </c>
      <c r="E473" s="5">
        <v>0</v>
      </c>
      <c r="F473" s="5">
        <v>0.59279999999999999</v>
      </c>
      <c r="G473" s="5">
        <v>1</v>
      </c>
      <c r="H473" s="5">
        <v>5</v>
      </c>
      <c r="I473" s="5">
        <v>69869.679999999993</v>
      </c>
      <c r="J473" s="5">
        <v>39563.58</v>
      </c>
      <c r="K473" s="5">
        <v>50</v>
      </c>
      <c r="L473" s="5">
        <v>3</v>
      </c>
      <c r="M473" s="5">
        <v>2</v>
      </c>
      <c r="N473" s="5">
        <v>1</v>
      </c>
      <c r="O473" s="5">
        <v>632.75</v>
      </c>
      <c r="P473" s="6">
        <v>1</v>
      </c>
    </row>
    <row r="474" spans="1:16" ht="23.4" x14ac:dyDescent="0.45">
      <c r="A474" s="4" t="s">
        <v>477</v>
      </c>
      <c r="B474" s="5" t="s">
        <v>15</v>
      </c>
      <c r="C474" s="5">
        <v>90990.43</v>
      </c>
      <c r="D474" s="5">
        <v>41</v>
      </c>
      <c r="E474" s="5">
        <v>1</v>
      </c>
      <c r="F474" s="5">
        <v>0.75780000000000003</v>
      </c>
      <c r="G474" s="5">
        <v>0.15939999999999999</v>
      </c>
      <c r="H474" s="5">
        <v>0</v>
      </c>
      <c r="I474" s="5">
        <v>7563.97</v>
      </c>
      <c r="J474" s="5">
        <v>9277.9699999999993</v>
      </c>
      <c r="K474" s="5">
        <v>14</v>
      </c>
      <c r="L474" s="5">
        <v>2</v>
      </c>
      <c r="M474" s="5">
        <v>3</v>
      </c>
      <c r="N474" s="5">
        <v>0</v>
      </c>
      <c r="O474" s="5">
        <v>573.29999999999995</v>
      </c>
      <c r="P474" s="6">
        <v>0</v>
      </c>
    </row>
    <row r="475" spans="1:16" ht="23.4" x14ac:dyDescent="0.45">
      <c r="A475" s="4" t="s">
        <v>478</v>
      </c>
      <c r="B475" s="5" t="s">
        <v>18</v>
      </c>
      <c r="C475" s="5">
        <v>129015.47</v>
      </c>
      <c r="D475" s="5">
        <v>28</v>
      </c>
      <c r="E475" s="5">
        <v>0</v>
      </c>
      <c r="F475" s="5">
        <v>0.87870000000000004</v>
      </c>
      <c r="G475" s="5">
        <v>0.27800000000000002</v>
      </c>
      <c r="H475" s="5">
        <v>1</v>
      </c>
      <c r="I475" s="5">
        <v>35892.89</v>
      </c>
      <c r="J475" s="5">
        <v>20187.21</v>
      </c>
      <c r="K475" s="5">
        <v>7</v>
      </c>
      <c r="L475" s="5">
        <v>4</v>
      </c>
      <c r="M475" s="5">
        <v>2</v>
      </c>
      <c r="N475" s="5">
        <v>1</v>
      </c>
      <c r="O475" s="5">
        <v>746.95</v>
      </c>
      <c r="P475" s="6">
        <v>0</v>
      </c>
    </row>
    <row r="476" spans="1:16" ht="23.4" x14ac:dyDescent="0.45">
      <c r="A476" s="4" t="s">
        <v>479</v>
      </c>
      <c r="B476" s="5" t="s">
        <v>6</v>
      </c>
      <c r="C476" s="5">
        <v>62968.46</v>
      </c>
      <c r="D476" s="5">
        <v>69</v>
      </c>
      <c r="E476" s="5">
        <v>0</v>
      </c>
      <c r="F476" s="5">
        <v>1</v>
      </c>
      <c r="G476" s="5">
        <v>0.72409999999999997</v>
      </c>
      <c r="H476" s="5">
        <v>4</v>
      </c>
      <c r="I476" s="5">
        <v>57258.59</v>
      </c>
      <c r="J476" s="5">
        <v>54047.78</v>
      </c>
      <c r="K476" s="5">
        <v>119</v>
      </c>
      <c r="L476" s="5">
        <v>1</v>
      </c>
      <c r="M476" s="5">
        <v>1</v>
      </c>
      <c r="N476" s="5">
        <v>1</v>
      </c>
      <c r="O476" s="5">
        <v>799.55</v>
      </c>
      <c r="P476" s="6">
        <v>0</v>
      </c>
    </row>
    <row r="477" spans="1:16" ht="23.4" x14ac:dyDescent="0.45">
      <c r="A477" s="4" t="s">
        <v>480</v>
      </c>
      <c r="B477" s="5" t="s">
        <v>15</v>
      </c>
      <c r="C477" s="5">
        <v>106881.21</v>
      </c>
      <c r="D477" s="5">
        <v>22</v>
      </c>
      <c r="E477" s="5">
        <v>0</v>
      </c>
      <c r="F477" s="5">
        <v>0.38750000000000001</v>
      </c>
      <c r="G477" s="5">
        <v>0.67779999999999996</v>
      </c>
      <c r="H477" s="5">
        <v>3</v>
      </c>
      <c r="I477" s="5">
        <v>74640.06</v>
      </c>
      <c r="J477" s="5">
        <v>52202.43</v>
      </c>
      <c r="K477" s="5">
        <v>155</v>
      </c>
      <c r="L477" s="5">
        <v>2</v>
      </c>
      <c r="M477" s="5">
        <v>2</v>
      </c>
      <c r="N477" s="5">
        <v>1</v>
      </c>
      <c r="O477" s="5">
        <v>671.4</v>
      </c>
      <c r="P477" s="6">
        <v>0</v>
      </c>
    </row>
    <row r="478" spans="1:16" ht="23.4" x14ac:dyDescent="0.45">
      <c r="A478" s="4" t="s">
        <v>481</v>
      </c>
      <c r="B478" s="5" t="s">
        <v>1</v>
      </c>
      <c r="C478" s="5">
        <v>165767.48000000001</v>
      </c>
      <c r="D478" s="5">
        <v>64</v>
      </c>
      <c r="E478" s="5">
        <v>1</v>
      </c>
      <c r="F478" s="5">
        <v>0.89510000000000001</v>
      </c>
      <c r="G478" s="5">
        <v>0.34939999999999999</v>
      </c>
      <c r="H478" s="5">
        <v>1</v>
      </c>
      <c r="I478" s="5">
        <v>48084.72</v>
      </c>
      <c r="J478" s="5">
        <v>36061.68</v>
      </c>
      <c r="K478" s="5">
        <v>87</v>
      </c>
      <c r="L478" s="5">
        <v>2</v>
      </c>
      <c r="M478" s="5">
        <v>2</v>
      </c>
      <c r="N478" s="5">
        <v>0</v>
      </c>
      <c r="O478" s="5">
        <v>699.29</v>
      </c>
      <c r="P478" s="6">
        <v>0</v>
      </c>
    </row>
    <row r="479" spans="1:16" ht="23.4" x14ac:dyDescent="0.45">
      <c r="A479" s="4" t="s">
        <v>482</v>
      </c>
      <c r="B479" s="5" t="s">
        <v>1</v>
      </c>
      <c r="C479" s="5">
        <v>50751.96</v>
      </c>
      <c r="D479" s="5">
        <v>48</v>
      </c>
      <c r="E479" s="5">
        <v>0</v>
      </c>
      <c r="F479" s="5">
        <v>0.56810000000000005</v>
      </c>
      <c r="G479" s="5">
        <v>0.57640000000000002</v>
      </c>
      <c r="H479" s="5">
        <v>3</v>
      </c>
      <c r="I479" s="5">
        <v>42881.87</v>
      </c>
      <c r="J479" s="5">
        <v>43027.46</v>
      </c>
      <c r="K479" s="5">
        <v>28</v>
      </c>
      <c r="L479" s="5">
        <v>1</v>
      </c>
      <c r="M479" s="5">
        <v>2</v>
      </c>
      <c r="N479" s="5">
        <v>1</v>
      </c>
      <c r="O479" s="5">
        <v>654.86</v>
      </c>
      <c r="P479" s="6">
        <v>0</v>
      </c>
    </row>
    <row r="480" spans="1:16" ht="23.4" x14ac:dyDescent="0.45">
      <c r="A480" s="4" t="s">
        <v>483</v>
      </c>
      <c r="B480" s="5" t="s">
        <v>4</v>
      </c>
      <c r="C480" s="5">
        <v>64821.74</v>
      </c>
      <c r="D480" s="5">
        <v>67</v>
      </c>
      <c r="E480" s="5">
        <v>1</v>
      </c>
      <c r="F480" s="5">
        <v>0.74229999999999996</v>
      </c>
      <c r="G480" s="5">
        <v>0.65800000000000003</v>
      </c>
      <c r="H480" s="5">
        <v>3</v>
      </c>
      <c r="I480" s="5">
        <v>49195.51</v>
      </c>
      <c r="J480" s="5">
        <v>31627.7</v>
      </c>
      <c r="K480" s="5">
        <v>156</v>
      </c>
      <c r="L480" s="5">
        <v>2</v>
      </c>
      <c r="M480" s="5">
        <v>1</v>
      </c>
      <c r="N480" s="5">
        <v>0</v>
      </c>
      <c r="O480" s="5">
        <v>759.48</v>
      </c>
      <c r="P480" s="6">
        <v>0</v>
      </c>
    </row>
    <row r="481" spans="1:16" ht="23.4" x14ac:dyDescent="0.45">
      <c r="A481" s="4" t="s">
        <v>484</v>
      </c>
      <c r="B481" s="5" t="s">
        <v>18</v>
      </c>
      <c r="C481" s="5">
        <v>85993.76</v>
      </c>
      <c r="D481" s="5">
        <v>58</v>
      </c>
      <c r="E481" s="5">
        <v>0</v>
      </c>
      <c r="F481" s="5">
        <v>0.70330000000000004</v>
      </c>
      <c r="G481" s="5">
        <v>0.29249999999999998</v>
      </c>
      <c r="H481" s="5">
        <v>0</v>
      </c>
      <c r="I481" s="5">
        <v>43068.49</v>
      </c>
      <c r="J481" s="5">
        <v>20586.87</v>
      </c>
      <c r="K481" s="5">
        <v>151</v>
      </c>
      <c r="L481" s="5">
        <v>3</v>
      </c>
      <c r="M481" s="5">
        <v>1</v>
      </c>
      <c r="N481" s="5">
        <v>0</v>
      </c>
      <c r="O481" s="5">
        <v>750.11</v>
      </c>
      <c r="P481" s="6">
        <v>0</v>
      </c>
    </row>
    <row r="482" spans="1:16" ht="23.4" x14ac:dyDescent="0.45">
      <c r="A482" s="4" t="s">
        <v>485</v>
      </c>
      <c r="B482" s="5" t="s">
        <v>6</v>
      </c>
      <c r="C482" s="5">
        <v>77530.28</v>
      </c>
      <c r="D482" s="5">
        <v>40</v>
      </c>
      <c r="E482" s="5">
        <v>1</v>
      </c>
      <c r="F482" s="5">
        <v>0.68049999999999999</v>
      </c>
      <c r="G482" s="5">
        <v>0.50780000000000003</v>
      </c>
      <c r="H482" s="5">
        <v>2</v>
      </c>
      <c r="I482" s="5">
        <v>23783.08</v>
      </c>
      <c r="J482" s="5">
        <v>12738.16</v>
      </c>
      <c r="K482" s="5">
        <v>12</v>
      </c>
      <c r="L482" s="5">
        <v>3</v>
      </c>
      <c r="M482" s="5">
        <v>1</v>
      </c>
      <c r="N482" s="5">
        <v>0</v>
      </c>
      <c r="O482" s="5">
        <v>636.85</v>
      </c>
      <c r="P482" s="6">
        <v>0</v>
      </c>
    </row>
    <row r="483" spans="1:16" ht="23.4" x14ac:dyDescent="0.45">
      <c r="A483" s="4" t="s">
        <v>486</v>
      </c>
      <c r="B483" s="5" t="s">
        <v>9</v>
      </c>
      <c r="C483" s="5">
        <v>40525.94</v>
      </c>
      <c r="D483" s="5">
        <v>63</v>
      </c>
      <c r="E483" s="5">
        <v>0</v>
      </c>
      <c r="F483" s="5">
        <v>0.86229999999999996</v>
      </c>
      <c r="G483" s="5">
        <v>0.23780000000000001</v>
      </c>
      <c r="H483" s="5">
        <v>0</v>
      </c>
      <c r="I483" s="5">
        <v>10804.21</v>
      </c>
      <c r="J483" s="5">
        <v>8181.45</v>
      </c>
      <c r="K483" s="5">
        <v>76</v>
      </c>
      <c r="L483" s="5">
        <v>2</v>
      </c>
      <c r="M483" s="5">
        <v>3</v>
      </c>
      <c r="N483" s="5">
        <v>1</v>
      </c>
      <c r="O483" s="5">
        <v>764.69</v>
      </c>
      <c r="P483" s="6">
        <v>0</v>
      </c>
    </row>
    <row r="484" spans="1:16" ht="23.4" x14ac:dyDescent="0.45">
      <c r="A484" s="4" t="s">
        <v>487</v>
      </c>
      <c r="B484" s="5" t="s">
        <v>15</v>
      </c>
      <c r="C484" s="5">
        <v>42195.93</v>
      </c>
      <c r="D484" s="5">
        <v>37</v>
      </c>
      <c r="E484" s="5">
        <v>1</v>
      </c>
      <c r="F484" s="5">
        <v>0.72619999999999996</v>
      </c>
      <c r="G484" s="5">
        <v>0.20280000000000001</v>
      </c>
      <c r="H484" s="5">
        <v>0</v>
      </c>
      <c r="I484" s="5">
        <v>5960.46</v>
      </c>
      <c r="J484" s="5">
        <v>323.17</v>
      </c>
      <c r="K484" s="5">
        <v>137</v>
      </c>
      <c r="L484" s="5">
        <v>2</v>
      </c>
      <c r="M484" s="5">
        <v>1</v>
      </c>
      <c r="N484" s="5">
        <v>0</v>
      </c>
      <c r="O484" s="5">
        <v>691.53</v>
      </c>
      <c r="P484" s="6">
        <v>0</v>
      </c>
    </row>
    <row r="485" spans="1:16" ht="23.4" x14ac:dyDescent="0.45">
      <c r="A485" s="4" t="s">
        <v>488</v>
      </c>
      <c r="B485" s="5" t="s">
        <v>4</v>
      </c>
      <c r="C485" s="5">
        <v>77584.27</v>
      </c>
      <c r="D485" s="5">
        <v>65</v>
      </c>
      <c r="E485" s="5">
        <v>1</v>
      </c>
      <c r="F485" s="5">
        <v>0.77869999999999995</v>
      </c>
      <c r="G485" s="5">
        <v>0.51229999999999998</v>
      </c>
      <c r="H485" s="5">
        <v>3</v>
      </c>
      <c r="I485" s="5">
        <v>55231.87</v>
      </c>
      <c r="J485" s="5">
        <v>45685.65</v>
      </c>
      <c r="K485" s="5">
        <v>80</v>
      </c>
      <c r="L485" s="5">
        <v>1</v>
      </c>
      <c r="M485" s="5">
        <v>2</v>
      </c>
      <c r="N485" s="5">
        <v>0</v>
      </c>
      <c r="O485" s="5">
        <v>672.93</v>
      </c>
      <c r="P485" s="6">
        <v>0</v>
      </c>
    </row>
    <row r="486" spans="1:16" ht="23.4" x14ac:dyDescent="0.45">
      <c r="A486" s="4" t="s">
        <v>489</v>
      </c>
      <c r="B486" s="5" t="s">
        <v>18</v>
      </c>
      <c r="C486" s="5">
        <v>36911.96</v>
      </c>
      <c r="D486" s="5">
        <v>59</v>
      </c>
      <c r="E486" s="5">
        <v>0</v>
      </c>
      <c r="F486" s="5">
        <v>0.45490000000000003</v>
      </c>
      <c r="G486" s="5">
        <v>0.4052</v>
      </c>
      <c r="H486" s="5">
        <v>0</v>
      </c>
      <c r="I486" s="5">
        <v>34496.65</v>
      </c>
      <c r="J486" s="5">
        <v>9313.39</v>
      </c>
      <c r="K486" s="5">
        <v>83</v>
      </c>
      <c r="L486" s="5">
        <v>1</v>
      </c>
      <c r="M486" s="5">
        <v>2</v>
      </c>
      <c r="N486" s="5">
        <v>0</v>
      </c>
      <c r="O486" s="5">
        <v>617.62</v>
      </c>
      <c r="P486" s="6">
        <v>0</v>
      </c>
    </row>
    <row r="487" spans="1:16" ht="23.4" x14ac:dyDescent="0.45">
      <c r="A487" s="4" t="s">
        <v>490</v>
      </c>
      <c r="B487" s="5" t="s">
        <v>15</v>
      </c>
      <c r="C487" s="5">
        <v>81010.77</v>
      </c>
      <c r="D487" s="5">
        <v>29</v>
      </c>
      <c r="E487" s="5">
        <v>0</v>
      </c>
      <c r="F487" s="5">
        <v>0.50800000000000001</v>
      </c>
      <c r="G487" s="5">
        <v>0.3725</v>
      </c>
      <c r="H487" s="5">
        <v>1</v>
      </c>
      <c r="I487" s="5">
        <v>31471.14</v>
      </c>
      <c r="J487" s="5">
        <v>22133.29</v>
      </c>
      <c r="K487" s="5">
        <v>45</v>
      </c>
      <c r="L487" s="5">
        <v>2</v>
      </c>
      <c r="M487" s="5">
        <v>2</v>
      </c>
      <c r="N487" s="5">
        <v>1</v>
      </c>
      <c r="O487" s="5">
        <v>666.33</v>
      </c>
      <c r="P487" s="6">
        <v>0</v>
      </c>
    </row>
    <row r="488" spans="1:16" ht="23.4" x14ac:dyDescent="0.45">
      <c r="A488" s="4" t="s">
        <v>491</v>
      </c>
      <c r="B488" s="5" t="s">
        <v>9</v>
      </c>
      <c r="C488" s="5">
        <v>48881.4</v>
      </c>
      <c r="D488" s="5">
        <v>55</v>
      </c>
      <c r="E488" s="5">
        <v>1</v>
      </c>
      <c r="F488" s="5">
        <v>0.2414</v>
      </c>
      <c r="G488" s="5">
        <v>0.30930000000000002</v>
      </c>
      <c r="H488" s="5">
        <v>0</v>
      </c>
      <c r="I488" s="5">
        <v>20174.88</v>
      </c>
      <c r="J488" s="5">
        <v>2152.23</v>
      </c>
      <c r="K488" s="5">
        <v>25</v>
      </c>
      <c r="L488" s="5">
        <v>1</v>
      </c>
      <c r="M488" s="5">
        <v>1</v>
      </c>
      <c r="N488" s="5">
        <v>0</v>
      </c>
      <c r="O488" s="5">
        <v>601.01</v>
      </c>
      <c r="P488" s="6">
        <v>0</v>
      </c>
    </row>
    <row r="489" spans="1:16" ht="23.4" x14ac:dyDescent="0.45">
      <c r="A489" s="4" t="s">
        <v>492</v>
      </c>
      <c r="B489" s="5" t="s">
        <v>4</v>
      </c>
      <c r="C489" s="5">
        <v>146251.4</v>
      </c>
      <c r="D489" s="5">
        <v>49</v>
      </c>
      <c r="E489" s="5">
        <v>0</v>
      </c>
      <c r="F489" s="5">
        <v>0.90759999999999996</v>
      </c>
      <c r="G489" s="5">
        <v>0.1845</v>
      </c>
      <c r="H489" s="5">
        <v>2</v>
      </c>
      <c r="I489" s="5">
        <v>13311.16</v>
      </c>
      <c r="J489" s="5">
        <v>9675.34</v>
      </c>
      <c r="K489" s="5">
        <v>36</v>
      </c>
      <c r="L489" s="5">
        <v>1</v>
      </c>
      <c r="M489" s="5">
        <v>2</v>
      </c>
      <c r="N489" s="5">
        <v>0</v>
      </c>
      <c r="O489" s="5">
        <v>730.12</v>
      </c>
      <c r="P489" s="6">
        <v>0</v>
      </c>
    </row>
    <row r="490" spans="1:16" ht="23.4" x14ac:dyDescent="0.45">
      <c r="A490" s="4" t="s">
        <v>493</v>
      </c>
      <c r="B490" s="5" t="s">
        <v>9</v>
      </c>
      <c r="C490" s="5">
        <v>106771.76</v>
      </c>
      <c r="D490" s="5">
        <v>26</v>
      </c>
      <c r="E490" s="5">
        <v>1</v>
      </c>
      <c r="F490" s="5">
        <v>0.77490000000000003</v>
      </c>
      <c r="G490" s="5">
        <v>2.2200000000000001E-2</v>
      </c>
      <c r="H490" s="5">
        <v>2</v>
      </c>
      <c r="I490" s="5">
        <v>4606.57</v>
      </c>
      <c r="J490" s="5">
        <v>4277.03</v>
      </c>
      <c r="K490" s="5">
        <v>129</v>
      </c>
      <c r="L490" s="5">
        <v>3</v>
      </c>
      <c r="M490" s="5">
        <v>1</v>
      </c>
      <c r="N490" s="5">
        <v>0</v>
      </c>
      <c r="O490" s="5">
        <v>760.45</v>
      </c>
      <c r="P490" s="6">
        <v>0</v>
      </c>
    </row>
    <row r="491" spans="1:16" ht="23.4" x14ac:dyDescent="0.45">
      <c r="A491" s="4" t="s">
        <v>494</v>
      </c>
      <c r="B491" s="5" t="s">
        <v>4</v>
      </c>
      <c r="C491" s="5">
        <v>37946.74</v>
      </c>
      <c r="D491" s="5">
        <v>28</v>
      </c>
      <c r="E491" s="5">
        <v>0</v>
      </c>
      <c r="F491" s="5">
        <v>0.74990000000000001</v>
      </c>
      <c r="G491" s="5">
        <v>0.35959999999999998</v>
      </c>
      <c r="H491" s="5">
        <v>2</v>
      </c>
      <c r="I491" s="5">
        <v>15687.68</v>
      </c>
      <c r="J491" s="5">
        <v>14360.66</v>
      </c>
      <c r="K491" s="5">
        <v>160</v>
      </c>
      <c r="L491" s="5">
        <v>1</v>
      </c>
      <c r="M491" s="5">
        <v>3</v>
      </c>
      <c r="N491" s="5">
        <v>0</v>
      </c>
      <c r="O491" s="5">
        <v>728.81</v>
      </c>
      <c r="P491" s="6">
        <v>0</v>
      </c>
    </row>
    <row r="492" spans="1:16" ht="23.4" x14ac:dyDescent="0.45">
      <c r="A492" s="4" t="s">
        <v>495</v>
      </c>
      <c r="B492" s="5" t="s">
        <v>15</v>
      </c>
      <c r="C492" s="5">
        <v>163247.26999999999</v>
      </c>
      <c r="D492" s="5">
        <v>38</v>
      </c>
      <c r="E492" s="5">
        <v>0</v>
      </c>
      <c r="F492" s="5">
        <v>0.90880000000000005</v>
      </c>
      <c r="G492" s="5">
        <v>0.61929999999999996</v>
      </c>
      <c r="H492" s="5">
        <v>3</v>
      </c>
      <c r="I492" s="5">
        <v>110517.47</v>
      </c>
      <c r="J492" s="5">
        <v>92361.91</v>
      </c>
      <c r="K492" s="5">
        <v>162</v>
      </c>
      <c r="L492" s="5">
        <v>1</v>
      </c>
      <c r="M492" s="5">
        <v>2</v>
      </c>
      <c r="N492" s="5">
        <v>0</v>
      </c>
      <c r="O492" s="5">
        <v>700.64</v>
      </c>
      <c r="P492" s="6">
        <v>0</v>
      </c>
    </row>
    <row r="493" spans="1:16" ht="23.4" x14ac:dyDescent="0.45">
      <c r="A493" s="4" t="s">
        <v>496</v>
      </c>
      <c r="B493" s="5" t="s">
        <v>9</v>
      </c>
      <c r="C493" s="5">
        <v>86439.54</v>
      </c>
      <c r="D493" s="5">
        <v>33</v>
      </c>
      <c r="E493" s="5">
        <v>0</v>
      </c>
      <c r="F493" s="5">
        <v>0.81969999999999998</v>
      </c>
      <c r="G493" s="5">
        <v>0.36580000000000001</v>
      </c>
      <c r="H493" s="5">
        <v>2</v>
      </c>
      <c r="I493" s="5">
        <v>30224.97</v>
      </c>
      <c r="J493" s="5">
        <v>19196.8</v>
      </c>
      <c r="K493" s="5">
        <v>135</v>
      </c>
      <c r="L493" s="5">
        <v>3</v>
      </c>
      <c r="M493" s="5">
        <v>1</v>
      </c>
      <c r="N493" s="5">
        <v>1</v>
      </c>
      <c r="O493" s="5">
        <v>584.42999999999995</v>
      </c>
      <c r="P493" s="6">
        <v>0</v>
      </c>
    </row>
    <row r="494" spans="1:16" ht="23.4" x14ac:dyDescent="0.45">
      <c r="A494" s="4" t="s">
        <v>497</v>
      </c>
      <c r="B494" s="5" t="s">
        <v>15</v>
      </c>
      <c r="C494" s="5">
        <v>80088.490000000005</v>
      </c>
      <c r="D494" s="5">
        <v>43</v>
      </c>
      <c r="E494" s="5">
        <v>1</v>
      </c>
      <c r="F494" s="5">
        <v>0.61550000000000005</v>
      </c>
      <c r="G494" s="5">
        <v>0.66080000000000005</v>
      </c>
      <c r="H494" s="5">
        <v>4</v>
      </c>
      <c r="I494" s="5">
        <v>37636.75</v>
      </c>
      <c r="J494" s="5">
        <v>23588.69</v>
      </c>
      <c r="K494" s="5">
        <v>86</v>
      </c>
      <c r="L494" s="5">
        <v>1</v>
      </c>
      <c r="M494" s="5">
        <v>1</v>
      </c>
      <c r="N494" s="5">
        <v>0</v>
      </c>
      <c r="O494" s="5">
        <v>678.21</v>
      </c>
      <c r="P494" s="6">
        <v>0</v>
      </c>
    </row>
    <row r="495" spans="1:16" ht="23.4" x14ac:dyDescent="0.45">
      <c r="A495" s="4" t="s">
        <v>498</v>
      </c>
      <c r="B495" s="5" t="s">
        <v>4</v>
      </c>
      <c r="C495" s="5">
        <v>19920.45</v>
      </c>
      <c r="D495" s="5">
        <v>23</v>
      </c>
      <c r="E495" s="5">
        <v>0</v>
      </c>
      <c r="F495" s="5">
        <v>0.90290000000000004</v>
      </c>
      <c r="G495" s="5">
        <v>0.54410000000000003</v>
      </c>
      <c r="H495" s="5">
        <v>2</v>
      </c>
      <c r="I495" s="5">
        <v>21817.7</v>
      </c>
      <c r="J495" s="5">
        <v>15548.61</v>
      </c>
      <c r="K495" s="5">
        <v>119</v>
      </c>
      <c r="L495" s="5">
        <v>1</v>
      </c>
      <c r="M495" s="5">
        <v>1</v>
      </c>
      <c r="N495" s="5">
        <v>3</v>
      </c>
      <c r="O495" s="5">
        <v>623.70000000000005</v>
      </c>
      <c r="P495" s="6">
        <v>0</v>
      </c>
    </row>
    <row r="496" spans="1:16" ht="23.4" x14ac:dyDescent="0.45">
      <c r="A496" s="4" t="s">
        <v>499</v>
      </c>
      <c r="B496" s="5" t="s">
        <v>18</v>
      </c>
      <c r="C496" s="5">
        <v>149363.99</v>
      </c>
      <c r="D496" s="5">
        <v>51</v>
      </c>
      <c r="E496" s="5">
        <v>0</v>
      </c>
      <c r="F496" s="5">
        <v>0.36759999999999998</v>
      </c>
      <c r="G496" s="5">
        <v>0.622</v>
      </c>
      <c r="H496" s="5">
        <v>3</v>
      </c>
      <c r="I496" s="5">
        <v>115288.11</v>
      </c>
      <c r="J496" s="5">
        <v>64027.55</v>
      </c>
      <c r="K496" s="5">
        <v>178</v>
      </c>
      <c r="L496" s="5">
        <v>1</v>
      </c>
      <c r="M496" s="5">
        <v>1</v>
      </c>
      <c r="N496" s="5">
        <v>1</v>
      </c>
      <c r="O496" s="5">
        <v>673.08</v>
      </c>
      <c r="P496" s="6">
        <v>0</v>
      </c>
    </row>
    <row r="497" spans="1:16" ht="23.4" x14ac:dyDescent="0.45">
      <c r="A497" s="4" t="s">
        <v>500</v>
      </c>
      <c r="B497" s="5" t="s">
        <v>1</v>
      </c>
      <c r="C497" s="5">
        <v>102744.36</v>
      </c>
      <c r="D497" s="5">
        <v>58</v>
      </c>
      <c r="E497" s="5">
        <v>1</v>
      </c>
      <c r="F497" s="5">
        <v>1</v>
      </c>
      <c r="G497" s="5">
        <v>0.3422</v>
      </c>
      <c r="H497" s="5">
        <v>3</v>
      </c>
      <c r="I497" s="5">
        <v>29458.85</v>
      </c>
      <c r="J497" s="5">
        <v>20074.36</v>
      </c>
      <c r="K497" s="5">
        <v>57</v>
      </c>
      <c r="L497" s="5">
        <v>2</v>
      </c>
      <c r="M497" s="5">
        <v>3</v>
      </c>
      <c r="N497" s="5">
        <v>0</v>
      </c>
      <c r="O497" s="5">
        <v>772.82</v>
      </c>
      <c r="P497" s="6">
        <v>0</v>
      </c>
    </row>
    <row r="498" spans="1:16" ht="23.4" x14ac:dyDescent="0.45">
      <c r="A498" s="4" t="s">
        <v>501</v>
      </c>
      <c r="B498" s="5" t="s">
        <v>4</v>
      </c>
      <c r="C498" s="5">
        <v>84357.15</v>
      </c>
      <c r="D498" s="5">
        <v>66</v>
      </c>
      <c r="E498" s="5">
        <v>1</v>
      </c>
      <c r="F498" s="5">
        <v>0.54039999999999999</v>
      </c>
      <c r="G498" s="5">
        <v>0.43359999999999999</v>
      </c>
      <c r="H498" s="5">
        <v>0</v>
      </c>
      <c r="I498" s="5">
        <v>37645.58</v>
      </c>
      <c r="J498" s="5">
        <v>8831.31</v>
      </c>
      <c r="K498" s="5">
        <v>108</v>
      </c>
      <c r="L498" s="5">
        <v>2</v>
      </c>
      <c r="M498" s="5">
        <v>2</v>
      </c>
      <c r="N498" s="5">
        <v>3</v>
      </c>
      <c r="O498" s="5">
        <v>751.74</v>
      </c>
      <c r="P498" s="6">
        <v>0</v>
      </c>
    </row>
    <row r="499" spans="1:16" ht="23.4" x14ac:dyDescent="0.45">
      <c r="A499" s="4" t="s">
        <v>502</v>
      </c>
      <c r="B499" s="5" t="s">
        <v>9</v>
      </c>
      <c r="C499" s="5">
        <v>85782.11</v>
      </c>
      <c r="D499" s="5">
        <v>50</v>
      </c>
      <c r="E499" s="5">
        <v>1</v>
      </c>
      <c r="F499" s="5">
        <v>0.81830000000000003</v>
      </c>
      <c r="G499" s="5">
        <v>0.51929999999999998</v>
      </c>
      <c r="H499" s="5">
        <v>0</v>
      </c>
      <c r="I499" s="5">
        <v>44904.26</v>
      </c>
      <c r="J499" s="5">
        <v>35089.360000000001</v>
      </c>
      <c r="K499" s="5">
        <v>19</v>
      </c>
      <c r="L499" s="5">
        <v>3</v>
      </c>
      <c r="M499" s="5">
        <v>1</v>
      </c>
      <c r="N499" s="5">
        <v>0</v>
      </c>
      <c r="O499" s="5">
        <v>727.22</v>
      </c>
      <c r="P499" s="6">
        <v>0</v>
      </c>
    </row>
    <row r="500" spans="1:16" ht="23.4" x14ac:dyDescent="0.45">
      <c r="A500" s="4" t="s">
        <v>503</v>
      </c>
      <c r="B500" s="5" t="s">
        <v>6</v>
      </c>
      <c r="C500" s="5">
        <v>58294.45</v>
      </c>
      <c r="D500" s="5">
        <v>40</v>
      </c>
      <c r="E500" s="5">
        <v>0</v>
      </c>
      <c r="F500" s="5">
        <v>0.59130000000000005</v>
      </c>
      <c r="G500" s="5">
        <v>0.31890000000000002</v>
      </c>
      <c r="H500" s="5">
        <v>1</v>
      </c>
      <c r="I500" s="5">
        <v>40788.68</v>
      </c>
      <c r="J500" s="5">
        <v>32137.33</v>
      </c>
      <c r="K500" s="5">
        <v>132</v>
      </c>
      <c r="L500" s="5">
        <v>3</v>
      </c>
      <c r="M500" s="5">
        <v>1</v>
      </c>
      <c r="N500" s="5">
        <v>1</v>
      </c>
      <c r="O500" s="5">
        <v>648.79</v>
      </c>
      <c r="P500" s="6">
        <v>0</v>
      </c>
    </row>
    <row r="501" spans="1:16" ht="23.4" x14ac:dyDescent="0.45">
      <c r="A501" s="4" t="s">
        <v>504</v>
      </c>
      <c r="B501" s="5" t="s">
        <v>1</v>
      </c>
      <c r="C501" s="5">
        <v>92145.86</v>
      </c>
      <c r="D501" s="5">
        <v>55</v>
      </c>
      <c r="E501" s="5">
        <v>1</v>
      </c>
      <c r="F501" s="5">
        <v>0.22720000000000001</v>
      </c>
      <c r="G501" s="5">
        <v>0.22170000000000001</v>
      </c>
      <c r="H501" s="5">
        <v>4</v>
      </c>
      <c r="I501" s="5">
        <v>23571.99</v>
      </c>
      <c r="J501" s="5">
        <v>18343.48</v>
      </c>
      <c r="K501" s="5">
        <v>86</v>
      </c>
      <c r="L501" s="5">
        <v>3</v>
      </c>
      <c r="M501" s="5">
        <v>1</v>
      </c>
      <c r="N501" s="5">
        <v>0</v>
      </c>
      <c r="O501" s="5">
        <v>629.46</v>
      </c>
      <c r="P501" s="6">
        <v>0</v>
      </c>
    </row>
    <row r="502" spans="1:16" ht="23.4" x14ac:dyDescent="0.45">
      <c r="A502" s="4" t="s">
        <v>505</v>
      </c>
      <c r="B502" s="5" t="s">
        <v>1</v>
      </c>
      <c r="C502" s="5">
        <v>47834.91</v>
      </c>
      <c r="D502" s="5">
        <v>66</v>
      </c>
      <c r="E502" s="5">
        <v>0</v>
      </c>
      <c r="F502" s="5">
        <v>0.40710000000000002</v>
      </c>
      <c r="G502" s="5">
        <v>0.5363</v>
      </c>
      <c r="H502" s="5">
        <v>5</v>
      </c>
      <c r="I502" s="5">
        <v>19958.82</v>
      </c>
      <c r="J502" s="5">
        <v>18571.990000000002</v>
      </c>
      <c r="K502" s="5">
        <v>34</v>
      </c>
      <c r="L502" s="5">
        <v>2</v>
      </c>
      <c r="M502" s="5">
        <v>1</v>
      </c>
      <c r="N502" s="5">
        <v>1</v>
      </c>
      <c r="O502" s="5">
        <v>590.41999999999996</v>
      </c>
      <c r="P502" s="6">
        <v>0</v>
      </c>
    </row>
    <row r="503" spans="1:16" ht="23.4" x14ac:dyDescent="0.45">
      <c r="A503" s="4" t="s">
        <v>506</v>
      </c>
      <c r="B503" s="5" t="s">
        <v>1</v>
      </c>
      <c r="C503" s="5">
        <v>77580.490000000005</v>
      </c>
      <c r="D503" s="5">
        <v>31</v>
      </c>
      <c r="E503" s="5">
        <v>0</v>
      </c>
      <c r="F503" s="5">
        <v>0.50090000000000001</v>
      </c>
      <c r="G503" s="5">
        <v>0.38950000000000001</v>
      </c>
      <c r="H503" s="5">
        <v>0</v>
      </c>
      <c r="I503" s="5">
        <v>31550.92</v>
      </c>
      <c r="J503" s="5">
        <v>13404.46</v>
      </c>
      <c r="K503" s="5">
        <v>78</v>
      </c>
      <c r="L503" s="5">
        <v>1</v>
      </c>
      <c r="M503" s="5">
        <v>1</v>
      </c>
      <c r="N503" s="5">
        <v>0</v>
      </c>
      <c r="O503" s="5">
        <v>641.41999999999996</v>
      </c>
      <c r="P503" s="6">
        <v>0</v>
      </c>
    </row>
    <row r="504" spans="1:16" ht="23.4" x14ac:dyDescent="0.45">
      <c r="A504" s="4" t="s">
        <v>507</v>
      </c>
      <c r="B504" s="5" t="s">
        <v>15</v>
      </c>
      <c r="C504" s="5">
        <v>46881.02</v>
      </c>
      <c r="D504" s="5">
        <v>22</v>
      </c>
      <c r="E504" s="5">
        <v>0</v>
      </c>
      <c r="F504" s="5">
        <v>0.9677</v>
      </c>
      <c r="G504" s="5">
        <v>0.43340000000000001</v>
      </c>
      <c r="H504" s="5">
        <v>0</v>
      </c>
      <c r="I504" s="5">
        <v>8718.0400000000009</v>
      </c>
      <c r="J504" s="5">
        <v>12629.46</v>
      </c>
      <c r="K504" s="5">
        <v>97</v>
      </c>
      <c r="L504" s="5">
        <v>2</v>
      </c>
      <c r="M504" s="5">
        <v>1</v>
      </c>
      <c r="N504" s="5">
        <v>0</v>
      </c>
      <c r="O504" s="5">
        <v>736.46</v>
      </c>
      <c r="P504" s="6">
        <v>0</v>
      </c>
    </row>
    <row r="505" spans="1:16" ht="23.4" x14ac:dyDescent="0.45">
      <c r="A505" s="4" t="s">
        <v>508</v>
      </c>
      <c r="B505" s="5" t="s">
        <v>18</v>
      </c>
      <c r="C505" s="5">
        <v>128743.37</v>
      </c>
      <c r="D505" s="5">
        <v>65</v>
      </c>
      <c r="E505" s="5">
        <v>1</v>
      </c>
      <c r="F505" s="5">
        <v>0.85629999999999995</v>
      </c>
      <c r="G505" s="5">
        <v>0.48530000000000001</v>
      </c>
      <c r="H505" s="5">
        <v>3</v>
      </c>
      <c r="I505" s="5">
        <v>65029.84</v>
      </c>
      <c r="J505" s="5">
        <v>44194.01</v>
      </c>
      <c r="K505" s="5">
        <v>114</v>
      </c>
      <c r="L505" s="5">
        <v>2</v>
      </c>
      <c r="M505" s="5">
        <v>3</v>
      </c>
      <c r="N505" s="5">
        <v>0</v>
      </c>
      <c r="O505" s="5">
        <v>773.15</v>
      </c>
      <c r="P505" s="6">
        <v>0</v>
      </c>
    </row>
    <row r="506" spans="1:16" ht="23.4" x14ac:dyDescent="0.45">
      <c r="A506" s="4" t="s">
        <v>509</v>
      </c>
      <c r="B506" s="5" t="s">
        <v>6</v>
      </c>
      <c r="C506" s="5">
        <v>2000</v>
      </c>
      <c r="D506" s="5">
        <v>45</v>
      </c>
      <c r="E506" s="5">
        <v>1</v>
      </c>
      <c r="F506" s="5">
        <v>0.39369999999999999</v>
      </c>
      <c r="G506" s="5">
        <v>0.2006</v>
      </c>
      <c r="H506" s="5">
        <v>1</v>
      </c>
      <c r="I506" s="5">
        <v>14594.62</v>
      </c>
      <c r="J506" s="5">
        <v>13472.6</v>
      </c>
      <c r="K506" s="5">
        <v>178</v>
      </c>
      <c r="L506" s="5">
        <v>1</v>
      </c>
      <c r="M506" s="5">
        <v>1</v>
      </c>
      <c r="N506" s="5">
        <v>2</v>
      </c>
      <c r="O506" s="5">
        <v>663.23</v>
      </c>
      <c r="P506" s="6">
        <v>0</v>
      </c>
    </row>
    <row r="507" spans="1:16" ht="23.4" x14ac:dyDescent="0.45">
      <c r="A507" s="4" t="s">
        <v>510</v>
      </c>
      <c r="B507" s="5" t="s">
        <v>4</v>
      </c>
      <c r="C507" s="5">
        <v>66408.77</v>
      </c>
      <c r="D507" s="5">
        <v>48</v>
      </c>
      <c r="E507" s="5">
        <v>0</v>
      </c>
      <c r="F507" s="5">
        <v>0.78480000000000005</v>
      </c>
      <c r="G507" s="5">
        <v>0.73899999999999999</v>
      </c>
      <c r="H507" s="5">
        <v>5</v>
      </c>
      <c r="I507" s="5">
        <v>48112.17</v>
      </c>
      <c r="J507" s="5">
        <v>37621.760000000002</v>
      </c>
      <c r="K507" s="5">
        <v>73</v>
      </c>
      <c r="L507" s="5">
        <v>1</v>
      </c>
      <c r="M507" s="5">
        <v>3</v>
      </c>
      <c r="N507" s="5">
        <v>0</v>
      </c>
      <c r="O507" s="5">
        <v>651.41999999999996</v>
      </c>
      <c r="P507" s="6">
        <v>0</v>
      </c>
    </row>
    <row r="508" spans="1:16" ht="23.4" x14ac:dyDescent="0.45">
      <c r="A508" s="4" t="s">
        <v>511</v>
      </c>
      <c r="B508" s="5" t="s">
        <v>4</v>
      </c>
      <c r="C508" s="5">
        <v>89117.05</v>
      </c>
      <c r="D508" s="5">
        <v>58</v>
      </c>
      <c r="E508" s="5">
        <v>0</v>
      </c>
      <c r="F508" s="5">
        <v>0.61219999999999997</v>
      </c>
      <c r="G508" s="5">
        <v>0.58760000000000001</v>
      </c>
      <c r="H508" s="5">
        <v>4</v>
      </c>
      <c r="I508" s="5">
        <v>76955.72</v>
      </c>
      <c r="J508" s="5">
        <v>55526.84</v>
      </c>
      <c r="K508" s="5">
        <v>127</v>
      </c>
      <c r="L508" s="5">
        <v>2</v>
      </c>
      <c r="M508" s="5">
        <v>1</v>
      </c>
      <c r="N508" s="5">
        <v>0</v>
      </c>
      <c r="O508" s="5">
        <v>708.24</v>
      </c>
      <c r="P508" s="6">
        <v>0</v>
      </c>
    </row>
    <row r="509" spans="1:16" ht="23.4" x14ac:dyDescent="0.45">
      <c r="A509" s="4" t="s">
        <v>512</v>
      </c>
      <c r="B509" s="5" t="s">
        <v>6</v>
      </c>
      <c r="C509" s="5">
        <v>42284.62</v>
      </c>
      <c r="D509" s="5">
        <v>63</v>
      </c>
      <c r="E509" s="5">
        <v>1</v>
      </c>
      <c r="F509" s="5">
        <v>0.57050000000000001</v>
      </c>
      <c r="G509" s="5">
        <v>0.35849999999999999</v>
      </c>
      <c r="H509" s="5">
        <v>0</v>
      </c>
      <c r="I509" s="5">
        <v>27260.58</v>
      </c>
      <c r="J509" s="5">
        <v>4124.17</v>
      </c>
      <c r="K509" s="5">
        <v>52</v>
      </c>
      <c r="L509" s="5">
        <v>3</v>
      </c>
      <c r="M509" s="5">
        <v>2</v>
      </c>
      <c r="N509" s="5">
        <v>1</v>
      </c>
      <c r="O509" s="5">
        <v>719.3</v>
      </c>
      <c r="P509" s="6">
        <v>0</v>
      </c>
    </row>
    <row r="510" spans="1:16" ht="23.4" x14ac:dyDescent="0.45">
      <c r="A510" s="4" t="s">
        <v>513</v>
      </c>
      <c r="B510" s="5" t="s">
        <v>1</v>
      </c>
      <c r="C510" s="5">
        <v>23828.37</v>
      </c>
      <c r="D510" s="5">
        <v>68</v>
      </c>
      <c r="E510" s="5">
        <v>0</v>
      </c>
      <c r="F510" s="5">
        <v>0.70150000000000001</v>
      </c>
      <c r="G510" s="5">
        <v>0.5827</v>
      </c>
      <c r="H510" s="5">
        <v>3</v>
      </c>
      <c r="I510" s="5">
        <v>500</v>
      </c>
      <c r="J510" s="5">
        <v>0</v>
      </c>
      <c r="K510" s="5">
        <v>117</v>
      </c>
      <c r="L510" s="5">
        <v>3</v>
      </c>
      <c r="M510" s="5">
        <v>2</v>
      </c>
      <c r="N510" s="5">
        <v>0</v>
      </c>
      <c r="O510" s="5">
        <v>707.96</v>
      </c>
      <c r="P510" s="6">
        <v>0</v>
      </c>
    </row>
    <row r="511" spans="1:16" ht="23.4" x14ac:dyDescent="0.45">
      <c r="A511" s="4" t="s">
        <v>514</v>
      </c>
      <c r="B511" s="5" t="s">
        <v>9</v>
      </c>
      <c r="C511" s="5">
        <v>137750.82999999999</v>
      </c>
      <c r="D511" s="5">
        <v>68</v>
      </c>
      <c r="E511" s="5">
        <v>0</v>
      </c>
      <c r="F511" s="5">
        <v>0.63319999999999999</v>
      </c>
      <c r="G511" s="5">
        <v>0.2059</v>
      </c>
      <c r="H511" s="5">
        <v>0</v>
      </c>
      <c r="I511" s="5">
        <v>33558.49</v>
      </c>
      <c r="J511" s="5">
        <v>23332.76</v>
      </c>
      <c r="K511" s="5">
        <v>58</v>
      </c>
      <c r="L511" s="5">
        <v>3</v>
      </c>
      <c r="M511" s="5">
        <v>1</v>
      </c>
      <c r="N511" s="5">
        <v>0</v>
      </c>
      <c r="O511" s="5">
        <v>690.33</v>
      </c>
      <c r="P511" s="6">
        <v>0</v>
      </c>
    </row>
    <row r="512" spans="1:16" ht="23.4" x14ac:dyDescent="0.45">
      <c r="A512" s="4" t="s">
        <v>515</v>
      </c>
      <c r="B512" s="5" t="s">
        <v>15</v>
      </c>
      <c r="C512" s="5">
        <v>77236.87</v>
      </c>
      <c r="D512" s="5">
        <v>36</v>
      </c>
      <c r="E512" s="5">
        <v>1</v>
      </c>
      <c r="F512" s="5">
        <v>0.56459999999999999</v>
      </c>
      <c r="G512" s="5">
        <v>0.52339999999999998</v>
      </c>
      <c r="H512" s="5">
        <v>4</v>
      </c>
      <c r="I512" s="5">
        <v>41204.75</v>
      </c>
      <c r="J512" s="5">
        <v>40773.31</v>
      </c>
      <c r="K512" s="5">
        <v>124</v>
      </c>
      <c r="L512" s="5">
        <v>2</v>
      </c>
      <c r="M512" s="5">
        <v>3</v>
      </c>
      <c r="N512" s="5">
        <v>0</v>
      </c>
      <c r="O512" s="5">
        <v>709.31</v>
      </c>
      <c r="P512" s="6">
        <v>0</v>
      </c>
    </row>
    <row r="513" spans="1:16" ht="23.4" x14ac:dyDescent="0.45">
      <c r="A513" s="4" t="s">
        <v>516</v>
      </c>
      <c r="B513" s="5" t="s">
        <v>6</v>
      </c>
      <c r="C513" s="5">
        <v>73111.66</v>
      </c>
      <c r="D513" s="5">
        <v>22</v>
      </c>
      <c r="E513" s="5">
        <v>1</v>
      </c>
      <c r="F513" s="5">
        <v>0.68100000000000005</v>
      </c>
      <c r="G513" s="5">
        <v>0.85040000000000004</v>
      </c>
      <c r="H513" s="5">
        <v>4</v>
      </c>
      <c r="I513" s="5">
        <v>54334.86</v>
      </c>
      <c r="J513" s="5">
        <v>48910.64</v>
      </c>
      <c r="K513" s="5">
        <v>130</v>
      </c>
      <c r="L513" s="5">
        <v>3</v>
      </c>
      <c r="M513" s="5">
        <v>1</v>
      </c>
      <c r="N513" s="5">
        <v>2</v>
      </c>
      <c r="O513" s="5">
        <v>540.09</v>
      </c>
      <c r="P513" s="6">
        <v>0</v>
      </c>
    </row>
    <row r="514" spans="1:16" ht="23.4" x14ac:dyDescent="0.45">
      <c r="A514" s="4" t="s">
        <v>517</v>
      </c>
      <c r="B514" s="5" t="s">
        <v>18</v>
      </c>
      <c r="C514" s="5">
        <v>85156.92</v>
      </c>
      <c r="D514" s="5">
        <v>47</v>
      </c>
      <c r="E514" s="5">
        <v>1</v>
      </c>
      <c r="F514" s="5">
        <v>0.76919999999999999</v>
      </c>
      <c r="G514" s="5">
        <v>0.69740000000000002</v>
      </c>
      <c r="H514" s="5">
        <v>2</v>
      </c>
      <c r="I514" s="5">
        <v>70744.490000000005</v>
      </c>
      <c r="J514" s="5">
        <v>44772.13</v>
      </c>
      <c r="K514" s="5">
        <v>41</v>
      </c>
      <c r="L514" s="5">
        <v>1</v>
      </c>
      <c r="M514" s="5">
        <v>2</v>
      </c>
      <c r="N514" s="5">
        <v>1</v>
      </c>
      <c r="O514" s="5">
        <v>750.89</v>
      </c>
      <c r="P514" s="6">
        <v>0</v>
      </c>
    </row>
    <row r="515" spans="1:16" ht="23.4" x14ac:dyDescent="0.45">
      <c r="A515" s="4" t="s">
        <v>518</v>
      </c>
      <c r="B515" s="5" t="s">
        <v>6</v>
      </c>
      <c r="C515" s="5">
        <v>135704.70000000001</v>
      </c>
      <c r="D515" s="5">
        <v>70</v>
      </c>
      <c r="E515" s="5">
        <v>0</v>
      </c>
      <c r="F515" s="5">
        <v>0.83850000000000002</v>
      </c>
      <c r="G515" s="5">
        <v>0.3206</v>
      </c>
      <c r="H515" s="5">
        <v>3</v>
      </c>
      <c r="I515" s="5">
        <v>36170.26</v>
      </c>
      <c r="J515" s="5">
        <v>37028.89</v>
      </c>
      <c r="K515" s="5">
        <v>90</v>
      </c>
      <c r="L515" s="5">
        <v>3</v>
      </c>
      <c r="M515" s="5">
        <v>2</v>
      </c>
      <c r="N515" s="5">
        <v>2</v>
      </c>
      <c r="O515" s="5">
        <v>800.56</v>
      </c>
      <c r="P515" s="6">
        <v>0</v>
      </c>
    </row>
    <row r="516" spans="1:16" ht="23.4" x14ac:dyDescent="0.45">
      <c r="A516" s="4" t="s">
        <v>519</v>
      </c>
      <c r="B516" s="5" t="s">
        <v>9</v>
      </c>
      <c r="C516" s="5">
        <v>119002.22</v>
      </c>
      <c r="D516" s="5">
        <v>27</v>
      </c>
      <c r="E516" s="5">
        <v>1</v>
      </c>
      <c r="F516" s="5">
        <v>0.64470000000000005</v>
      </c>
      <c r="G516" s="5">
        <v>0.69989999999999997</v>
      </c>
      <c r="H516" s="5">
        <v>9</v>
      </c>
      <c r="I516" s="5">
        <v>72617.83</v>
      </c>
      <c r="J516" s="5">
        <v>50048.71</v>
      </c>
      <c r="K516" s="5">
        <v>156</v>
      </c>
      <c r="L516" s="5">
        <v>1</v>
      </c>
      <c r="M516" s="5">
        <v>2</v>
      </c>
      <c r="N516" s="5">
        <v>1</v>
      </c>
      <c r="O516" s="5">
        <v>728.55</v>
      </c>
      <c r="P516" s="6">
        <v>0</v>
      </c>
    </row>
    <row r="517" spans="1:16" ht="23.4" x14ac:dyDescent="0.45">
      <c r="A517" s="4" t="s">
        <v>520</v>
      </c>
      <c r="B517" s="5" t="s">
        <v>1</v>
      </c>
      <c r="C517" s="5">
        <v>126838.9</v>
      </c>
      <c r="D517" s="5">
        <v>36</v>
      </c>
      <c r="E517" s="5">
        <v>0</v>
      </c>
      <c r="F517" s="5">
        <v>1</v>
      </c>
      <c r="G517" s="5">
        <v>0.28249999999999997</v>
      </c>
      <c r="H517" s="5">
        <v>4</v>
      </c>
      <c r="I517" s="5">
        <v>30338.78</v>
      </c>
      <c r="J517" s="5">
        <v>21093.13</v>
      </c>
      <c r="K517" s="5">
        <v>11</v>
      </c>
      <c r="L517" s="5">
        <v>2</v>
      </c>
      <c r="M517" s="5">
        <v>3</v>
      </c>
      <c r="N517" s="5">
        <v>0</v>
      </c>
      <c r="O517" s="5">
        <v>638.62</v>
      </c>
      <c r="P517" s="6">
        <v>0</v>
      </c>
    </row>
    <row r="518" spans="1:16" ht="23.4" x14ac:dyDescent="0.45">
      <c r="A518" s="4" t="s">
        <v>521</v>
      </c>
      <c r="B518" s="5" t="s">
        <v>18</v>
      </c>
      <c r="C518" s="5">
        <v>94567.48</v>
      </c>
      <c r="D518" s="5">
        <v>63</v>
      </c>
      <c r="E518" s="5">
        <v>0</v>
      </c>
      <c r="F518" s="5">
        <v>0.6361</v>
      </c>
      <c r="G518" s="5">
        <v>0.42059999999999997</v>
      </c>
      <c r="H518" s="5">
        <v>5</v>
      </c>
      <c r="I518" s="5">
        <v>26003.64</v>
      </c>
      <c r="J518" s="5">
        <v>35814.93</v>
      </c>
      <c r="K518" s="5">
        <v>98</v>
      </c>
      <c r="L518" s="5">
        <v>3</v>
      </c>
      <c r="M518" s="5">
        <v>2</v>
      </c>
      <c r="N518" s="5">
        <v>1</v>
      </c>
      <c r="O518" s="5">
        <v>698.23</v>
      </c>
      <c r="P518" s="6">
        <v>1</v>
      </c>
    </row>
    <row r="519" spans="1:16" ht="23.4" x14ac:dyDescent="0.45">
      <c r="A519" s="4" t="s">
        <v>522</v>
      </c>
      <c r="B519" s="5" t="s">
        <v>15</v>
      </c>
      <c r="C519" s="5">
        <v>138460.31</v>
      </c>
      <c r="D519" s="5">
        <v>46</v>
      </c>
      <c r="E519" s="5">
        <v>0</v>
      </c>
      <c r="F519" s="5">
        <v>1</v>
      </c>
      <c r="G519" s="5">
        <v>0.15409999999999999</v>
      </c>
      <c r="H519" s="5">
        <v>0</v>
      </c>
      <c r="I519" s="5">
        <v>54753.37</v>
      </c>
      <c r="J519" s="5">
        <v>44084.23</v>
      </c>
      <c r="K519" s="5">
        <v>47</v>
      </c>
      <c r="L519" s="5">
        <v>3</v>
      </c>
      <c r="M519" s="5">
        <v>2</v>
      </c>
      <c r="N519" s="5">
        <v>2</v>
      </c>
      <c r="O519" s="5">
        <v>707.3</v>
      </c>
      <c r="P519" s="6">
        <v>0</v>
      </c>
    </row>
    <row r="520" spans="1:16" ht="23.4" x14ac:dyDescent="0.45">
      <c r="A520" s="4" t="s">
        <v>523</v>
      </c>
      <c r="B520" s="5" t="s">
        <v>6</v>
      </c>
      <c r="C520" s="5">
        <v>80174.41</v>
      </c>
      <c r="D520" s="5">
        <v>26</v>
      </c>
      <c r="E520" s="5">
        <v>0</v>
      </c>
      <c r="F520" s="5">
        <v>0.72919999999999996</v>
      </c>
      <c r="G520" s="5">
        <v>0.66359999999999997</v>
      </c>
      <c r="H520" s="5">
        <v>0</v>
      </c>
      <c r="I520" s="5">
        <v>37977.339999999997</v>
      </c>
      <c r="J520" s="5">
        <v>27759.200000000001</v>
      </c>
      <c r="K520" s="5">
        <v>91</v>
      </c>
      <c r="L520" s="5">
        <v>2</v>
      </c>
      <c r="M520" s="5">
        <v>2</v>
      </c>
      <c r="N520" s="5">
        <v>2</v>
      </c>
      <c r="O520" s="5">
        <v>726.28</v>
      </c>
      <c r="P520" s="6">
        <v>0</v>
      </c>
    </row>
    <row r="521" spans="1:16" ht="23.4" x14ac:dyDescent="0.45">
      <c r="A521" s="4" t="s">
        <v>524</v>
      </c>
      <c r="B521" s="5" t="s">
        <v>4</v>
      </c>
      <c r="C521" s="5">
        <v>27793.79</v>
      </c>
      <c r="D521" s="5">
        <v>43</v>
      </c>
      <c r="E521" s="5">
        <v>0</v>
      </c>
      <c r="F521" s="5">
        <v>0.4158</v>
      </c>
      <c r="G521" s="5">
        <v>0.5927</v>
      </c>
      <c r="H521" s="5">
        <v>2</v>
      </c>
      <c r="I521" s="5">
        <v>12532.86</v>
      </c>
      <c r="J521" s="5">
        <v>2523.21</v>
      </c>
      <c r="K521" s="5">
        <v>170</v>
      </c>
      <c r="L521" s="5">
        <v>2</v>
      </c>
      <c r="M521" s="5">
        <v>2</v>
      </c>
      <c r="N521" s="5">
        <v>1</v>
      </c>
      <c r="O521" s="5">
        <v>556.79</v>
      </c>
      <c r="P521" s="6">
        <v>0</v>
      </c>
    </row>
    <row r="522" spans="1:16" ht="23.4" x14ac:dyDescent="0.45">
      <c r="A522" s="4" t="s">
        <v>525</v>
      </c>
      <c r="B522" s="5" t="s">
        <v>6</v>
      </c>
      <c r="C522" s="5">
        <v>38627.089999999997</v>
      </c>
      <c r="D522" s="5">
        <v>41</v>
      </c>
      <c r="E522" s="5">
        <v>1</v>
      </c>
      <c r="F522" s="5">
        <v>0.86439999999999995</v>
      </c>
      <c r="G522" s="5">
        <v>0.2923</v>
      </c>
      <c r="H522" s="5">
        <v>2</v>
      </c>
      <c r="I522" s="5">
        <v>11350.34</v>
      </c>
      <c r="J522" s="5">
        <v>21115.1</v>
      </c>
      <c r="K522" s="5">
        <v>172</v>
      </c>
      <c r="L522" s="5">
        <v>3</v>
      </c>
      <c r="M522" s="5">
        <v>2</v>
      </c>
      <c r="N522" s="5">
        <v>1</v>
      </c>
      <c r="O522" s="5">
        <v>744.28</v>
      </c>
      <c r="P522" s="6">
        <v>0</v>
      </c>
    </row>
    <row r="523" spans="1:16" ht="23.4" x14ac:dyDescent="0.45">
      <c r="A523" s="4" t="s">
        <v>526</v>
      </c>
      <c r="B523" s="5" t="s">
        <v>1</v>
      </c>
      <c r="C523" s="5">
        <v>51932.44</v>
      </c>
      <c r="D523" s="5">
        <v>68</v>
      </c>
      <c r="E523" s="5">
        <v>0</v>
      </c>
      <c r="F523" s="5">
        <v>0.78249999999999997</v>
      </c>
      <c r="G523" s="5">
        <v>0.51480000000000004</v>
      </c>
      <c r="H523" s="5">
        <v>2</v>
      </c>
      <c r="I523" s="5">
        <v>19361.29</v>
      </c>
      <c r="J523" s="5">
        <v>13137.94</v>
      </c>
      <c r="K523" s="5">
        <v>100</v>
      </c>
      <c r="L523" s="5">
        <v>1</v>
      </c>
      <c r="M523" s="5">
        <v>2</v>
      </c>
      <c r="N523" s="5">
        <v>2</v>
      </c>
      <c r="O523" s="5">
        <v>727.41</v>
      </c>
      <c r="P523" s="6">
        <v>0</v>
      </c>
    </row>
    <row r="524" spans="1:16" ht="23.4" x14ac:dyDescent="0.45">
      <c r="A524" s="4" t="s">
        <v>527</v>
      </c>
      <c r="B524" s="5" t="s">
        <v>9</v>
      </c>
      <c r="C524" s="5">
        <v>107472.27</v>
      </c>
      <c r="D524" s="5">
        <v>56</v>
      </c>
      <c r="E524" s="5">
        <v>1</v>
      </c>
      <c r="F524" s="5">
        <v>1</v>
      </c>
      <c r="G524" s="5">
        <v>0.18859999999999999</v>
      </c>
      <c r="H524" s="5">
        <v>0</v>
      </c>
      <c r="I524" s="5">
        <v>54072.56</v>
      </c>
      <c r="J524" s="5">
        <v>31309.27</v>
      </c>
      <c r="K524" s="5">
        <v>56</v>
      </c>
      <c r="L524" s="5">
        <v>1</v>
      </c>
      <c r="M524" s="5">
        <v>2</v>
      </c>
      <c r="N524" s="5">
        <v>0</v>
      </c>
      <c r="O524" s="5">
        <v>694.98</v>
      </c>
      <c r="P524" s="6">
        <v>0</v>
      </c>
    </row>
    <row r="525" spans="1:16" ht="23.4" x14ac:dyDescent="0.45">
      <c r="A525" s="4" t="s">
        <v>528</v>
      </c>
      <c r="B525" s="5" t="s">
        <v>1</v>
      </c>
      <c r="C525" s="5">
        <v>48837.03</v>
      </c>
      <c r="D525" s="5">
        <v>44</v>
      </c>
      <c r="E525" s="5">
        <v>1</v>
      </c>
      <c r="F525" s="5">
        <v>0.82450000000000001</v>
      </c>
      <c r="G525" s="5">
        <v>0.68369999999999997</v>
      </c>
      <c r="H525" s="5">
        <v>6</v>
      </c>
      <c r="I525" s="5">
        <v>35011.26</v>
      </c>
      <c r="J525" s="5">
        <v>28237.47</v>
      </c>
      <c r="K525" s="5">
        <v>178</v>
      </c>
      <c r="L525" s="5">
        <v>2</v>
      </c>
      <c r="M525" s="5">
        <v>1</v>
      </c>
      <c r="N525" s="5">
        <v>0</v>
      </c>
      <c r="O525" s="5">
        <v>557.99</v>
      </c>
      <c r="P525" s="6">
        <v>0</v>
      </c>
    </row>
    <row r="526" spans="1:16" ht="23.4" x14ac:dyDescent="0.45">
      <c r="A526" s="4" t="s">
        <v>529</v>
      </c>
      <c r="B526" s="5" t="s">
        <v>18</v>
      </c>
      <c r="C526" s="5">
        <v>103736.5</v>
      </c>
      <c r="D526" s="5">
        <v>68</v>
      </c>
      <c r="E526" s="5">
        <v>1</v>
      </c>
      <c r="F526" s="5">
        <v>0.55500000000000005</v>
      </c>
      <c r="G526" s="5">
        <v>0.26800000000000002</v>
      </c>
      <c r="H526" s="5">
        <v>2</v>
      </c>
      <c r="I526" s="5">
        <v>40387.19</v>
      </c>
      <c r="J526" s="5">
        <v>16618.189999999999</v>
      </c>
      <c r="K526" s="5">
        <v>78</v>
      </c>
      <c r="L526" s="5">
        <v>2</v>
      </c>
      <c r="M526" s="5">
        <v>1</v>
      </c>
      <c r="N526" s="5">
        <v>0</v>
      </c>
      <c r="O526" s="5">
        <v>698.98</v>
      </c>
      <c r="P526" s="6">
        <v>0</v>
      </c>
    </row>
    <row r="527" spans="1:16" ht="23.4" x14ac:dyDescent="0.45">
      <c r="A527" s="4" t="s">
        <v>530</v>
      </c>
      <c r="B527" s="5" t="s">
        <v>18</v>
      </c>
      <c r="C527" s="5">
        <v>79510.899999999994</v>
      </c>
      <c r="D527" s="5">
        <v>36</v>
      </c>
      <c r="E527" s="5">
        <v>0</v>
      </c>
      <c r="F527" s="5">
        <v>0.37769999999999998</v>
      </c>
      <c r="G527" s="5">
        <v>3.2599999999999997E-2</v>
      </c>
      <c r="H527" s="5">
        <v>0</v>
      </c>
      <c r="I527" s="5">
        <v>19227.91</v>
      </c>
      <c r="J527" s="5">
        <v>9483.25</v>
      </c>
      <c r="K527" s="5">
        <v>40</v>
      </c>
      <c r="L527" s="5">
        <v>3</v>
      </c>
      <c r="M527" s="5">
        <v>3</v>
      </c>
      <c r="N527" s="5">
        <v>0</v>
      </c>
      <c r="O527" s="5">
        <v>694.96</v>
      </c>
      <c r="P527" s="6">
        <v>0</v>
      </c>
    </row>
    <row r="528" spans="1:16" ht="23.4" x14ac:dyDescent="0.45">
      <c r="A528" s="4" t="s">
        <v>531</v>
      </c>
      <c r="B528" s="5" t="s">
        <v>6</v>
      </c>
      <c r="C528" s="5">
        <v>54880.77</v>
      </c>
      <c r="D528" s="5">
        <v>59</v>
      </c>
      <c r="E528" s="5">
        <v>0</v>
      </c>
      <c r="F528" s="5">
        <v>0.84030000000000005</v>
      </c>
      <c r="G528" s="5">
        <v>0.39560000000000001</v>
      </c>
      <c r="H528" s="5">
        <v>3</v>
      </c>
      <c r="I528" s="5">
        <v>34299.01</v>
      </c>
      <c r="J528" s="5">
        <v>27844.7</v>
      </c>
      <c r="K528" s="5">
        <v>66</v>
      </c>
      <c r="L528" s="5">
        <v>2</v>
      </c>
      <c r="M528" s="5">
        <v>1</v>
      </c>
      <c r="N528" s="5">
        <v>1</v>
      </c>
      <c r="O528" s="5">
        <v>667.61</v>
      </c>
      <c r="P528" s="6">
        <v>0</v>
      </c>
    </row>
    <row r="529" spans="1:16" ht="23.4" x14ac:dyDescent="0.45">
      <c r="A529" s="4" t="s">
        <v>532</v>
      </c>
      <c r="B529" s="5" t="s">
        <v>18</v>
      </c>
      <c r="C529" s="5">
        <v>18809.62</v>
      </c>
      <c r="D529" s="5">
        <v>23</v>
      </c>
      <c r="E529" s="5">
        <v>1</v>
      </c>
      <c r="F529" s="5">
        <v>0.93689999999999996</v>
      </c>
      <c r="G529" s="5">
        <v>0.41</v>
      </c>
      <c r="H529" s="5">
        <v>0</v>
      </c>
      <c r="I529" s="5">
        <v>35823.54</v>
      </c>
      <c r="J529" s="5">
        <v>25731.51</v>
      </c>
      <c r="K529" s="5">
        <v>149</v>
      </c>
      <c r="L529" s="5">
        <v>1</v>
      </c>
      <c r="M529" s="5">
        <v>1</v>
      </c>
      <c r="N529" s="5">
        <v>0</v>
      </c>
      <c r="O529" s="5">
        <v>701.5</v>
      </c>
      <c r="P529" s="6">
        <v>0</v>
      </c>
    </row>
    <row r="530" spans="1:16" ht="23.4" x14ac:dyDescent="0.45">
      <c r="A530" s="4" t="s">
        <v>533</v>
      </c>
      <c r="B530" s="5" t="s">
        <v>6</v>
      </c>
      <c r="C530" s="5">
        <v>63128.02</v>
      </c>
      <c r="D530" s="5">
        <v>26</v>
      </c>
      <c r="E530" s="5">
        <v>1</v>
      </c>
      <c r="F530" s="5">
        <v>0.89039999999999997</v>
      </c>
      <c r="G530" s="5">
        <v>0.27379999999999999</v>
      </c>
      <c r="H530" s="5">
        <v>4</v>
      </c>
      <c r="I530" s="5">
        <v>21987.05</v>
      </c>
      <c r="J530" s="5">
        <v>19726.689999999999</v>
      </c>
      <c r="K530" s="5">
        <v>17</v>
      </c>
      <c r="L530" s="5">
        <v>4</v>
      </c>
      <c r="M530" s="5">
        <v>1</v>
      </c>
      <c r="N530" s="5">
        <v>3</v>
      </c>
      <c r="O530" s="5">
        <v>723.95</v>
      </c>
      <c r="P530" s="6">
        <v>0</v>
      </c>
    </row>
    <row r="531" spans="1:16" ht="23.4" x14ac:dyDescent="0.45">
      <c r="A531" s="4" t="s">
        <v>534</v>
      </c>
      <c r="B531" s="5" t="s">
        <v>6</v>
      </c>
      <c r="C531" s="5">
        <v>131753.54999999999</v>
      </c>
      <c r="D531" s="5">
        <v>37</v>
      </c>
      <c r="E531" s="5">
        <v>1</v>
      </c>
      <c r="F531" s="5">
        <v>0.44309999999999999</v>
      </c>
      <c r="G531" s="5">
        <v>0.1242</v>
      </c>
      <c r="H531" s="5">
        <v>1</v>
      </c>
      <c r="I531" s="5">
        <v>29312.99</v>
      </c>
      <c r="J531" s="5">
        <v>22361.72</v>
      </c>
      <c r="K531" s="5">
        <v>131</v>
      </c>
      <c r="L531" s="5">
        <v>3</v>
      </c>
      <c r="M531" s="5">
        <v>1</v>
      </c>
      <c r="N531" s="5">
        <v>2</v>
      </c>
      <c r="O531" s="5">
        <v>660.61</v>
      </c>
      <c r="P531" s="6">
        <v>0</v>
      </c>
    </row>
    <row r="532" spans="1:16" ht="23.4" x14ac:dyDescent="0.45">
      <c r="A532" s="4" t="s">
        <v>535</v>
      </c>
      <c r="B532" s="5" t="s">
        <v>9</v>
      </c>
      <c r="C532" s="5">
        <v>94440.47</v>
      </c>
      <c r="D532" s="5">
        <v>30</v>
      </c>
      <c r="E532" s="5">
        <v>0</v>
      </c>
      <c r="F532" s="5">
        <v>0.63690000000000002</v>
      </c>
      <c r="G532" s="5">
        <v>0.54979999999999996</v>
      </c>
      <c r="H532" s="5">
        <v>4</v>
      </c>
      <c r="I532" s="5">
        <v>43111.1</v>
      </c>
      <c r="J532" s="5">
        <v>29115.46</v>
      </c>
      <c r="K532" s="5">
        <v>125</v>
      </c>
      <c r="L532" s="5">
        <v>2</v>
      </c>
      <c r="M532" s="5">
        <v>3</v>
      </c>
      <c r="N532" s="5">
        <v>2</v>
      </c>
      <c r="O532" s="5">
        <v>736.94</v>
      </c>
      <c r="P532" s="6">
        <v>0</v>
      </c>
    </row>
    <row r="533" spans="1:16" ht="23.4" x14ac:dyDescent="0.45">
      <c r="A533" s="4" t="s">
        <v>536</v>
      </c>
      <c r="B533" s="5" t="s">
        <v>15</v>
      </c>
      <c r="C533" s="5">
        <v>100711.9</v>
      </c>
      <c r="D533" s="5">
        <v>52</v>
      </c>
      <c r="E533" s="5">
        <v>0</v>
      </c>
      <c r="F533" s="5">
        <v>0.60570000000000002</v>
      </c>
      <c r="G533" s="5">
        <v>0.432</v>
      </c>
      <c r="H533" s="5">
        <v>2</v>
      </c>
      <c r="I533" s="5">
        <v>35172.51</v>
      </c>
      <c r="J533" s="5">
        <v>19427.55</v>
      </c>
      <c r="K533" s="5">
        <v>78</v>
      </c>
      <c r="L533" s="5">
        <v>1</v>
      </c>
      <c r="M533" s="5">
        <v>1</v>
      </c>
      <c r="N533" s="5">
        <v>1</v>
      </c>
      <c r="O533" s="5">
        <v>720.95</v>
      </c>
      <c r="P533" s="6">
        <v>0</v>
      </c>
    </row>
    <row r="534" spans="1:16" ht="23.4" x14ac:dyDescent="0.45">
      <c r="A534" s="4" t="s">
        <v>537</v>
      </c>
      <c r="B534" s="5" t="s">
        <v>6</v>
      </c>
      <c r="C534" s="5">
        <v>136241.35999999999</v>
      </c>
      <c r="D534" s="5">
        <v>58</v>
      </c>
      <c r="E534" s="5">
        <v>0</v>
      </c>
      <c r="F534" s="5">
        <v>0.53190000000000004</v>
      </c>
      <c r="G534" s="5">
        <v>0.42270000000000002</v>
      </c>
      <c r="H534" s="5">
        <v>3</v>
      </c>
      <c r="I534" s="5">
        <v>58593.68</v>
      </c>
      <c r="J534" s="5">
        <v>30883.73</v>
      </c>
      <c r="K534" s="5">
        <v>25</v>
      </c>
      <c r="L534" s="5">
        <v>1</v>
      </c>
      <c r="M534" s="5">
        <v>1</v>
      </c>
      <c r="N534" s="5">
        <v>0</v>
      </c>
      <c r="O534" s="5">
        <v>656.73</v>
      </c>
      <c r="P534" s="6">
        <v>0</v>
      </c>
    </row>
    <row r="535" spans="1:16" ht="23.4" x14ac:dyDescent="0.45">
      <c r="A535" s="4" t="s">
        <v>538</v>
      </c>
      <c r="B535" s="5" t="s">
        <v>6</v>
      </c>
      <c r="C535" s="5">
        <v>122400.7</v>
      </c>
      <c r="D535" s="5">
        <v>28</v>
      </c>
      <c r="E535" s="5">
        <v>1</v>
      </c>
      <c r="F535" s="5">
        <v>0.48970000000000002</v>
      </c>
      <c r="G535" s="5">
        <v>0.60609999999999997</v>
      </c>
      <c r="H535" s="5">
        <v>7</v>
      </c>
      <c r="I535" s="5">
        <v>65564.800000000003</v>
      </c>
      <c r="J535" s="5">
        <v>40939.410000000003</v>
      </c>
      <c r="K535" s="5">
        <v>174</v>
      </c>
      <c r="L535" s="5">
        <v>2</v>
      </c>
      <c r="M535" s="5">
        <v>2</v>
      </c>
      <c r="N535" s="5">
        <v>0</v>
      </c>
      <c r="O535" s="5">
        <v>680.58</v>
      </c>
      <c r="P535" s="6">
        <v>0</v>
      </c>
    </row>
    <row r="536" spans="1:16" ht="23.4" x14ac:dyDescent="0.45">
      <c r="A536" s="4" t="s">
        <v>539</v>
      </c>
      <c r="B536" s="5" t="s">
        <v>18</v>
      </c>
      <c r="C536" s="5">
        <v>83550.649999999994</v>
      </c>
      <c r="D536" s="5">
        <v>60</v>
      </c>
      <c r="E536" s="5">
        <v>0</v>
      </c>
      <c r="F536" s="5">
        <v>0.75260000000000005</v>
      </c>
      <c r="G536" s="5">
        <v>0.61119999999999997</v>
      </c>
      <c r="H536" s="5">
        <v>3</v>
      </c>
      <c r="I536" s="5">
        <v>48236.73</v>
      </c>
      <c r="J536" s="5">
        <v>20877.77</v>
      </c>
      <c r="K536" s="5">
        <v>151</v>
      </c>
      <c r="L536" s="5">
        <v>1</v>
      </c>
      <c r="M536" s="5">
        <v>2</v>
      </c>
      <c r="N536" s="5">
        <v>2</v>
      </c>
      <c r="O536" s="5">
        <v>669.35</v>
      </c>
      <c r="P536" s="6">
        <v>0</v>
      </c>
    </row>
    <row r="537" spans="1:16" ht="23.4" x14ac:dyDescent="0.45">
      <c r="A537" s="4" t="s">
        <v>540</v>
      </c>
      <c r="B537" s="5" t="s">
        <v>1</v>
      </c>
      <c r="C537" s="5">
        <v>168784.33</v>
      </c>
      <c r="D537" s="5">
        <v>56</v>
      </c>
      <c r="E537" s="5">
        <v>1</v>
      </c>
      <c r="F537" s="5">
        <v>0.8871</v>
      </c>
      <c r="G537" s="5">
        <v>0.3271</v>
      </c>
      <c r="H537" s="5">
        <v>1</v>
      </c>
      <c r="I537" s="5">
        <v>60779.54</v>
      </c>
      <c r="J537" s="5">
        <v>61519.98</v>
      </c>
      <c r="K537" s="5">
        <v>28</v>
      </c>
      <c r="L537" s="5">
        <v>1</v>
      </c>
      <c r="M537" s="5">
        <v>1</v>
      </c>
      <c r="N537" s="5">
        <v>0</v>
      </c>
      <c r="O537" s="5">
        <v>704.11</v>
      </c>
      <c r="P537" s="6">
        <v>0</v>
      </c>
    </row>
    <row r="538" spans="1:16" ht="23.4" x14ac:dyDescent="0.45">
      <c r="A538" s="4" t="s">
        <v>541</v>
      </c>
      <c r="B538" s="5" t="s">
        <v>1</v>
      </c>
      <c r="C538" s="5">
        <v>22661.29</v>
      </c>
      <c r="D538" s="5">
        <v>30</v>
      </c>
      <c r="E538" s="5">
        <v>1</v>
      </c>
      <c r="F538" s="5">
        <v>0.30309999999999998</v>
      </c>
      <c r="G538" s="5">
        <v>0.61099999999999999</v>
      </c>
      <c r="H538" s="5">
        <v>5</v>
      </c>
      <c r="I538" s="5">
        <v>500</v>
      </c>
      <c r="J538" s="5">
        <v>6237.77</v>
      </c>
      <c r="K538" s="5">
        <v>85</v>
      </c>
      <c r="L538" s="5">
        <v>3</v>
      </c>
      <c r="M538" s="5">
        <v>2</v>
      </c>
      <c r="N538" s="5">
        <v>0</v>
      </c>
      <c r="O538" s="5">
        <v>684.76</v>
      </c>
      <c r="P538" s="6">
        <v>0</v>
      </c>
    </row>
    <row r="539" spans="1:16" ht="23.4" x14ac:dyDescent="0.45">
      <c r="A539" s="4" t="s">
        <v>542</v>
      </c>
      <c r="B539" s="5" t="s">
        <v>1</v>
      </c>
      <c r="C539" s="5">
        <v>114456.47</v>
      </c>
      <c r="D539" s="5">
        <v>49</v>
      </c>
      <c r="E539" s="5">
        <v>0</v>
      </c>
      <c r="F539" s="5">
        <v>0.87109999999999999</v>
      </c>
      <c r="G539" s="5">
        <v>0.21249999999999999</v>
      </c>
      <c r="H539" s="5">
        <v>0</v>
      </c>
      <c r="I539" s="5">
        <v>18247.330000000002</v>
      </c>
      <c r="J539" s="5">
        <v>14252.11</v>
      </c>
      <c r="K539" s="5">
        <v>163</v>
      </c>
      <c r="L539" s="5">
        <v>1</v>
      </c>
      <c r="M539" s="5">
        <v>2</v>
      </c>
      <c r="N539" s="5">
        <v>0</v>
      </c>
      <c r="O539" s="5">
        <v>628.1</v>
      </c>
      <c r="P539" s="6">
        <v>0</v>
      </c>
    </row>
    <row r="540" spans="1:16" ht="23.4" x14ac:dyDescent="0.45">
      <c r="A540" s="4" t="s">
        <v>543</v>
      </c>
      <c r="B540" s="5" t="s">
        <v>6</v>
      </c>
      <c r="C540" s="5">
        <v>156650</v>
      </c>
      <c r="D540" s="5">
        <v>62</v>
      </c>
      <c r="E540" s="5">
        <v>0</v>
      </c>
      <c r="F540" s="5">
        <v>0.64980000000000004</v>
      </c>
      <c r="G540" s="5">
        <v>0.34339999999999998</v>
      </c>
      <c r="H540" s="5">
        <v>1</v>
      </c>
      <c r="I540" s="5">
        <v>32663.03</v>
      </c>
      <c r="J540" s="5">
        <v>21886.04</v>
      </c>
      <c r="K540" s="5">
        <v>140</v>
      </c>
      <c r="L540" s="5">
        <v>1</v>
      </c>
      <c r="M540" s="5">
        <v>1</v>
      </c>
      <c r="N540" s="5">
        <v>0</v>
      </c>
      <c r="O540" s="5">
        <v>716.64</v>
      </c>
      <c r="P540" s="6">
        <v>0</v>
      </c>
    </row>
    <row r="541" spans="1:16" ht="23.4" x14ac:dyDescent="0.45">
      <c r="A541" s="4" t="s">
        <v>243</v>
      </c>
      <c r="B541" s="5" t="s">
        <v>6</v>
      </c>
      <c r="C541" s="5">
        <v>53940.49</v>
      </c>
      <c r="D541" s="5">
        <v>64</v>
      </c>
      <c r="E541" s="5">
        <v>1</v>
      </c>
      <c r="F541" s="5">
        <v>1</v>
      </c>
      <c r="G541" s="5">
        <v>0.12509999999999999</v>
      </c>
      <c r="H541" s="5">
        <v>0</v>
      </c>
      <c r="I541" s="5">
        <v>4930.99</v>
      </c>
      <c r="J541" s="5">
        <v>6994.7</v>
      </c>
      <c r="K541" s="5">
        <v>17</v>
      </c>
      <c r="L541" s="5">
        <v>2</v>
      </c>
      <c r="M541" s="5">
        <v>2</v>
      </c>
      <c r="N541" s="5">
        <v>0</v>
      </c>
      <c r="O541" s="5">
        <v>767.07</v>
      </c>
      <c r="P541" s="6">
        <v>0</v>
      </c>
    </row>
    <row r="542" spans="1:16" ht="23.4" x14ac:dyDescent="0.45">
      <c r="A542" s="4" t="s">
        <v>544</v>
      </c>
      <c r="B542" s="5" t="s">
        <v>9</v>
      </c>
      <c r="C542" s="5">
        <v>74720.990000000005</v>
      </c>
      <c r="D542" s="5">
        <v>43</v>
      </c>
      <c r="E542" s="5">
        <v>1</v>
      </c>
      <c r="F542" s="5">
        <v>0.3402</v>
      </c>
      <c r="G542" s="5">
        <v>0.39679999999999999</v>
      </c>
      <c r="H542" s="5">
        <v>3</v>
      </c>
      <c r="I542" s="5">
        <v>22276.560000000001</v>
      </c>
      <c r="J542" s="5">
        <v>11856.99</v>
      </c>
      <c r="K542" s="5">
        <v>175</v>
      </c>
      <c r="L542" s="5">
        <v>2</v>
      </c>
      <c r="M542" s="5">
        <v>2</v>
      </c>
      <c r="N542" s="5">
        <v>2</v>
      </c>
      <c r="O542" s="5">
        <v>718.83</v>
      </c>
      <c r="P542" s="6">
        <v>0</v>
      </c>
    </row>
    <row r="543" spans="1:16" ht="23.4" x14ac:dyDescent="0.45">
      <c r="A543" s="4" t="s">
        <v>545</v>
      </c>
      <c r="B543" s="5" t="s">
        <v>18</v>
      </c>
      <c r="C543" s="5">
        <v>103099.26</v>
      </c>
      <c r="D543" s="5">
        <v>41</v>
      </c>
      <c r="E543" s="5">
        <v>0</v>
      </c>
      <c r="F543" s="5">
        <v>0.51190000000000002</v>
      </c>
      <c r="G543" s="5">
        <v>0.25650000000000001</v>
      </c>
      <c r="H543" s="5">
        <v>0</v>
      </c>
      <c r="I543" s="5">
        <v>8049.06</v>
      </c>
      <c r="J543" s="5">
        <v>2894.01</v>
      </c>
      <c r="K543" s="5">
        <v>53</v>
      </c>
      <c r="L543" s="5">
        <v>1</v>
      </c>
      <c r="M543" s="5">
        <v>1</v>
      </c>
      <c r="N543" s="5">
        <v>3</v>
      </c>
      <c r="O543" s="5">
        <v>846.73</v>
      </c>
      <c r="P543" s="6">
        <v>0</v>
      </c>
    </row>
    <row r="544" spans="1:16" ht="23.4" x14ac:dyDescent="0.45">
      <c r="A544" s="4" t="s">
        <v>546</v>
      </c>
      <c r="B544" s="5" t="s">
        <v>1</v>
      </c>
      <c r="C544" s="5">
        <v>67783.570000000007</v>
      </c>
      <c r="D544" s="5">
        <v>22</v>
      </c>
      <c r="E544" s="5">
        <v>1</v>
      </c>
      <c r="F544" s="5">
        <v>0.51090000000000002</v>
      </c>
      <c r="G544" s="5">
        <v>0.52439999999999998</v>
      </c>
      <c r="H544" s="5">
        <v>3</v>
      </c>
      <c r="I544" s="5">
        <v>43614.39</v>
      </c>
      <c r="J544" s="5">
        <v>34389.67</v>
      </c>
      <c r="K544" s="5">
        <v>109</v>
      </c>
      <c r="L544" s="5">
        <v>3</v>
      </c>
      <c r="M544" s="5">
        <v>3</v>
      </c>
      <c r="N544" s="5">
        <v>1</v>
      </c>
      <c r="O544" s="5">
        <v>586.35</v>
      </c>
      <c r="P544" s="6">
        <v>0</v>
      </c>
    </row>
    <row r="545" spans="1:16" ht="23.4" x14ac:dyDescent="0.45">
      <c r="A545" s="4" t="s">
        <v>547</v>
      </c>
      <c r="B545" s="5" t="s">
        <v>18</v>
      </c>
      <c r="C545" s="5">
        <v>95205.69</v>
      </c>
      <c r="D545" s="5">
        <v>44</v>
      </c>
      <c r="E545" s="5">
        <v>1</v>
      </c>
      <c r="F545" s="5">
        <v>0.51280000000000003</v>
      </c>
      <c r="G545" s="5">
        <v>0</v>
      </c>
      <c r="H545" s="5">
        <v>0</v>
      </c>
      <c r="I545" s="5">
        <v>500</v>
      </c>
      <c r="J545" s="5">
        <v>3975.93</v>
      </c>
      <c r="K545" s="5">
        <v>54</v>
      </c>
      <c r="L545" s="5">
        <v>1</v>
      </c>
      <c r="M545" s="5">
        <v>1</v>
      </c>
      <c r="N545" s="5">
        <v>3</v>
      </c>
      <c r="O545" s="5">
        <v>728.45</v>
      </c>
      <c r="P545" s="6">
        <v>0</v>
      </c>
    </row>
    <row r="546" spans="1:16" ht="23.4" x14ac:dyDescent="0.45">
      <c r="A546" s="4" t="s">
        <v>548</v>
      </c>
      <c r="B546" s="5" t="s">
        <v>6</v>
      </c>
      <c r="C546" s="5">
        <v>106490.64</v>
      </c>
      <c r="D546" s="5">
        <v>62</v>
      </c>
      <c r="E546" s="5">
        <v>0</v>
      </c>
      <c r="F546" s="5">
        <v>0.9798</v>
      </c>
      <c r="G546" s="5">
        <v>0.42480000000000001</v>
      </c>
      <c r="H546" s="5">
        <v>6</v>
      </c>
      <c r="I546" s="5">
        <v>56964.43</v>
      </c>
      <c r="J546" s="5">
        <v>37373.519999999997</v>
      </c>
      <c r="K546" s="5">
        <v>28</v>
      </c>
      <c r="L546" s="5">
        <v>1</v>
      </c>
      <c r="M546" s="5">
        <v>1</v>
      </c>
      <c r="N546" s="5">
        <v>1</v>
      </c>
      <c r="O546" s="5">
        <v>769.42</v>
      </c>
      <c r="P546" s="6">
        <v>0</v>
      </c>
    </row>
    <row r="547" spans="1:16" ht="23.4" x14ac:dyDescent="0.45">
      <c r="A547" s="4" t="s">
        <v>549</v>
      </c>
      <c r="B547" s="5" t="s">
        <v>18</v>
      </c>
      <c r="C547" s="5">
        <v>93706.41</v>
      </c>
      <c r="D547" s="5">
        <v>65</v>
      </c>
      <c r="E547" s="5">
        <v>1</v>
      </c>
      <c r="F547" s="5">
        <v>0.48309999999999997</v>
      </c>
      <c r="G547" s="5">
        <v>0.49709999999999999</v>
      </c>
      <c r="H547" s="5">
        <v>5</v>
      </c>
      <c r="I547" s="5">
        <v>48598.84</v>
      </c>
      <c r="J547" s="5">
        <v>29139.74</v>
      </c>
      <c r="K547" s="5">
        <v>106</v>
      </c>
      <c r="L547" s="5">
        <v>1</v>
      </c>
      <c r="M547" s="5">
        <v>1</v>
      </c>
      <c r="N547" s="5">
        <v>1</v>
      </c>
      <c r="O547" s="5">
        <v>718.3</v>
      </c>
      <c r="P547" s="6">
        <v>0</v>
      </c>
    </row>
    <row r="548" spans="1:16" ht="23.4" x14ac:dyDescent="0.45">
      <c r="A548" s="4" t="s">
        <v>550</v>
      </c>
      <c r="B548" s="5" t="s">
        <v>6</v>
      </c>
      <c r="C548" s="5">
        <v>176716.96</v>
      </c>
      <c r="D548" s="5">
        <v>68</v>
      </c>
      <c r="E548" s="5">
        <v>0</v>
      </c>
      <c r="F548" s="5">
        <v>0.65</v>
      </c>
      <c r="G548" s="5">
        <v>4.3299999999999998E-2</v>
      </c>
      <c r="H548" s="5">
        <v>0</v>
      </c>
      <c r="I548" s="5">
        <v>11773.99</v>
      </c>
      <c r="J548" s="5">
        <v>7757.62</v>
      </c>
      <c r="K548" s="5">
        <v>108</v>
      </c>
      <c r="L548" s="5">
        <v>2</v>
      </c>
      <c r="M548" s="5">
        <v>2</v>
      </c>
      <c r="N548" s="5">
        <v>1</v>
      </c>
      <c r="O548" s="5">
        <v>676.65</v>
      </c>
      <c r="P548" s="6">
        <v>0</v>
      </c>
    </row>
    <row r="549" spans="1:16" ht="23.4" x14ac:dyDescent="0.45">
      <c r="A549" s="4" t="s">
        <v>551</v>
      </c>
      <c r="B549" s="5" t="s">
        <v>18</v>
      </c>
      <c r="C549" s="5">
        <v>15294.91</v>
      </c>
      <c r="D549" s="5">
        <v>66</v>
      </c>
      <c r="E549" s="5">
        <v>0</v>
      </c>
      <c r="F549" s="5">
        <v>0.73640000000000005</v>
      </c>
      <c r="G549" s="5">
        <v>0.41820000000000002</v>
      </c>
      <c r="H549" s="5">
        <v>0</v>
      </c>
      <c r="I549" s="5">
        <v>500</v>
      </c>
      <c r="J549" s="5">
        <v>0</v>
      </c>
      <c r="K549" s="5">
        <v>127</v>
      </c>
      <c r="L549" s="5">
        <v>1</v>
      </c>
      <c r="M549" s="5">
        <v>2</v>
      </c>
      <c r="N549" s="5">
        <v>1</v>
      </c>
      <c r="O549" s="5">
        <v>791.1</v>
      </c>
      <c r="P549" s="6">
        <v>0</v>
      </c>
    </row>
    <row r="550" spans="1:16" ht="23.4" x14ac:dyDescent="0.45">
      <c r="A550" s="4" t="s">
        <v>552</v>
      </c>
      <c r="B550" s="5" t="s">
        <v>18</v>
      </c>
      <c r="C550" s="5">
        <v>65420.33</v>
      </c>
      <c r="D550" s="5">
        <v>67</v>
      </c>
      <c r="E550" s="5">
        <v>1</v>
      </c>
      <c r="F550" s="5">
        <v>0.74629999999999996</v>
      </c>
      <c r="G550" s="5">
        <v>0.48149999999999998</v>
      </c>
      <c r="H550" s="5">
        <v>5</v>
      </c>
      <c r="I550" s="5">
        <v>32687.16</v>
      </c>
      <c r="J550" s="5">
        <v>28431.8</v>
      </c>
      <c r="K550" s="5">
        <v>92</v>
      </c>
      <c r="L550" s="5">
        <v>3</v>
      </c>
      <c r="M550" s="5">
        <v>2</v>
      </c>
      <c r="N550" s="5">
        <v>1</v>
      </c>
      <c r="O550" s="5">
        <v>579.13</v>
      </c>
      <c r="P550" s="6">
        <v>0</v>
      </c>
    </row>
    <row r="551" spans="1:16" ht="23.4" x14ac:dyDescent="0.45">
      <c r="A551" s="4" t="s">
        <v>553</v>
      </c>
      <c r="B551" s="5" t="s">
        <v>1</v>
      </c>
      <c r="C551" s="5">
        <v>108354.66</v>
      </c>
      <c r="D551" s="5">
        <v>45</v>
      </c>
      <c r="E551" s="5">
        <v>0</v>
      </c>
      <c r="F551" s="5">
        <v>1</v>
      </c>
      <c r="G551" s="5">
        <v>0.28179999999999999</v>
      </c>
      <c r="H551" s="5">
        <v>0</v>
      </c>
      <c r="I551" s="5">
        <v>8897.93</v>
      </c>
      <c r="J551" s="5">
        <v>11205.3</v>
      </c>
      <c r="K551" s="5">
        <v>47</v>
      </c>
      <c r="L551" s="5">
        <v>2</v>
      </c>
      <c r="M551" s="5">
        <v>1</v>
      </c>
      <c r="N551" s="5">
        <v>1</v>
      </c>
      <c r="O551" s="5">
        <v>644.30999999999995</v>
      </c>
      <c r="P551" s="6">
        <v>0</v>
      </c>
    </row>
    <row r="552" spans="1:16" ht="23.4" x14ac:dyDescent="0.45">
      <c r="A552" s="4" t="s">
        <v>554</v>
      </c>
      <c r="B552" s="5" t="s">
        <v>4</v>
      </c>
      <c r="C552" s="5">
        <v>110673.09</v>
      </c>
      <c r="D552" s="5">
        <v>59</v>
      </c>
      <c r="E552" s="5">
        <v>0</v>
      </c>
      <c r="F552" s="5">
        <v>0.79669999999999996</v>
      </c>
      <c r="G552" s="5">
        <v>0</v>
      </c>
      <c r="H552" s="5">
        <v>1</v>
      </c>
      <c r="I552" s="5">
        <v>16393.169999999998</v>
      </c>
      <c r="J552" s="5">
        <v>8512.75</v>
      </c>
      <c r="K552" s="5">
        <v>66</v>
      </c>
      <c r="L552" s="5">
        <v>1</v>
      </c>
      <c r="M552" s="5">
        <v>1</v>
      </c>
      <c r="N552" s="5">
        <v>0</v>
      </c>
      <c r="O552" s="5">
        <v>786.94</v>
      </c>
      <c r="P552" s="6">
        <v>0</v>
      </c>
    </row>
    <row r="553" spans="1:16" ht="23.4" x14ac:dyDescent="0.45">
      <c r="A553" s="4" t="s">
        <v>555</v>
      </c>
      <c r="B553" s="5" t="s">
        <v>1</v>
      </c>
      <c r="C553" s="5">
        <v>61223.63</v>
      </c>
      <c r="D553" s="5">
        <v>53</v>
      </c>
      <c r="E553" s="5">
        <v>0</v>
      </c>
      <c r="F553" s="5">
        <v>0.77110000000000001</v>
      </c>
      <c r="G553" s="5">
        <v>0.41810000000000003</v>
      </c>
      <c r="H553" s="5">
        <v>0</v>
      </c>
      <c r="I553" s="5">
        <v>34378.879999999997</v>
      </c>
      <c r="J553" s="5">
        <v>28492.55</v>
      </c>
      <c r="K553" s="5">
        <v>72</v>
      </c>
      <c r="L553" s="5">
        <v>4</v>
      </c>
      <c r="M553" s="5">
        <v>2</v>
      </c>
      <c r="N553" s="5">
        <v>1</v>
      </c>
      <c r="O553" s="5">
        <v>738.48</v>
      </c>
      <c r="P553" s="6">
        <v>0</v>
      </c>
    </row>
    <row r="554" spans="1:16" ht="23.4" x14ac:dyDescent="0.45">
      <c r="A554" s="4" t="s">
        <v>556</v>
      </c>
      <c r="B554" s="5" t="s">
        <v>18</v>
      </c>
      <c r="C554" s="5">
        <v>2000</v>
      </c>
      <c r="D554" s="5">
        <v>65</v>
      </c>
      <c r="E554" s="5">
        <v>1</v>
      </c>
      <c r="F554" s="5">
        <v>0.55069999999999997</v>
      </c>
      <c r="G554" s="5">
        <v>0.63870000000000005</v>
      </c>
      <c r="H554" s="5">
        <v>2</v>
      </c>
      <c r="I554" s="5">
        <v>5105.95</v>
      </c>
      <c r="J554" s="5">
        <v>4733.3599999999997</v>
      </c>
      <c r="K554" s="5">
        <v>118</v>
      </c>
      <c r="L554" s="5">
        <v>3</v>
      </c>
      <c r="M554" s="5">
        <v>3</v>
      </c>
      <c r="N554" s="5">
        <v>1</v>
      </c>
      <c r="O554" s="5">
        <v>768.33</v>
      </c>
      <c r="P554" s="6">
        <v>0</v>
      </c>
    </row>
    <row r="555" spans="1:16" ht="23.4" x14ac:dyDescent="0.45">
      <c r="A555" s="4" t="s">
        <v>557</v>
      </c>
      <c r="B555" s="5" t="s">
        <v>18</v>
      </c>
      <c r="C555" s="5">
        <v>77553.66</v>
      </c>
      <c r="D555" s="5">
        <v>27</v>
      </c>
      <c r="E555" s="5">
        <v>1</v>
      </c>
      <c r="F555" s="5">
        <v>0.72609999999999997</v>
      </c>
      <c r="G555" s="5">
        <v>0.33450000000000002</v>
      </c>
      <c r="H555" s="5">
        <v>4</v>
      </c>
      <c r="I555" s="5">
        <v>38946.519999999997</v>
      </c>
      <c r="J555" s="5">
        <v>39006.07</v>
      </c>
      <c r="K555" s="5">
        <v>46</v>
      </c>
      <c r="L555" s="5">
        <v>2</v>
      </c>
      <c r="M555" s="5">
        <v>2</v>
      </c>
      <c r="N555" s="5">
        <v>1</v>
      </c>
      <c r="O555" s="5">
        <v>614.66999999999996</v>
      </c>
      <c r="P555" s="6">
        <v>0</v>
      </c>
    </row>
    <row r="556" spans="1:16" ht="23.4" x14ac:dyDescent="0.45">
      <c r="A556" s="4" t="s">
        <v>558</v>
      </c>
      <c r="B556" s="5" t="s">
        <v>18</v>
      </c>
      <c r="C556" s="5">
        <v>107892.72</v>
      </c>
      <c r="D556" s="5">
        <v>44</v>
      </c>
      <c r="E556" s="5">
        <v>1</v>
      </c>
      <c r="F556" s="5">
        <v>0.61580000000000001</v>
      </c>
      <c r="G556" s="5">
        <v>0.33100000000000002</v>
      </c>
      <c r="H556" s="5">
        <v>3</v>
      </c>
      <c r="I556" s="5">
        <v>45078.03</v>
      </c>
      <c r="J556" s="5">
        <v>22131.14</v>
      </c>
      <c r="K556" s="5">
        <v>112</v>
      </c>
      <c r="L556" s="5">
        <v>3</v>
      </c>
      <c r="M556" s="5">
        <v>1</v>
      </c>
      <c r="N556" s="5">
        <v>2</v>
      </c>
      <c r="O556" s="5">
        <v>648.77</v>
      </c>
      <c r="P556" s="6">
        <v>0</v>
      </c>
    </row>
    <row r="557" spans="1:16" ht="23.4" x14ac:dyDescent="0.45">
      <c r="A557" s="4" t="s">
        <v>559</v>
      </c>
      <c r="B557" s="5" t="s">
        <v>15</v>
      </c>
      <c r="C557" s="5">
        <v>96093.98</v>
      </c>
      <c r="D557" s="5">
        <v>38</v>
      </c>
      <c r="E557" s="5">
        <v>0</v>
      </c>
      <c r="F557" s="5">
        <v>0.4667</v>
      </c>
      <c r="G557" s="5">
        <v>0.70120000000000005</v>
      </c>
      <c r="H557" s="5">
        <v>2</v>
      </c>
      <c r="I557" s="5">
        <v>84412.84</v>
      </c>
      <c r="J557" s="5">
        <v>57283.28</v>
      </c>
      <c r="K557" s="5">
        <v>113</v>
      </c>
      <c r="L557" s="5">
        <v>3</v>
      </c>
      <c r="M557" s="5">
        <v>1</v>
      </c>
      <c r="N557" s="5">
        <v>0</v>
      </c>
      <c r="O557" s="5">
        <v>731.74</v>
      </c>
      <c r="P557" s="6">
        <v>0</v>
      </c>
    </row>
    <row r="558" spans="1:16" ht="23.4" x14ac:dyDescent="0.45">
      <c r="A558" s="4" t="s">
        <v>560</v>
      </c>
      <c r="B558" s="5" t="s">
        <v>15</v>
      </c>
      <c r="C558" s="5">
        <v>178869.62</v>
      </c>
      <c r="D558" s="5">
        <v>54</v>
      </c>
      <c r="E558" s="5">
        <v>1</v>
      </c>
      <c r="F558" s="5">
        <v>0.40560000000000002</v>
      </c>
      <c r="G558" s="5">
        <v>0.46550000000000002</v>
      </c>
      <c r="H558" s="5">
        <v>1</v>
      </c>
      <c r="I558" s="5">
        <v>91538.31</v>
      </c>
      <c r="J558" s="5">
        <v>52301.99</v>
      </c>
      <c r="K558" s="5">
        <v>8</v>
      </c>
      <c r="L558" s="5">
        <v>2</v>
      </c>
      <c r="M558" s="5">
        <v>2</v>
      </c>
      <c r="N558" s="5">
        <v>0</v>
      </c>
      <c r="O558" s="5">
        <v>629.4</v>
      </c>
      <c r="P558" s="6">
        <v>0</v>
      </c>
    </row>
    <row r="559" spans="1:16" ht="23.4" x14ac:dyDescent="0.45">
      <c r="A559" s="4" t="s">
        <v>561</v>
      </c>
      <c r="B559" s="5" t="s">
        <v>4</v>
      </c>
      <c r="C559" s="5">
        <v>128765.58</v>
      </c>
      <c r="D559" s="5">
        <v>48</v>
      </c>
      <c r="E559" s="5">
        <v>0</v>
      </c>
      <c r="F559" s="5">
        <v>1</v>
      </c>
      <c r="G559" s="5">
        <v>0.55889999999999995</v>
      </c>
      <c r="H559" s="5">
        <v>2</v>
      </c>
      <c r="I559" s="5">
        <v>53815.86</v>
      </c>
      <c r="J559" s="5">
        <v>45311.57</v>
      </c>
      <c r="K559" s="5">
        <v>167</v>
      </c>
      <c r="L559" s="5">
        <v>4</v>
      </c>
      <c r="M559" s="5">
        <v>2</v>
      </c>
      <c r="N559" s="5">
        <v>2</v>
      </c>
      <c r="O559" s="5">
        <v>713.38</v>
      </c>
      <c r="P559" s="6">
        <v>0</v>
      </c>
    </row>
    <row r="560" spans="1:16" ht="23.4" x14ac:dyDescent="0.45">
      <c r="A560" s="4" t="s">
        <v>562</v>
      </c>
      <c r="B560" s="5" t="s">
        <v>15</v>
      </c>
      <c r="C560" s="5">
        <v>8053.33</v>
      </c>
      <c r="D560" s="5">
        <v>65</v>
      </c>
      <c r="E560" s="5">
        <v>0</v>
      </c>
      <c r="F560" s="5">
        <v>0.90229999999999999</v>
      </c>
      <c r="G560" s="5">
        <v>0.19900000000000001</v>
      </c>
      <c r="H560" s="5">
        <v>1</v>
      </c>
      <c r="I560" s="5">
        <v>500</v>
      </c>
      <c r="J560" s="5">
        <v>0</v>
      </c>
      <c r="K560" s="5">
        <v>8</v>
      </c>
      <c r="L560" s="5">
        <v>3</v>
      </c>
      <c r="M560" s="5">
        <v>3</v>
      </c>
      <c r="N560" s="5">
        <v>1</v>
      </c>
      <c r="O560" s="5">
        <v>779.2</v>
      </c>
      <c r="P560" s="6">
        <v>0</v>
      </c>
    </row>
    <row r="561" spans="1:16" ht="23.4" x14ac:dyDescent="0.45">
      <c r="A561" s="4" t="s">
        <v>563</v>
      </c>
      <c r="B561" s="5" t="s">
        <v>6</v>
      </c>
      <c r="C561" s="5">
        <v>126496.48</v>
      </c>
      <c r="D561" s="5">
        <v>55</v>
      </c>
      <c r="E561" s="5">
        <v>1</v>
      </c>
      <c r="F561" s="5">
        <v>0.503</v>
      </c>
      <c r="G561" s="5">
        <v>0.15570000000000001</v>
      </c>
      <c r="H561" s="5">
        <v>0</v>
      </c>
      <c r="I561" s="5">
        <v>24601.52</v>
      </c>
      <c r="J561" s="5">
        <v>19173.73</v>
      </c>
      <c r="K561" s="5">
        <v>56</v>
      </c>
      <c r="L561" s="5">
        <v>3</v>
      </c>
      <c r="M561" s="5">
        <v>1</v>
      </c>
      <c r="N561" s="5">
        <v>1</v>
      </c>
      <c r="O561" s="5">
        <v>617.58000000000004</v>
      </c>
      <c r="P561" s="6">
        <v>0</v>
      </c>
    </row>
    <row r="562" spans="1:16" ht="23.4" x14ac:dyDescent="0.45">
      <c r="A562" s="4" t="s">
        <v>564</v>
      </c>
      <c r="B562" s="5" t="s">
        <v>4</v>
      </c>
      <c r="C562" s="5">
        <v>72000.63</v>
      </c>
      <c r="D562" s="5">
        <v>54</v>
      </c>
      <c r="E562" s="5">
        <v>1</v>
      </c>
      <c r="F562" s="5">
        <v>0.29609999999999997</v>
      </c>
      <c r="G562" s="5">
        <v>0.60409999999999997</v>
      </c>
      <c r="H562" s="5">
        <v>3</v>
      </c>
      <c r="I562" s="5">
        <v>59354.46</v>
      </c>
      <c r="J562" s="5">
        <v>36352.959999999999</v>
      </c>
      <c r="K562" s="5">
        <v>139</v>
      </c>
      <c r="L562" s="5">
        <v>1</v>
      </c>
      <c r="M562" s="5">
        <v>2</v>
      </c>
      <c r="N562" s="5">
        <v>0</v>
      </c>
      <c r="O562" s="5">
        <v>694.91</v>
      </c>
      <c r="P562" s="6">
        <v>0</v>
      </c>
    </row>
    <row r="563" spans="1:16" ht="23.4" x14ac:dyDescent="0.45">
      <c r="A563" s="4" t="s">
        <v>565</v>
      </c>
      <c r="B563" s="5" t="s">
        <v>9</v>
      </c>
      <c r="C563" s="5">
        <v>54343.54</v>
      </c>
      <c r="D563" s="5">
        <v>70</v>
      </c>
      <c r="E563" s="5">
        <v>0</v>
      </c>
      <c r="F563" s="5">
        <v>0.63029999999999997</v>
      </c>
      <c r="G563" s="5">
        <v>0.6472</v>
      </c>
      <c r="H563" s="5">
        <v>0</v>
      </c>
      <c r="I563" s="5">
        <v>34362.800000000003</v>
      </c>
      <c r="J563" s="5">
        <v>25785.21</v>
      </c>
      <c r="K563" s="5">
        <v>135</v>
      </c>
      <c r="L563" s="5">
        <v>2</v>
      </c>
      <c r="M563" s="5">
        <v>1</v>
      </c>
      <c r="N563" s="5">
        <v>1</v>
      </c>
      <c r="O563" s="5">
        <v>634.82000000000005</v>
      </c>
      <c r="P563" s="6">
        <v>0</v>
      </c>
    </row>
    <row r="564" spans="1:16" ht="23.4" x14ac:dyDescent="0.45">
      <c r="A564" s="4" t="s">
        <v>566</v>
      </c>
      <c r="B564" s="5" t="s">
        <v>18</v>
      </c>
      <c r="C564" s="5">
        <v>68174.98</v>
      </c>
      <c r="D564" s="5">
        <v>50</v>
      </c>
      <c r="E564" s="5">
        <v>1</v>
      </c>
      <c r="F564" s="5">
        <v>1</v>
      </c>
      <c r="G564" s="5">
        <v>0.30270000000000002</v>
      </c>
      <c r="H564" s="5">
        <v>3</v>
      </c>
      <c r="I564" s="5">
        <v>20107.64</v>
      </c>
      <c r="J564" s="5">
        <v>5529.24</v>
      </c>
      <c r="K564" s="5">
        <v>166</v>
      </c>
      <c r="L564" s="5">
        <v>2</v>
      </c>
      <c r="M564" s="5">
        <v>2</v>
      </c>
      <c r="N564" s="5">
        <v>0</v>
      </c>
      <c r="O564" s="5">
        <v>718.72</v>
      </c>
      <c r="P564" s="6">
        <v>0</v>
      </c>
    </row>
    <row r="565" spans="1:16" ht="23.4" x14ac:dyDescent="0.45">
      <c r="A565" s="4" t="s">
        <v>567</v>
      </c>
      <c r="B565" s="5" t="s">
        <v>1</v>
      </c>
      <c r="C565" s="5">
        <v>153563.75</v>
      </c>
      <c r="D565" s="5">
        <v>57</v>
      </c>
      <c r="E565" s="5">
        <v>1</v>
      </c>
      <c r="F565" s="5">
        <v>0.55169999999999997</v>
      </c>
      <c r="G565" s="5">
        <v>5.0299999999999997E-2</v>
      </c>
      <c r="H565" s="5">
        <v>0</v>
      </c>
      <c r="I565" s="5">
        <v>6332.68</v>
      </c>
      <c r="J565" s="5">
        <v>0</v>
      </c>
      <c r="K565" s="5">
        <v>98</v>
      </c>
      <c r="L565" s="5">
        <v>2</v>
      </c>
      <c r="M565" s="5">
        <v>1</v>
      </c>
      <c r="N565" s="5">
        <v>0</v>
      </c>
      <c r="O565" s="5">
        <v>782.17</v>
      </c>
      <c r="P565" s="6">
        <v>0</v>
      </c>
    </row>
    <row r="566" spans="1:16" ht="23.4" x14ac:dyDescent="0.45">
      <c r="A566" s="4" t="s">
        <v>568</v>
      </c>
      <c r="B566" s="5" t="s">
        <v>18</v>
      </c>
      <c r="C566" s="5">
        <v>129602.26</v>
      </c>
      <c r="D566" s="5">
        <v>29</v>
      </c>
      <c r="E566" s="5">
        <v>0</v>
      </c>
      <c r="F566" s="5">
        <v>0.81520000000000004</v>
      </c>
      <c r="G566" s="5">
        <v>0.13120000000000001</v>
      </c>
      <c r="H566" s="5">
        <v>1</v>
      </c>
      <c r="I566" s="5">
        <v>4517.6899999999996</v>
      </c>
      <c r="J566" s="5">
        <v>10438.379999999999</v>
      </c>
      <c r="K566" s="5">
        <v>156</v>
      </c>
      <c r="L566" s="5">
        <v>2</v>
      </c>
      <c r="M566" s="5">
        <v>2</v>
      </c>
      <c r="N566" s="5">
        <v>2</v>
      </c>
      <c r="O566" s="5">
        <v>663.67</v>
      </c>
      <c r="P566" s="6">
        <v>0</v>
      </c>
    </row>
    <row r="567" spans="1:16" ht="23.4" x14ac:dyDescent="0.45">
      <c r="A567" s="4" t="s">
        <v>569</v>
      </c>
      <c r="B567" s="5" t="s">
        <v>15</v>
      </c>
      <c r="C567" s="5">
        <v>57654.47</v>
      </c>
      <c r="D567" s="5">
        <v>65</v>
      </c>
      <c r="E567" s="5">
        <v>1</v>
      </c>
      <c r="F567" s="5">
        <v>0.91049999999999998</v>
      </c>
      <c r="G567" s="5">
        <v>0.27829999999999999</v>
      </c>
      <c r="H567" s="5">
        <v>6</v>
      </c>
      <c r="I567" s="5">
        <v>11371.3</v>
      </c>
      <c r="J567" s="5">
        <v>11260.34</v>
      </c>
      <c r="K567" s="5">
        <v>123</v>
      </c>
      <c r="L567" s="5">
        <v>1</v>
      </c>
      <c r="M567" s="5">
        <v>2</v>
      </c>
      <c r="N567" s="5">
        <v>2</v>
      </c>
      <c r="O567" s="5">
        <v>761.64</v>
      </c>
      <c r="P567" s="6">
        <v>0</v>
      </c>
    </row>
    <row r="568" spans="1:16" ht="23.4" x14ac:dyDescent="0.45">
      <c r="A568" s="4" t="s">
        <v>570</v>
      </c>
      <c r="B568" s="5" t="s">
        <v>6</v>
      </c>
      <c r="C568" s="5">
        <v>101852.13</v>
      </c>
      <c r="D568" s="5">
        <v>68</v>
      </c>
      <c r="E568" s="5">
        <v>0</v>
      </c>
      <c r="F568" s="5">
        <v>0.92030000000000001</v>
      </c>
      <c r="G568" s="5">
        <v>0.57669999999999999</v>
      </c>
      <c r="H568" s="5">
        <v>6</v>
      </c>
      <c r="I568" s="5">
        <v>65391.34</v>
      </c>
      <c r="J568" s="5">
        <v>48327.58</v>
      </c>
      <c r="K568" s="5">
        <v>110</v>
      </c>
      <c r="L568" s="5">
        <v>1</v>
      </c>
      <c r="M568" s="5">
        <v>1</v>
      </c>
      <c r="N568" s="5">
        <v>0</v>
      </c>
      <c r="O568" s="5">
        <v>684.57</v>
      </c>
      <c r="P568" s="6">
        <v>0</v>
      </c>
    </row>
    <row r="569" spans="1:16" ht="23.4" x14ac:dyDescent="0.45">
      <c r="A569" s="4" t="s">
        <v>571</v>
      </c>
      <c r="B569" s="5" t="s">
        <v>9</v>
      </c>
      <c r="C569" s="5">
        <v>86787.41</v>
      </c>
      <c r="D569" s="5">
        <v>44</v>
      </c>
      <c r="E569" s="5">
        <v>0</v>
      </c>
      <c r="F569" s="5">
        <v>0.62419999999999998</v>
      </c>
      <c r="G569" s="5">
        <v>0.6724</v>
      </c>
      <c r="H569" s="5">
        <v>4</v>
      </c>
      <c r="I569" s="5">
        <v>50326.54</v>
      </c>
      <c r="J569" s="5">
        <v>30560.14</v>
      </c>
      <c r="K569" s="5">
        <v>84</v>
      </c>
      <c r="L569" s="5">
        <v>3</v>
      </c>
      <c r="M569" s="5">
        <v>1</v>
      </c>
      <c r="N569" s="5">
        <v>2</v>
      </c>
      <c r="O569" s="5">
        <v>661</v>
      </c>
      <c r="P569" s="6">
        <v>0</v>
      </c>
    </row>
    <row r="570" spans="1:16" ht="23.4" x14ac:dyDescent="0.45">
      <c r="A570" s="4" t="s">
        <v>572</v>
      </c>
      <c r="B570" s="5" t="s">
        <v>15</v>
      </c>
      <c r="C570" s="5">
        <v>119954.56</v>
      </c>
      <c r="D570" s="5">
        <v>23</v>
      </c>
      <c r="E570" s="5">
        <v>1</v>
      </c>
      <c r="F570" s="5">
        <v>0.82869999999999999</v>
      </c>
      <c r="G570" s="5">
        <v>0.1166</v>
      </c>
      <c r="H570" s="5">
        <v>2</v>
      </c>
      <c r="I570" s="5">
        <v>500</v>
      </c>
      <c r="J570" s="5">
        <v>0</v>
      </c>
      <c r="K570" s="5">
        <v>102</v>
      </c>
      <c r="L570" s="5">
        <v>2</v>
      </c>
      <c r="M570" s="5">
        <v>2</v>
      </c>
      <c r="N570" s="5">
        <v>1</v>
      </c>
      <c r="O570" s="5">
        <v>745.46</v>
      </c>
      <c r="P570" s="6">
        <v>0</v>
      </c>
    </row>
    <row r="571" spans="1:16" ht="23.4" x14ac:dyDescent="0.45">
      <c r="A571" s="4" t="s">
        <v>573</v>
      </c>
      <c r="B571" s="5" t="s">
        <v>6</v>
      </c>
      <c r="C571" s="5">
        <v>36802.25</v>
      </c>
      <c r="D571" s="5">
        <v>49</v>
      </c>
      <c r="E571" s="5">
        <v>1</v>
      </c>
      <c r="F571" s="5">
        <v>0.64349999999999996</v>
      </c>
      <c r="G571" s="5">
        <v>0.27679999999999999</v>
      </c>
      <c r="H571" s="5">
        <v>2</v>
      </c>
      <c r="I571" s="5">
        <v>3760.02</v>
      </c>
      <c r="J571" s="5">
        <v>0</v>
      </c>
      <c r="K571" s="5">
        <v>105</v>
      </c>
      <c r="L571" s="5">
        <v>1</v>
      </c>
      <c r="M571" s="5">
        <v>1</v>
      </c>
      <c r="N571" s="5">
        <v>1</v>
      </c>
      <c r="O571" s="5">
        <v>645.86</v>
      </c>
      <c r="P571" s="6">
        <v>0</v>
      </c>
    </row>
    <row r="572" spans="1:16" ht="23.4" x14ac:dyDescent="0.45">
      <c r="A572" s="4" t="s">
        <v>574</v>
      </c>
      <c r="B572" s="5" t="s">
        <v>1</v>
      </c>
      <c r="C572" s="5">
        <v>146594.17000000001</v>
      </c>
      <c r="D572" s="5">
        <v>62</v>
      </c>
      <c r="E572" s="5">
        <v>0</v>
      </c>
      <c r="F572" s="5">
        <v>0.49199999999999999</v>
      </c>
      <c r="G572" s="5">
        <v>0.52780000000000005</v>
      </c>
      <c r="H572" s="5">
        <v>4</v>
      </c>
      <c r="I572" s="5">
        <v>98265.54</v>
      </c>
      <c r="J572" s="5">
        <v>60397.42</v>
      </c>
      <c r="K572" s="5">
        <v>85</v>
      </c>
      <c r="L572" s="5">
        <v>2</v>
      </c>
      <c r="M572" s="5">
        <v>1</v>
      </c>
      <c r="N572" s="5">
        <v>1</v>
      </c>
      <c r="O572" s="5">
        <v>696.31</v>
      </c>
      <c r="P572" s="6">
        <v>0</v>
      </c>
    </row>
    <row r="573" spans="1:16" ht="23.4" x14ac:dyDescent="0.45">
      <c r="A573" s="4" t="s">
        <v>575</v>
      </c>
      <c r="B573" s="5" t="s">
        <v>9</v>
      </c>
      <c r="C573" s="5">
        <v>148445.17000000001</v>
      </c>
      <c r="D573" s="5">
        <v>24</v>
      </c>
      <c r="E573" s="5">
        <v>0</v>
      </c>
      <c r="F573" s="5">
        <v>0.93420000000000003</v>
      </c>
      <c r="G573" s="5">
        <v>0.31950000000000001</v>
      </c>
      <c r="H573" s="5">
        <v>2</v>
      </c>
      <c r="I573" s="5">
        <v>29698.95</v>
      </c>
      <c r="J573" s="5">
        <v>34620.44</v>
      </c>
      <c r="K573" s="5">
        <v>142</v>
      </c>
      <c r="L573" s="5">
        <v>1</v>
      </c>
      <c r="M573" s="5">
        <v>1</v>
      </c>
      <c r="N573" s="5">
        <v>1</v>
      </c>
      <c r="O573" s="5">
        <v>746.83</v>
      </c>
      <c r="P573" s="6">
        <v>0</v>
      </c>
    </row>
    <row r="574" spans="1:16" ht="23.4" x14ac:dyDescent="0.45">
      <c r="A574" s="4" t="s">
        <v>576</v>
      </c>
      <c r="B574" s="5" t="s">
        <v>6</v>
      </c>
      <c r="C574" s="5">
        <v>64098.94</v>
      </c>
      <c r="D574" s="5">
        <v>49</v>
      </c>
      <c r="E574" s="5">
        <v>0</v>
      </c>
      <c r="F574" s="5">
        <v>0.29799999999999999</v>
      </c>
      <c r="G574" s="5">
        <v>0.66610000000000003</v>
      </c>
      <c r="H574" s="5">
        <v>5</v>
      </c>
      <c r="I574" s="5">
        <v>34131.5</v>
      </c>
      <c r="J574" s="5">
        <v>27359.62</v>
      </c>
      <c r="K574" s="5">
        <v>131</v>
      </c>
      <c r="L574" s="5">
        <v>3</v>
      </c>
      <c r="M574" s="5">
        <v>1</v>
      </c>
      <c r="N574" s="5">
        <v>0</v>
      </c>
      <c r="O574" s="5">
        <v>530.15</v>
      </c>
      <c r="P574" s="6">
        <v>0</v>
      </c>
    </row>
    <row r="575" spans="1:16" ht="23.4" x14ac:dyDescent="0.45">
      <c r="A575" s="4" t="s">
        <v>577</v>
      </c>
      <c r="B575" s="5" t="s">
        <v>15</v>
      </c>
      <c r="C575" s="5">
        <v>135425.62</v>
      </c>
      <c r="D575" s="5">
        <v>37</v>
      </c>
      <c r="E575" s="5">
        <v>1</v>
      </c>
      <c r="F575" s="5">
        <v>1</v>
      </c>
      <c r="G575" s="5">
        <v>0.77800000000000002</v>
      </c>
      <c r="H575" s="5">
        <v>3</v>
      </c>
      <c r="I575" s="5">
        <v>102167.26</v>
      </c>
      <c r="J575" s="5">
        <v>87350.63</v>
      </c>
      <c r="K575" s="5">
        <v>45</v>
      </c>
      <c r="L575" s="5">
        <v>1</v>
      </c>
      <c r="M575" s="5">
        <v>1</v>
      </c>
      <c r="N575" s="5">
        <v>0</v>
      </c>
      <c r="O575" s="5">
        <v>801.33</v>
      </c>
      <c r="P575" s="6">
        <v>0</v>
      </c>
    </row>
    <row r="576" spans="1:16" ht="23.4" x14ac:dyDescent="0.45">
      <c r="A576" s="4" t="s">
        <v>578</v>
      </c>
      <c r="B576" s="5" t="s">
        <v>9</v>
      </c>
      <c r="C576" s="5">
        <v>85187.55</v>
      </c>
      <c r="D576" s="5">
        <v>24</v>
      </c>
      <c r="E576" s="5">
        <v>0</v>
      </c>
      <c r="F576" s="5">
        <v>0.74180000000000001</v>
      </c>
      <c r="G576" s="5">
        <v>0.36609999999999998</v>
      </c>
      <c r="H576" s="5">
        <v>3</v>
      </c>
      <c r="I576" s="5">
        <v>51023.88</v>
      </c>
      <c r="J576" s="5">
        <v>48746.720000000001</v>
      </c>
      <c r="K576" s="5">
        <v>72</v>
      </c>
      <c r="L576" s="5">
        <v>2</v>
      </c>
      <c r="M576" s="5">
        <v>2</v>
      </c>
      <c r="N576" s="5">
        <v>0</v>
      </c>
      <c r="O576" s="5">
        <v>739.16</v>
      </c>
      <c r="P576" s="6">
        <v>0</v>
      </c>
    </row>
    <row r="577" spans="1:16" ht="23.4" x14ac:dyDescent="0.45">
      <c r="A577" s="4" t="s">
        <v>579</v>
      </c>
      <c r="B577" s="5" t="s">
        <v>1</v>
      </c>
      <c r="C577" s="5">
        <v>161846.81</v>
      </c>
      <c r="D577" s="5">
        <v>52</v>
      </c>
      <c r="E577" s="5">
        <v>1</v>
      </c>
      <c r="F577" s="5">
        <v>0.46339999999999998</v>
      </c>
      <c r="G577" s="5">
        <v>0.38400000000000001</v>
      </c>
      <c r="H577" s="5">
        <v>4</v>
      </c>
      <c r="I577" s="5">
        <v>58425.55</v>
      </c>
      <c r="J577" s="5">
        <v>29972.07</v>
      </c>
      <c r="K577" s="5">
        <v>22</v>
      </c>
      <c r="L577" s="5">
        <v>2</v>
      </c>
      <c r="M577" s="5">
        <v>1</v>
      </c>
      <c r="N577" s="5">
        <v>0</v>
      </c>
      <c r="O577" s="5">
        <v>744.13</v>
      </c>
      <c r="P577" s="6">
        <v>0</v>
      </c>
    </row>
    <row r="578" spans="1:16" ht="23.4" x14ac:dyDescent="0.45">
      <c r="A578" s="4" t="s">
        <v>580</v>
      </c>
      <c r="B578" s="5" t="s">
        <v>1</v>
      </c>
      <c r="C578" s="5">
        <v>76095.83</v>
      </c>
      <c r="D578" s="5">
        <v>64</v>
      </c>
      <c r="E578" s="5">
        <v>0</v>
      </c>
      <c r="F578" s="5">
        <v>1</v>
      </c>
      <c r="G578" s="5">
        <v>0.74080000000000001</v>
      </c>
      <c r="H578" s="5">
        <v>6</v>
      </c>
      <c r="I578" s="5">
        <v>51866.51</v>
      </c>
      <c r="J578" s="5">
        <v>38116.78</v>
      </c>
      <c r="K578" s="5">
        <v>151</v>
      </c>
      <c r="L578" s="5">
        <v>2</v>
      </c>
      <c r="M578" s="5">
        <v>1</v>
      </c>
      <c r="N578" s="5">
        <v>1</v>
      </c>
      <c r="O578" s="5">
        <v>756.1</v>
      </c>
      <c r="P578" s="6">
        <v>0</v>
      </c>
    </row>
    <row r="579" spans="1:16" ht="23.4" x14ac:dyDescent="0.45">
      <c r="A579" s="4" t="s">
        <v>581</v>
      </c>
      <c r="B579" s="5" t="s">
        <v>18</v>
      </c>
      <c r="C579" s="5">
        <v>203010.41</v>
      </c>
      <c r="D579" s="5">
        <v>31</v>
      </c>
      <c r="E579" s="5">
        <v>0</v>
      </c>
      <c r="F579" s="5">
        <v>0.74960000000000004</v>
      </c>
      <c r="G579" s="5">
        <v>9.5799999999999996E-2</v>
      </c>
      <c r="H579" s="5">
        <v>0</v>
      </c>
      <c r="I579" s="5">
        <v>34671.360000000001</v>
      </c>
      <c r="J579" s="5">
        <v>23923.26</v>
      </c>
      <c r="K579" s="5">
        <v>124</v>
      </c>
      <c r="L579" s="5">
        <v>4</v>
      </c>
      <c r="M579" s="5">
        <v>2</v>
      </c>
      <c r="N579" s="5">
        <v>1</v>
      </c>
      <c r="O579" s="5">
        <v>733.1</v>
      </c>
      <c r="P579" s="6">
        <v>0</v>
      </c>
    </row>
    <row r="580" spans="1:16" ht="23.4" x14ac:dyDescent="0.45">
      <c r="A580" s="4" t="s">
        <v>582</v>
      </c>
      <c r="B580" s="5" t="s">
        <v>15</v>
      </c>
      <c r="C580" s="5">
        <v>184421.18</v>
      </c>
      <c r="D580" s="5">
        <v>38</v>
      </c>
      <c r="E580" s="5">
        <v>0</v>
      </c>
      <c r="F580" s="5">
        <v>0.86670000000000003</v>
      </c>
      <c r="G580" s="5">
        <v>9.4000000000000004E-3</v>
      </c>
      <c r="H580" s="5">
        <v>0</v>
      </c>
      <c r="I580" s="5">
        <v>500</v>
      </c>
      <c r="J580" s="5">
        <v>5464.17</v>
      </c>
      <c r="K580" s="5">
        <v>167</v>
      </c>
      <c r="L580" s="5">
        <v>1</v>
      </c>
      <c r="M580" s="5">
        <v>2</v>
      </c>
      <c r="N580" s="5">
        <v>0</v>
      </c>
      <c r="O580" s="5">
        <v>792.43</v>
      </c>
      <c r="P580" s="6">
        <v>0</v>
      </c>
    </row>
    <row r="581" spans="1:16" ht="23.4" x14ac:dyDescent="0.45">
      <c r="A581" s="4" t="s">
        <v>583</v>
      </c>
      <c r="B581" s="5" t="s">
        <v>6</v>
      </c>
      <c r="C581" s="5">
        <v>137222.19</v>
      </c>
      <c r="D581" s="5">
        <v>26</v>
      </c>
      <c r="E581" s="5">
        <v>0</v>
      </c>
      <c r="F581" s="5">
        <v>0.61890000000000001</v>
      </c>
      <c r="G581" s="5">
        <v>0.4783</v>
      </c>
      <c r="H581" s="5">
        <v>5</v>
      </c>
      <c r="I581" s="5">
        <v>80344.81</v>
      </c>
      <c r="J581" s="5">
        <v>50462.93</v>
      </c>
      <c r="K581" s="5">
        <v>162</v>
      </c>
      <c r="L581" s="5">
        <v>2</v>
      </c>
      <c r="M581" s="5">
        <v>2</v>
      </c>
      <c r="N581" s="5">
        <v>2</v>
      </c>
      <c r="O581" s="5">
        <v>748.73</v>
      </c>
      <c r="P581" s="6">
        <v>0</v>
      </c>
    </row>
    <row r="582" spans="1:16" ht="23.4" x14ac:dyDescent="0.45">
      <c r="A582" s="4" t="s">
        <v>584</v>
      </c>
      <c r="B582" s="5" t="s">
        <v>9</v>
      </c>
      <c r="C582" s="5">
        <v>7049.96</v>
      </c>
      <c r="D582" s="5">
        <v>66</v>
      </c>
      <c r="E582" s="5">
        <v>1</v>
      </c>
      <c r="F582" s="5">
        <v>0.28089999999999998</v>
      </c>
      <c r="G582" s="5">
        <v>0.22040000000000001</v>
      </c>
      <c r="H582" s="5">
        <v>2</v>
      </c>
      <c r="I582" s="5">
        <v>15190.53</v>
      </c>
      <c r="J582" s="5">
        <v>7004.39</v>
      </c>
      <c r="K582" s="5">
        <v>123</v>
      </c>
      <c r="L582" s="5">
        <v>4</v>
      </c>
      <c r="M582" s="5">
        <v>1</v>
      </c>
      <c r="N582" s="5">
        <v>2</v>
      </c>
      <c r="O582" s="5">
        <v>756.58</v>
      </c>
      <c r="P582" s="6">
        <v>0</v>
      </c>
    </row>
    <row r="583" spans="1:16" ht="23.4" x14ac:dyDescent="0.45">
      <c r="A583" s="4" t="s">
        <v>585</v>
      </c>
      <c r="B583" s="5" t="s">
        <v>4</v>
      </c>
      <c r="C583" s="5">
        <v>165753.64000000001</v>
      </c>
      <c r="D583" s="5">
        <v>21</v>
      </c>
      <c r="E583" s="5">
        <v>1</v>
      </c>
      <c r="F583" s="5">
        <v>0.94340000000000002</v>
      </c>
      <c r="G583" s="5">
        <v>0.18310000000000001</v>
      </c>
      <c r="H583" s="5">
        <v>0</v>
      </c>
      <c r="I583" s="5">
        <v>46890.26</v>
      </c>
      <c r="J583" s="5">
        <v>32527.61</v>
      </c>
      <c r="K583" s="5">
        <v>143</v>
      </c>
      <c r="L583" s="5">
        <v>1</v>
      </c>
      <c r="M583" s="5">
        <v>2</v>
      </c>
      <c r="N583" s="5">
        <v>1</v>
      </c>
      <c r="O583" s="5">
        <v>651.16999999999996</v>
      </c>
      <c r="P583" s="6">
        <v>0</v>
      </c>
    </row>
    <row r="584" spans="1:16" ht="23.4" x14ac:dyDescent="0.45">
      <c r="A584" s="4" t="s">
        <v>586</v>
      </c>
      <c r="B584" s="5" t="s">
        <v>9</v>
      </c>
      <c r="C584" s="5">
        <v>154649.35999999999</v>
      </c>
      <c r="D584" s="5">
        <v>49</v>
      </c>
      <c r="E584" s="5">
        <v>0</v>
      </c>
      <c r="F584" s="5">
        <v>0.47</v>
      </c>
      <c r="G584" s="5">
        <v>0.29049999999999998</v>
      </c>
      <c r="H584" s="5">
        <v>0</v>
      </c>
      <c r="I584" s="5">
        <v>55733.57</v>
      </c>
      <c r="J584" s="5">
        <v>18926.28</v>
      </c>
      <c r="K584" s="5">
        <v>97</v>
      </c>
      <c r="L584" s="5">
        <v>2</v>
      </c>
      <c r="M584" s="5">
        <v>2</v>
      </c>
      <c r="N584" s="5">
        <v>2</v>
      </c>
      <c r="O584" s="5">
        <v>713.98</v>
      </c>
      <c r="P584" s="6">
        <v>0</v>
      </c>
    </row>
    <row r="585" spans="1:16" ht="23.4" x14ac:dyDescent="0.45">
      <c r="A585" s="4" t="s">
        <v>587</v>
      </c>
      <c r="B585" s="5" t="s">
        <v>4</v>
      </c>
      <c r="C585" s="5">
        <v>87638.73</v>
      </c>
      <c r="D585" s="5">
        <v>33</v>
      </c>
      <c r="E585" s="5">
        <v>0</v>
      </c>
      <c r="F585" s="5">
        <v>0.56699999999999995</v>
      </c>
      <c r="G585" s="5">
        <v>0.46039999999999998</v>
      </c>
      <c r="H585" s="5">
        <v>4</v>
      </c>
      <c r="I585" s="5">
        <v>41857.33</v>
      </c>
      <c r="J585" s="5">
        <v>32865.019999999997</v>
      </c>
      <c r="K585" s="5">
        <v>29</v>
      </c>
      <c r="L585" s="5">
        <v>3</v>
      </c>
      <c r="M585" s="5">
        <v>2</v>
      </c>
      <c r="N585" s="5">
        <v>2</v>
      </c>
      <c r="O585" s="5">
        <v>654.44000000000005</v>
      </c>
      <c r="P585" s="6">
        <v>0</v>
      </c>
    </row>
    <row r="586" spans="1:16" ht="23.4" x14ac:dyDescent="0.45">
      <c r="A586" s="4" t="s">
        <v>588</v>
      </c>
      <c r="B586" s="5" t="s">
        <v>4</v>
      </c>
      <c r="C586" s="5">
        <v>206777.92</v>
      </c>
      <c r="D586" s="5">
        <v>23</v>
      </c>
      <c r="E586" s="5">
        <v>0</v>
      </c>
      <c r="F586" s="5">
        <v>0.63480000000000003</v>
      </c>
      <c r="G586" s="5">
        <v>0.2959</v>
      </c>
      <c r="H586" s="5">
        <v>6</v>
      </c>
      <c r="I586" s="5">
        <v>58450.01</v>
      </c>
      <c r="J586" s="5">
        <v>32941.9</v>
      </c>
      <c r="K586" s="5">
        <v>56</v>
      </c>
      <c r="L586" s="5">
        <v>4</v>
      </c>
      <c r="M586" s="5">
        <v>2</v>
      </c>
      <c r="N586" s="5">
        <v>0</v>
      </c>
      <c r="O586" s="5">
        <v>690.42</v>
      </c>
      <c r="P586" s="6">
        <v>0</v>
      </c>
    </row>
    <row r="587" spans="1:16" ht="23.4" x14ac:dyDescent="0.45">
      <c r="A587" s="4" t="s">
        <v>589</v>
      </c>
      <c r="B587" s="5" t="s">
        <v>9</v>
      </c>
      <c r="C587" s="5">
        <v>142227.72</v>
      </c>
      <c r="D587" s="5">
        <v>33</v>
      </c>
      <c r="E587" s="5">
        <v>1</v>
      </c>
      <c r="F587" s="5">
        <v>0.56140000000000001</v>
      </c>
      <c r="G587" s="5">
        <v>0.12759999999999999</v>
      </c>
      <c r="H587" s="5">
        <v>0</v>
      </c>
      <c r="I587" s="5">
        <v>504.85</v>
      </c>
      <c r="J587" s="5">
        <v>4158.1899999999996</v>
      </c>
      <c r="K587" s="5">
        <v>22</v>
      </c>
      <c r="L587" s="5">
        <v>1</v>
      </c>
      <c r="M587" s="5">
        <v>3</v>
      </c>
      <c r="N587" s="5">
        <v>2</v>
      </c>
      <c r="O587" s="5">
        <v>719.71</v>
      </c>
      <c r="P587" s="6">
        <v>0</v>
      </c>
    </row>
    <row r="588" spans="1:16" ht="23.4" x14ac:dyDescent="0.45">
      <c r="A588" s="4" t="s">
        <v>590</v>
      </c>
      <c r="B588" s="5" t="s">
        <v>18</v>
      </c>
      <c r="C588" s="5">
        <v>85236.12</v>
      </c>
      <c r="D588" s="5">
        <v>64</v>
      </c>
      <c r="E588" s="5">
        <v>1</v>
      </c>
      <c r="F588" s="5">
        <v>0.54120000000000001</v>
      </c>
      <c r="G588" s="5">
        <v>1</v>
      </c>
      <c r="H588" s="5">
        <v>6</v>
      </c>
      <c r="I588" s="5">
        <v>76152.479999999996</v>
      </c>
      <c r="J588" s="5">
        <v>37021.68</v>
      </c>
      <c r="K588" s="5">
        <v>180</v>
      </c>
      <c r="L588" s="5">
        <v>2</v>
      </c>
      <c r="M588" s="5">
        <v>1</v>
      </c>
      <c r="N588" s="5">
        <v>2</v>
      </c>
      <c r="O588" s="5">
        <v>544.05999999999995</v>
      </c>
      <c r="P588" s="6">
        <v>1</v>
      </c>
    </row>
    <row r="589" spans="1:16" ht="23.4" x14ac:dyDescent="0.45">
      <c r="A589" s="4" t="s">
        <v>591</v>
      </c>
      <c r="B589" s="5" t="s">
        <v>1</v>
      </c>
      <c r="C589" s="5">
        <v>6571.56</v>
      </c>
      <c r="D589" s="5">
        <v>41</v>
      </c>
      <c r="E589" s="5">
        <v>1</v>
      </c>
      <c r="F589" s="5">
        <v>0.1053</v>
      </c>
      <c r="G589" s="5">
        <v>0.73529999999999995</v>
      </c>
      <c r="H589" s="5">
        <v>4</v>
      </c>
      <c r="I589" s="5">
        <v>27223.88</v>
      </c>
      <c r="J589" s="5">
        <v>4625.54</v>
      </c>
      <c r="K589" s="5">
        <v>17</v>
      </c>
      <c r="L589" s="5">
        <v>3</v>
      </c>
      <c r="M589" s="5">
        <v>1</v>
      </c>
      <c r="N589" s="5">
        <v>0</v>
      </c>
      <c r="O589" s="5">
        <v>615.66</v>
      </c>
      <c r="P589" s="6">
        <v>0</v>
      </c>
    </row>
    <row r="590" spans="1:16" ht="23.4" x14ac:dyDescent="0.45">
      <c r="A590" s="4" t="s">
        <v>592</v>
      </c>
      <c r="B590" s="5" t="s">
        <v>15</v>
      </c>
      <c r="C590" s="5">
        <v>85657.22</v>
      </c>
      <c r="D590" s="5">
        <v>33</v>
      </c>
      <c r="E590" s="5">
        <v>0</v>
      </c>
      <c r="F590" s="5">
        <v>0.70640000000000003</v>
      </c>
      <c r="G590" s="5">
        <v>0.13869999999999999</v>
      </c>
      <c r="H590" s="5">
        <v>5</v>
      </c>
      <c r="I590" s="5">
        <v>28065.65</v>
      </c>
      <c r="J590" s="5">
        <v>0</v>
      </c>
      <c r="K590" s="5">
        <v>63</v>
      </c>
      <c r="L590" s="5">
        <v>4</v>
      </c>
      <c r="M590" s="5">
        <v>1</v>
      </c>
      <c r="N590" s="5">
        <v>0</v>
      </c>
      <c r="O590" s="5">
        <v>723.68</v>
      </c>
      <c r="P590" s="6">
        <v>0</v>
      </c>
    </row>
    <row r="591" spans="1:16" ht="23.4" x14ac:dyDescent="0.45">
      <c r="A591" s="4" t="s">
        <v>593</v>
      </c>
      <c r="B591" s="5" t="s">
        <v>4</v>
      </c>
      <c r="C591" s="5">
        <v>116977.71</v>
      </c>
      <c r="D591" s="5">
        <v>61</v>
      </c>
      <c r="E591" s="5">
        <v>0</v>
      </c>
      <c r="F591" s="5">
        <v>0.66639999999999999</v>
      </c>
      <c r="G591" s="5">
        <v>0.3579</v>
      </c>
      <c r="H591" s="5">
        <v>2</v>
      </c>
      <c r="I591" s="5">
        <v>43236.75</v>
      </c>
      <c r="J591" s="5">
        <v>34290.06</v>
      </c>
      <c r="K591" s="5">
        <v>70</v>
      </c>
      <c r="L591" s="5">
        <v>1</v>
      </c>
      <c r="M591" s="5">
        <v>1</v>
      </c>
      <c r="N591" s="5">
        <v>3</v>
      </c>
      <c r="O591" s="5">
        <v>567.16</v>
      </c>
      <c r="P591" s="6">
        <v>0</v>
      </c>
    </row>
    <row r="592" spans="1:16" ht="23.4" x14ac:dyDescent="0.45">
      <c r="A592" s="4" t="s">
        <v>594</v>
      </c>
      <c r="B592" s="5" t="s">
        <v>1</v>
      </c>
      <c r="C592" s="5">
        <v>113708.3</v>
      </c>
      <c r="D592" s="5">
        <v>36</v>
      </c>
      <c r="E592" s="5">
        <v>0</v>
      </c>
      <c r="F592" s="5">
        <v>0.4819</v>
      </c>
      <c r="G592" s="5">
        <v>0.8054</v>
      </c>
      <c r="H592" s="5">
        <v>3</v>
      </c>
      <c r="I592" s="5">
        <v>72946.39</v>
      </c>
      <c r="J592" s="5">
        <v>33959.49</v>
      </c>
      <c r="K592" s="5">
        <v>166</v>
      </c>
      <c r="L592" s="5">
        <v>2</v>
      </c>
      <c r="M592" s="5">
        <v>1</v>
      </c>
      <c r="N592" s="5">
        <v>3</v>
      </c>
      <c r="O592" s="5">
        <v>693.99</v>
      </c>
      <c r="P592" s="6">
        <v>0</v>
      </c>
    </row>
    <row r="593" spans="1:16" ht="23.4" x14ac:dyDescent="0.45">
      <c r="A593" s="4" t="s">
        <v>595</v>
      </c>
      <c r="B593" s="5" t="s">
        <v>18</v>
      </c>
      <c r="C593" s="5">
        <v>68107.81</v>
      </c>
      <c r="D593" s="5">
        <v>65</v>
      </c>
      <c r="E593" s="5">
        <v>0</v>
      </c>
      <c r="F593" s="5">
        <v>0.79590000000000005</v>
      </c>
      <c r="G593" s="5">
        <v>0.45190000000000002</v>
      </c>
      <c r="H593" s="5">
        <v>5</v>
      </c>
      <c r="I593" s="5">
        <v>22893.43</v>
      </c>
      <c r="J593" s="5">
        <v>12878.94</v>
      </c>
      <c r="K593" s="5">
        <v>22</v>
      </c>
      <c r="L593" s="5">
        <v>1</v>
      </c>
      <c r="M593" s="5">
        <v>1</v>
      </c>
      <c r="N593" s="5">
        <v>0</v>
      </c>
      <c r="O593" s="5">
        <v>789.16</v>
      </c>
      <c r="P593" s="6">
        <v>0</v>
      </c>
    </row>
    <row r="594" spans="1:16" ht="23.4" x14ac:dyDescent="0.45">
      <c r="A594" s="4" t="s">
        <v>596</v>
      </c>
      <c r="B594" s="5" t="s">
        <v>18</v>
      </c>
      <c r="C594" s="5">
        <v>39156.47</v>
      </c>
      <c r="D594" s="5">
        <v>47</v>
      </c>
      <c r="E594" s="5">
        <v>1</v>
      </c>
      <c r="F594" s="5">
        <v>0.86060000000000003</v>
      </c>
      <c r="G594" s="5">
        <v>0.43580000000000002</v>
      </c>
      <c r="H594" s="5">
        <v>5</v>
      </c>
      <c r="I594" s="5">
        <v>15888.34</v>
      </c>
      <c r="J594" s="5">
        <v>10839.12</v>
      </c>
      <c r="K594" s="5">
        <v>104</v>
      </c>
      <c r="L594" s="5">
        <v>2</v>
      </c>
      <c r="M594" s="5">
        <v>1</v>
      </c>
      <c r="N594" s="5">
        <v>1</v>
      </c>
      <c r="O594" s="5">
        <v>788.41</v>
      </c>
      <c r="P594" s="6">
        <v>0</v>
      </c>
    </row>
    <row r="595" spans="1:16" ht="23.4" x14ac:dyDescent="0.45">
      <c r="A595" s="4" t="s">
        <v>597</v>
      </c>
      <c r="B595" s="5" t="s">
        <v>18</v>
      </c>
      <c r="C595" s="5">
        <v>128797.89</v>
      </c>
      <c r="D595" s="5">
        <v>22</v>
      </c>
      <c r="E595" s="5">
        <v>0</v>
      </c>
      <c r="F595" s="5">
        <v>0.52900000000000003</v>
      </c>
      <c r="G595" s="5">
        <v>0.46350000000000002</v>
      </c>
      <c r="H595" s="5">
        <v>3</v>
      </c>
      <c r="I595" s="5">
        <v>66223.399999999994</v>
      </c>
      <c r="J595" s="5">
        <v>38029.14</v>
      </c>
      <c r="K595" s="5">
        <v>55</v>
      </c>
      <c r="L595" s="5">
        <v>3</v>
      </c>
      <c r="M595" s="5">
        <v>1</v>
      </c>
      <c r="N595" s="5">
        <v>1</v>
      </c>
      <c r="O595" s="5">
        <v>663.77</v>
      </c>
      <c r="P595" s="6">
        <v>0</v>
      </c>
    </row>
    <row r="596" spans="1:16" ht="23.4" x14ac:dyDescent="0.45">
      <c r="A596" s="4" t="s">
        <v>598</v>
      </c>
      <c r="B596" s="5" t="s">
        <v>6</v>
      </c>
      <c r="C596" s="5">
        <v>27755.42</v>
      </c>
      <c r="D596" s="5">
        <v>32</v>
      </c>
      <c r="E596" s="5">
        <v>1</v>
      </c>
      <c r="F596" s="5">
        <v>0.73250000000000004</v>
      </c>
      <c r="G596" s="5">
        <v>0.41920000000000002</v>
      </c>
      <c r="H596" s="5">
        <v>6</v>
      </c>
      <c r="I596" s="5">
        <v>23674.05</v>
      </c>
      <c r="J596" s="5">
        <v>18971.03</v>
      </c>
      <c r="K596" s="5">
        <v>117</v>
      </c>
      <c r="L596" s="5">
        <v>2</v>
      </c>
      <c r="M596" s="5">
        <v>2</v>
      </c>
      <c r="N596" s="5">
        <v>0</v>
      </c>
      <c r="O596" s="5">
        <v>639.58000000000004</v>
      </c>
      <c r="P596" s="6">
        <v>0</v>
      </c>
    </row>
    <row r="597" spans="1:16" ht="23.4" x14ac:dyDescent="0.45">
      <c r="A597" s="4" t="s">
        <v>599</v>
      </c>
      <c r="B597" s="5" t="s">
        <v>18</v>
      </c>
      <c r="C597" s="5">
        <v>61813.61</v>
      </c>
      <c r="D597" s="5">
        <v>51</v>
      </c>
      <c r="E597" s="5">
        <v>1</v>
      </c>
      <c r="F597" s="5">
        <v>0.63390000000000002</v>
      </c>
      <c r="G597" s="5">
        <v>0.61370000000000002</v>
      </c>
      <c r="H597" s="5">
        <v>3</v>
      </c>
      <c r="I597" s="5">
        <v>39338.410000000003</v>
      </c>
      <c r="J597" s="5">
        <v>15395.94</v>
      </c>
      <c r="K597" s="5">
        <v>20</v>
      </c>
      <c r="L597" s="5">
        <v>1</v>
      </c>
      <c r="M597" s="5">
        <v>2</v>
      </c>
      <c r="N597" s="5">
        <v>1</v>
      </c>
      <c r="O597" s="5">
        <v>630.28</v>
      </c>
      <c r="P597" s="6">
        <v>1</v>
      </c>
    </row>
    <row r="598" spans="1:16" ht="23.4" x14ac:dyDescent="0.45">
      <c r="A598" s="4" t="s">
        <v>600</v>
      </c>
      <c r="B598" s="5" t="s">
        <v>9</v>
      </c>
      <c r="C598" s="5">
        <v>21479.24</v>
      </c>
      <c r="D598" s="5">
        <v>61</v>
      </c>
      <c r="E598" s="5">
        <v>0</v>
      </c>
      <c r="F598" s="5">
        <v>1</v>
      </c>
      <c r="G598" s="5">
        <v>0.76800000000000002</v>
      </c>
      <c r="H598" s="5">
        <v>2</v>
      </c>
      <c r="I598" s="5">
        <v>4380.34</v>
      </c>
      <c r="J598" s="5">
        <v>13470.47</v>
      </c>
      <c r="K598" s="5">
        <v>125</v>
      </c>
      <c r="L598" s="5">
        <v>2</v>
      </c>
      <c r="M598" s="5">
        <v>1</v>
      </c>
      <c r="N598" s="5">
        <v>1</v>
      </c>
      <c r="O598" s="5">
        <v>789.36</v>
      </c>
      <c r="P598" s="6">
        <v>0</v>
      </c>
    </row>
    <row r="599" spans="1:16" ht="23.4" x14ac:dyDescent="0.45">
      <c r="A599" s="4" t="s">
        <v>601</v>
      </c>
      <c r="B599" s="5" t="s">
        <v>15</v>
      </c>
      <c r="C599" s="5">
        <v>75678.649999999994</v>
      </c>
      <c r="D599" s="5">
        <v>31</v>
      </c>
      <c r="E599" s="5">
        <v>0</v>
      </c>
      <c r="F599" s="5">
        <v>1</v>
      </c>
      <c r="G599" s="5">
        <v>0.71279999999999999</v>
      </c>
      <c r="H599" s="5">
        <v>6</v>
      </c>
      <c r="I599" s="5">
        <v>44583.63</v>
      </c>
      <c r="J599" s="5">
        <v>45669.55</v>
      </c>
      <c r="K599" s="5">
        <v>64</v>
      </c>
      <c r="L599" s="5">
        <v>2</v>
      </c>
      <c r="M599" s="5">
        <v>1</v>
      </c>
      <c r="N599" s="5">
        <v>1</v>
      </c>
      <c r="O599" s="5">
        <v>671.71</v>
      </c>
      <c r="P599" s="6">
        <v>0</v>
      </c>
    </row>
    <row r="600" spans="1:16" ht="23.4" x14ac:dyDescent="0.45">
      <c r="A600" s="4" t="s">
        <v>602</v>
      </c>
      <c r="B600" s="5" t="s">
        <v>9</v>
      </c>
      <c r="C600" s="5">
        <v>122267.12</v>
      </c>
      <c r="D600" s="5">
        <v>45</v>
      </c>
      <c r="E600" s="5">
        <v>1</v>
      </c>
      <c r="F600" s="5">
        <v>0.36659999999999998</v>
      </c>
      <c r="G600" s="5">
        <v>0.44419999999999998</v>
      </c>
      <c r="H600" s="5">
        <v>4</v>
      </c>
      <c r="I600" s="5">
        <v>68524.460000000006</v>
      </c>
      <c r="J600" s="5">
        <v>36975.65</v>
      </c>
      <c r="K600" s="5">
        <v>24</v>
      </c>
      <c r="L600" s="5">
        <v>2</v>
      </c>
      <c r="M600" s="5">
        <v>2</v>
      </c>
      <c r="N600" s="5">
        <v>0</v>
      </c>
      <c r="O600" s="5">
        <v>579.57000000000005</v>
      </c>
      <c r="P600" s="6">
        <v>0</v>
      </c>
    </row>
    <row r="601" spans="1:16" ht="23.4" x14ac:dyDescent="0.45">
      <c r="A601" s="4" t="s">
        <v>603</v>
      </c>
      <c r="B601" s="5" t="s">
        <v>6</v>
      </c>
      <c r="C601" s="5">
        <v>113250.64</v>
      </c>
      <c r="D601" s="5">
        <v>44</v>
      </c>
      <c r="E601" s="5">
        <v>1</v>
      </c>
      <c r="F601" s="5">
        <v>0.74719999999999998</v>
      </c>
      <c r="G601" s="5">
        <v>0.41670000000000001</v>
      </c>
      <c r="H601" s="5">
        <v>3</v>
      </c>
      <c r="I601" s="5">
        <v>55978.44</v>
      </c>
      <c r="J601" s="5">
        <v>48702.8</v>
      </c>
      <c r="K601" s="5">
        <v>92</v>
      </c>
      <c r="L601" s="5">
        <v>3</v>
      </c>
      <c r="M601" s="5">
        <v>1</v>
      </c>
      <c r="N601" s="5">
        <v>0</v>
      </c>
      <c r="O601" s="5">
        <v>643.29999999999995</v>
      </c>
      <c r="P601" s="6">
        <v>0</v>
      </c>
    </row>
    <row r="602" spans="1:16" ht="23.4" x14ac:dyDescent="0.45">
      <c r="A602" s="4" t="s">
        <v>604</v>
      </c>
      <c r="B602" s="5" t="s">
        <v>6</v>
      </c>
      <c r="C602" s="5">
        <v>88461.77</v>
      </c>
      <c r="D602" s="5">
        <v>64</v>
      </c>
      <c r="E602" s="5">
        <v>1</v>
      </c>
      <c r="F602" s="5">
        <v>0.79210000000000003</v>
      </c>
      <c r="G602" s="5">
        <v>0.63729999999999998</v>
      </c>
      <c r="H602" s="5">
        <v>6</v>
      </c>
      <c r="I602" s="5">
        <v>66602.100000000006</v>
      </c>
      <c r="J602" s="5">
        <v>42935.6</v>
      </c>
      <c r="K602" s="5">
        <v>59</v>
      </c>
      <c r="L602" s="5">
        <v>1</v>
      </c>
      <c r="M602" s="5">
        <v>1</v>
      </c>
      <c r="N602" s="5">
        <v>2</v>
      </c>
      <c r="O602" s="5">
        <v>618.24</v>
      </c>
      <c r="P602" s="6">
        <v>0</v>
      </c>
    </row>
    <row r="603" spans="1:16" ht="23.4" x14ac:dyDescent="0.45">
      <c r="A603" s="4" t="s">
        <v>605</v>
      </c>
      <c r="B603" s="5" t="s">
        <v>15</v>
      </c>
      <c r="C603" s="5">
        <v>2000</v>
      </c>
      <c r="D603" s="5">
        <v>60</v>
      </c>
      <c r="E603" s="5">
        <v>1</v>
      </c>
      <c r="F603" s="5">
        <v>1</v>
      </c>
      <c r="G603" s="5">
        <v>5.2600000000000001E-2</v>
      </c>
      <c r="H603" s="5">
        <v>2</v>
      </c>
      <c r="I603" s="5">
        <v>3450.9</v>
      </c>
      <c r="J603" s="5">
        <v>15414.36</v>
      </c>
      <c r="K603" s="5">
        <v>55</v>
      </c>
      <c r="L603" s="5">
        <v>2</v>
      </c>
      <c r="M603" s="5">
        <v>2</v>
      </c>
      <c r="N603" s="5">
        <v>0</v>
      </c>
      <c r="O603" s="5">
        <v>716.8</v>
      </c>
      <c r="P603" s="6">
        <v>0</v>
      </c>
    </row>
    <row r="604" spans="1:16" ht="23.4" x14ac:dyDescent="0.45">
      <c r="A604" s="4" t="s">
        <v>606</v>
      </c>
      <c r="B604" s="5" t="s">
        <v>6</v>
      </c>
      <c r="C604" s="5">
        <v>23494.54</v>
      </c>
      <c r="D604" s="5">
        <v>69</v>
      </c>
      <c r="E604" s="5">
        <v>1</v>
      </c>
      <c r="F604" s="5">
        <v>0.35980000000000001</v>
      </c>
      <c r="G604" s="5">
        <v>0.27929999999999999</v>
      </c>
      <c r="H604" s="5">
        <v>1</v>
      </c>
      <c r="I604" s="5">
        <v>500</v>
      </c>
      <c r="J604" s="5">
        <v>0</v>
      </c>
      <c r="K604" s="5">
        <v>89</v>
      </c>
      <c r="L604" s="5">
        <v>1</v>
      </c>
      <c r="M604" s="5">
        <v>2</v>
      </c>
      <c r="N604" s="5">
        <v>0</v>
      </c>
      <c r="O604" s="5">
        <v>720.92</v>
      </c>
      <c r="P604" s="6">
        <v>0</v>
      </c>
    </row>
    <row r="605" spans="1:16" ht="23.4" x14ac:dyDescent="0.45">
      <c r="A605" s="4" t="s">
        <v>607</v>
      </c>
      <c r="B605" s="5" t="s">
        <v>9</v>
      </c>
      <c r="C605" s="5">
        <v>128258.83</v>
      </c>
      <c r="D605" s="5">
        <v>52</v>
      </c>
      <c r="E605" s="5">
        <v>0</v>
      </c>
      <c r="F605" s="5">
        <v>0.72089999999999999</v>
      </c>
      <c r="G605" s="5">
        <v>0.49969999999999998</v>
      </c>
      <c r="H605" s="5">
        <v>0</v>
      </c>
      <c r="I605" s="5">
        <v>68143.520000000004</v>
      </c>
      <c r="J605" s="5">
        <v>55662</v>
      </c>
      <c r="K605" s="5">
        <v>171</v>
      </c>
      <c r="L605" s="5">
        <v>3</v>
      </c>
      <c r="M605" s="5">
        <v>1</v>
      </c>
      <c r="N605" s="5">
        <v>1</v>
      </c>
      <c r="O605" s="5">
        <v>724.89</v>
      </c>
      <c r="P605" s="6">
        <v>0</v>
      </c>
    </row>
    <row r="606" spans="1:16" ht="23.4" x14ac:dyDescent="0.45">
      <c r="A606" s="4" t="s">
        <v>608</v>
      </c>
      <c r="B606" s="5" t="s">
        <v>15</v>
      </c>
      <c r="C606" s="5">
        <v>77168.75</v>
      </c>
      <c r="D606" s="5">
        <v>51</v>
      </c>
      <c r="E606" s="5">
        <v>1</v>
      </c>
      <c r="F606" s="5">
        <v>0.46250000000000002</v>
      </c>
      <c r="G606" s="5">
        <v>0.33739999999999998</v>
      </c>
      <c r="H606" s="5">
        <v>0</v>
      </c>
      <c r="I606" s="5">
        <v>24293.96</v>
      </c>
      <c r="J606" s="5">
        <v>22257.38</v>
      </c>
      <c r="K606" s="5">
        <v>155</v>
      </c>
      <c r="L606" s="5">
        <v>2</v>
      </c>
      <c r="M606" s="5">
        <v>1</v>
      </c>
      <c r="N606" s="5">
        <v>2</v>
      </c>
      <c r="O606" s="5">
        <v>636.63</v>
      </c>
      <c r="P606" s="6">
        <v>0</v>
      </c>
    </row>
    <row r="607" spans="1:16" ht="23.4" x14ac:dyDescent="0.45">
      <c r="A607" s="4" t="s">
        <v>609</v>
      </c>
      <c r="B607" s="5" t="s">
        <v>9</v>
      </c>
      <c r="C607" s="5">
        <v>99753.46</v>
      </c>
      <c r="D607" s="5">
        <v>48</v>
      </c>
      <c r="E607" s="5">
        <v>1</v>
      </c>
      <c r="F607" s="5">
        <v>0.8992</v>
      </c>
      <c r="G607" s="5">
        <v>0.1905</v>
      </c>
      <c r="H607" s="5">
        <v>3</v>
      </c>
      <c r="I607" s="5">
        <v>13282.36</v>
      </c>
      <c r="J607" s="5">
        <v>6008.48</v>
      </c>
      <c r="K607" s="5">
        <v>27</v>
      </c>
      <c r="L607" s="5">
        <v>1</v>
      </c>
      <c r="M607" s="5">
        <v>2</v>
      </c>
      <c r="N607" s="5">
        <v>0</v>
      </c>
      <c r="O607" s="5">
        <v>732.6</v>
      </c>
      <c r="P607" s="6">
        <v>0</v>
      </c>
    </row>
    <row r="608" spans="1:16" ht="23.4" x14ac:dyDescent="0.45">
      <c r="A608" s="4" t="s">
        <v>610</v>
      </c>
      <c r="B608" s="5" t="s">
        <v>18</v>
      </c>
      <c r="C608" s="5">
        <v>49369.84</v>
      </c>
      <c r="D608" s="5">
        <v>49</v>
      </c>
      <c r="E608" s="5">
        <v>0</v>
      </c>
      <c r="F608" s="5">
        <v>0.68610000000000004</v>
      </c>
      <c r="G608" s="5">
        <v>0.1489</v>
      </c>
      <c r="H608" s="5">
        <v>2</v>
      </c>
      <c r="I608" s="5">
        <v>11751.19</v>
      </c>
      <c r="J608" s="5">
        <v>1344.89</v>
      </c>
      <c r="K608" s="5">
        <v>103</v>
      </c>
      <c r="L608" s="5">
        <v>1</v>
      </c>
      <c r="M608" s="5">
        <v>1</v>
      </c>
      <c r="N608" s="5">
        <v>0</v>
      </c>
      <c r="O608" s="5">
        <v>835.18</v>
      </c>
      <c r="P608" s="6">
        <v>0</v>
      </c>
    </row>
    <row r="609" spans="1:16" ht="23.4" x14ac:dyDescent="0.45">
      <c r="A609" s="4" t="s">
        <v>611</v>
      </c>
      <c r="B609" s="5" t="s">
        <v>18</v>
      </c>
      <c r="C609" s="5">
        <v>134463.66</v>
      </c>
      <c r="D609" s="5">
        <v>53</v>
      </c>
      <c r="E609" s="5">
        <v>0</v>
      </c>
      <c r="F609" s="5">
        <v>0.41360000000000002</v>
      </c>
      <c r="G609" s="5">
        <v>0.37119999999999997</v>
      </c>
      <c r="H609" s="5">
        <v>3</v>
      </c>
      <c r="I609" s="5">
        <v>16492.23</v>
      </c>
      <c r="J609" s="5">
        <v>11833.67</v>
      </c>
      <c r="K609" s="5">
        <v>15</v>
      </c>
      <c r="L609" s="5">
        <v>2</v>
      </c>
      <c r="M609" s="5">
        <v>1</v>
      </c>
      <c r="N609" s="5">
        <v>1</v>
      </c>
      <c r="O609" s="5">
        <v>683.32</v>
      </c>
      <c r="P609" s="6">
        <v>0</v>
      </c>
    </row>
    <row r="610" spans="1:16" ht="23.4" x14ac:dyDescent="0.45">
      <c r="A610" s="4" t="s">
        <v>612</v>
      </c>
      <c r="B610" s="5" t="s">
        <v>1</v>
      </c>
      <c r="C610" s="5">
        <v>87684.25</v>
      </c>
      <c r="D610" s="5">
        <v>38</v>
      </c>
      <c r="E610" s="5">
        <v>0</v>
      </c>
      <c r="F610" s="5">
        <v>0.35799999999999998</v>
      </c>
      <c r="G610" s="5">
        <v>0.52400000000000002</v>
      </c>
      <c r="H610" s="5">
        <v>6</v>
      </c>
      <c r="I610" s="5">
        <v>65039.040000000001</v>
      </c>
      <c r="J610" s="5">
        <v>47308.26</v>
      </c>
      <c r="K610" s="5">
        <v>145</v>
      </c>
      <c r="L610" s="5">
        <v>3</v>
      </c>
      <c r="M610" s="5">
        <v>1</v>
      </c>
      <c r="N610" s="5">
        <v>0</v>
      </c>
      <c r="O610" s="5">
        <v>697.08</v>
      </c>
      <c r="P610" s="6">
        <v>0</v>
      </c>
    </row>
    <row r="611" spans="1:16" ht="23.4" x14ac:dyDescent="0.45">
      <c r="A611" s="4" t="s">
        <v>613</v>
      </c>
      <c r="B611" s="5" t="s">
        <v>6</v>
      </c>
      <c r="C611" s="5">
        <v>19303.52</v>
      </c>
      <c r="D611" s="5">
        <v>46</v>
      </c>
      <c r="E611" s="5">
        <v>0</v>
      </c>
      <c r="F611" s="5">
        <v>0.84699999999999998</v>
      </c>
      <c r="G611" s="5">
        <v>2.12E-2</v>
      </c>
      <c r="H611" s="5">
        <v>4</v>
      </c>
      <c r="I611" s="5">
        <v>2040.24</v>
      </c>
      <c r="J611" s="5">
        <v>21143.15</v>
      </c>
      <c r="K611" s="5">
        <v>107</v>
      </c>
      <c r="L611" s="5">
        <v>1</v>
      </c>
      <c r="M611" s="5">
        <v>2</v>
      </c>
      <c r="N611" s="5">
        <v>0</v>
      </c>
      <c r="O611" s="5">
        <v>740</v>
      </c>
      <c r="P611" s="6">
        <v>0</v>
      </c>
    </row>
    <row r="612" spans="1:16" ht="23.4" x14ac:dyDescent="0.45">
      <c r="A612" s="4" t="s">
        <v>614</v>
      </c>
      <c r="B612" s="5" t="s">
        <v>4</v>
      </c>
      <c r="C612" s="5">
        <v>41242.75</v>
      </c>
      <c r="D612" s="5">
        <v>50</v>
      </c>
      <c r="E612" s="5">
        <v>0</v>
      </c>
      <c r="F612" s="5">
        <v>0.56810000000000005</v>
      </c>
      <c r="G612" s="5">
        <v>0.35220000000000001</v>
      </c>
      <c r="H612" s="5">
        <v>0</v>
      </c>
      <c r="I612" s="5">
        <v>17909.88</v>
      </c>
      <c r="J612" s="5">
        <v>4539.99</v>
      </c>
      <c r="K612" s="5">
        <v>54</v>
      </c>
      <c r="L612" s="5">
        <v>2</v>
      </c>
      <c r="M612" s="5">
        <v>3</v>
      </c>
      <c r="N612" s="5">
        <v>0</v>
      </c>
      <c r="O612" s="5">
        <v>581.13</v>
      </c>
      <c r="P612" s="6">
        <v>1</v>
      </c>
    </row>
    <row r="613" spans="1:16" ht="23.4" x14ac:dyDescent="0.45">
      <c r="A613" s="4" t="s">
        <v>615</v>
      </c>
      <c r="B613" s="5" t="s">
        <v>1</v>
      </c>
      <c r="C613" s="5">
        <v>123113.89</v>
      </c>
      <c r="D613" s="5">
        <v>29</v>
      </c>
      <c r="E613" s="5">
        <v>0</v>
      </c>
      <c r="F613" s="5">
        <v>0.60740000000000005</v>
      </c>
      <c r="G613" s="5">
        <v>0.3387</v>
      </c>
      <c r="H613" s="5">
        <v>2</v>
      </c>
      <c r="I613" s="5">
        <v>40966.959999999999</v>
      </c>
      <c r="J613" s="5">
        <v>31958.959999999999</v>
      </c>
      <c r="K613" s="5">
        <v>92</v>
      </c>
      <c r="L613" s="5">
        <v>1</v>
      </c>
      <c r="M613" s="5">
        <v>1</v>
      </c>
      <c r="N613" s="5">
        <v>1</v>
      </c>
      <c r="O613" s="5">
        <v>590.12</v>
      </c>
      <c r="P613" s="6">
        <v>0</v>
      </c>
    </row>
    <row r="614" spans="1:16" ht="23.4" x14ac:dyDescent="0.45">
      <c r="A614" s="4" t="s">
        <v>616</v>
      </c>
      <c r="B614" s="5" t="s">
        <v>6</v>
      </c>
      <c r="C614" s="5">
        <v>76133.990000000005</v>
      </c>
      <c r="D614" s="5">
        <v>58</v>
      </c>
      <c r="E614" s="5">
        <v>0</v>
      </c>
      <c r="F614" s="5">
        <v>0.54290000000000005</v>
      </c>
      <c r="G614" s="5">
        <v>0.83389999999999997</v>
      </c>
      <c r="H614" s="5">
        <v>5</v>
      </c>
      <c r="I614" s="5">
        <v>71137.94</v>
      </c>
      <c r="J614" s="5">
        <v>41730.47</v>
      </c>
      <c r="K614" s="5">
        <v>90</v>
      </c>
      <c r="L614" s="5">
        <v>2</v>
      </c>
      <c r="M614" s="5">
        <v>2</v>
      </c>
      <c r="N614" s="5">
        <v>2</v>
      </c>
      <c r="O614" s="5">
        <v>595.01</v>
      </c>
      <c r="P614" s="6">
        <v>0</v>
      </c>
    </row>
    <row r="615" spans="1:16" ht="23.4" x14ac:dyDescent="0.45">
      <c r="A615" s="4" t="s">
        <v>617</v>
      </c>
      <c r="B615" s="5" t="s">
        <v>6</v>
      </c>
      <c r="C615" s="5">
        <v>69939.22</v>
      </c>
      <c r="D615" s="5">
        <v>46</v>
      </c>
      <c r="E615" s="5">
        <v>0</v>
      </c>
      <c r="F615" s="5">
        <v>0.8821</v>
      </c>
      <c r="G615" s="5">
        <v>0.49630000000000002</v>
      </c>
      <c r="H615" s="5">
        <v>1</v>
      </c>
      <c r="I615" s="5">
        <v>36824.32</v>
      </c>
      <c r="J615" s="5">
        <v>38817.15</v>
      </c>
      <c r="K615" s="5">
        <v>83</v>
      </c>
      <c r="L615" s="5">
        <v>1</v>
      </c>
      <c r="M615" s="5">
        <v>1</v>
      </c>
      <c r="N615" s="5">
        <v>1</v>
      </c>
      <c r="O615" s="5">
        <v>695.85</v>
      </c>
      <c r="P615" s="6">
        <v>0</v>
      </c>
    </row>
    <row r="616" spans="1:16" ht="23.4" x14ac:dyDescent="0.45">
      <c r="A616" s="4" t="s">
        <v>618</v>
      </c>
      <c r="B616" s="5" t="s">
        <v>1</v>
      </c>
      <c r="C616" s="5">
        <v>70518.3</v>
      </c>
      <c r="D616" s="5">
        <v>32</v>
      </c>
      <c r="E616" s="5">
        <v>0</v>
      </c>
      <c r="F616" s="5">
        <v>0.48520000000000002</v>
      </c>
      <c r="G616" s="5">
        <v>0.57340000000000002</v>
      </c>
      <c r="H616" s="5">
        <v>8</v>
      </c>
      <c r="I616" s="5">
        <v>32754.11</v>
      </c>
      <c r="J616" s="5">
        <v>23027.55</v>
      </c>
      <c r="K616" s="5">
        <v>80</v>
      </c>
      <c r="L616" s="5">
        <v>2</v>
      </c>
      <c r="M616" s="5">
        <v>1</v>
      </c>
      <c r="N616" s="5">
        <v>0</v>
      </c>
      <c r="O616" s="5">
        <v>625.76</v>
      </c>
      <c r="P616" s="6">
        <v>0</v>
      </c>
    </row>
    <row r="617" spans="1:16" ht="23.4" x14ac:dyDescent="0.45">
      <c r="A617" s="4" t="s">
        <v>619</v>
      </c>
      <c r="B617" s="5" t="s">
        <v>18</v>
      </c>
      <c r="C617" s="5">
        <v>86789.8</v>
      </c>
      <c r="D617" s="5">
        <v>47</v>
      </c>
      <c r="E617" s="5">
        <v>0</v>
      </c>
      <c r="F617" s="5">
        <v>0.23169999999999999</v>
      </c>
      <c r="G617" s="5">
        <v>0.87749999999999995</v>
      </c>
      <c r="H617" s="5">
        <v>6</v>
      </c>
      <c r="I617" s="5">
        <v>87482.67</v>
      </c>
      <c r="J617" s="5">
        <v>42758.11</v>
      </c>
      <c r="K617" s="5">
        <v>58</v>
      </c>
      <c r="L617" s="5">
        <v>1</v>
      </c>
      <c r="M617" s="5">
        <v>1</v>
      </c>
      <c r="N617" s="5">
        <v>0</v>
      </c>
      <c r="O617" s="5">
        <v>548.1</v>
      </c>
      <c r="P617" s="6">
        <v>0</v>
      </c>
    </row>
    <row r="618" spans="1:16" ht="23.4" x14ac:dyDescent="0.45">
      <c r="A618" s="4" t="s">
        <v>620</v>
      </c>
      <c r="B618" s="5" t="s">
        <v>18</v>
      </c>
      <c r="C618" s="5">
        <v>29540.38</v>
      </c>
      <c r="D618" s="5">
        <v>40</v>
      </c>
      <c r="E618" s="5">
        <v>1</v>
      </c>
      <c r="F618" s="5">
        <v>0.7429</v>
      </c>
      <c r="G618" s="5">
        <v>0.14810000000000001</v>
      </c>
      <c r="H618" s="5">
        <v>0</v>
      </c>
      <c r="I618" s="5">
        <v>500</v>
      </c>
      <c r="J618" s="5">
        <v>0</v>
      </c>
      <c r="K618" s="5">
        <v>7</v>
      </c>
      <c r="L618" s="5">
        <v>4</v>
      </c>
      <c r="M618" s="5">
        <v>1</v>
      </c>
      <c r="N618" s="5">
        <v>2</v>
      </c>
      <c r="O618" s="5">
        <v>691.58</v>
      </c>
      <c r="P618" s="6">
        <v>0</v>
      </c>
    </row>
    <row r="619" spans="1:16" ht="23.4" x14ac:dyDescent="0.45">
      <c r="A619" s="4" t="s">
        <v>621</v>
      </c>
      <c r="B619" s="5" t="s">
        <v>18</v>
      </c>
      <c r="C619" s="5">
        <v>69258.100000000006</v>
      </c>
      <c r="D619" s="5">
        <v>57</v>
      </c>
      <c r="E619" s="5">
        <v>0</v>
      </c>
      <c r="F619" s="5">
        <v>0.86119999999999997</v>
      </c>
      <c r="G619" s="5">
        <v>0.20899999999999999</v>
      </c>
      <c r="H619" s="5">
        <v>0</v>
      </c>
      <c r="I619" s="5">
        <v>3184.75</v>
      </c>
      <c r="J619" s="5">
        <v>0</v>
      </c>
      <c r="K619" s="5">
        <v>122</v>
      </c>
      <c r="L619" s="5">
        <v>1</v>
      </c>
      <c r="M619" s="5">
        <v>2</v>
      </c>
      <c r="N619" s="5">
        <v>1</v>
      </c>
      <c r="O619" s="5">
        <v>850</v>
      </c>
      <c r="P619" s="6">
        <v>0</v>
      </c>
    </row>
    <row r="620" spans="1:16" ht="23.4" x14ac:dyDescent="0.45">
      <c r="A620" s="4" t="s">
        <v>622</v>
      </c>
      <c r="B620" s="5" t="s">
        <v>4</v>
      </c>
      <c r="C620" s="5">
        <v>129011.12</v>
      </c>
      <c r="D620" s="5">
        <v>47</v>
      </c>
      <c r="E620" s="5">
        <v>0</v>
      </c>
      <c r="F620" s="5">
        <v>0.3513</v>
      </c>
      <c r="G620" s="5">
        <v>0.40289999999999998</v>
      </c>
      <c r="H620" s="5">
        <v>7</v>
      </c>
      <c r="I620" s="5">
        <v>50236.49</v>
      </c>
      <c r="J620" s="5">
        <v>18349.88</v>
      </c>
      <c r="K620" s="5">
        <v>174</v>
      </c>
      <c r="L620" s="5">
        <v>1</v>
      </c>
      <c r="M620" s="5">
        <v>2</v>
      </c>
      <c r="N620" s="5">
        <v>0</v>
      </c>
      <c r="O620" s="5">
        <v>701.77</v>
      </c>
      <c r="P620" s="6">
        <v>0</v>
      </c>
    </row>
    <row r="621" spans="1:16" ht="23.4" x14ac:dyDescent="0.45">
      <c r="A621" s="4" t="s">
        <v>623</v>
      </c>
      <c r="B621" s="5" t="s">
        <v>1</v>
      </c>
      <c r="C621" s="5">
        <v>78850.649999999994</v>
      </c>
      <c r="D621" s="5">
        <v>38</v>
      </c>
      <c r="E621" s="5">
        <v>1</v>
      </c>
      <c r="F621" s="5">
        <v>0.88380000000000003</v>
      </c>
      <c r="G621" s="5">
        <v>0.19109999999999999</v>
      </c>
      <c r="H621" s="5">
        <v>1</v>
      </c>
      <c r="I621" s="5">
        <v>10237.34</v>
      </c>
      <c r="J621" s="5">
        <v>5180.12</v>
      </c>
      <c r="K621" s="5">
        <v>132</v>
      </c>
      <c r="L621" s="5">
        <v>2</v>
      </c>
      <c r="M621" s="5">
        <v>2</v>
      </c>
      <c r="N621" s="5">
        <v>0</v>
      </c>
      <c r="O621" s="5">
        <v>612.79</v>
      </c>
      <c r="P621" s="6">
        <v>0</v>
      </c>
    </row>
    <row r="622" spans="1:16" ht="23.4" x14ac:dyDescent="0.45">
      <c r="A622" s="4" t="s">
        <v>624</v>
      </c>
      <c r="B622" s="5" t="s">
        <v>15</v>
      </c>
      <c r="C622" s="5">
        <v>91807.7</v>
      </c>
      <c r="D622" s="5">
        <v>70</v>
      </c>
      <c r="E622" s="5">
        <v>0</v>
      </c>
      <c r="F622" s="5">
        <v>0.4632</v>
      </c>
      <c r="G622" s="5">
        <v>0.2742</v>
      </c>
      <c r="H622" s="5">
        <v>4</v>
      </c>
      <c r="I622" s="5">
        <v>24860.959999999999</v>
      </c>
      <c r="J622" s="5">
        <v>24050.62</v>
      </c>
      <c r="K622" s="5">
        <v>124</v>
      </c>
      <c r="L622" s="5">
        <v>1</v>
      </c>
      <c r="M622" s="5">
        <v>2</v>
      </c>
      <c r="N622" s="5">
        <v>1</v>
      </c>
      <c r="O622" s="5">
        <v>630.15</v>
      </c>
      <c r="P622" s="6">
        <v>0</v>
      </c>
    </row>
    <row r="623" spans="1:16" ht="23.4" x14ac:dyDescent="0.45">
      <c r="A623" s="4" t="s">
        <v>625</v>
      </c>
      <c r="B623" s="5" t="s">
        <v>1</v>
      </c>
      <c r="C623" s="5">
        <v>99790.63</v>
      </c>
      <c r="D623" s="5">
        <v>33</v>
      </c>
      <c r="E623" s="5">
        <v>1</v>
      </c>
      <c r="F623" s="5">
        <v>0.67659999999999998</v>
      </c>
      <c r="G623" s="5">
        <v>0.42220000000000002</v>
      </c>
      <c r="H623" s="5">
        <v>6</v>
      </c>
      <c r="I623" s="5">
        <v>64221.51</v>
      </c>
      <c r="J623" s="5">
        <v>36876.720000000001</v>
      </c>
      <c r="K623" s="5">
        <v>130</v>
      </c>
      <c r="L623" s="5">
        <v>2</v>
      </c>
      <c r="M623" s="5">
        <v>1</v>
      </c>
      <c r="N623" s="5">
        <v>1</v>
      </c>
      <c r="O623" s="5">
        <v>785.65</v>
      </c>
      <c r="P623" s="6">
        <v>0</v>
      </c>
    </row>
    <row r="624" spans="1:16" ht="23.4" x14ac:dyDescent="0.45">
      <c r="A624" s="4" t="s">
        <v>626</v>
      </c>
      <c r="B624" s="5" t="s">
        <v>9</v>
      </c>
      <c r="C624" s="5">
        <v>43070.22</v>
      </c>
      <c r="D624" s="5">
        <v>38</v>
      </c>
      <c r="E624" s="5">
        <v>1</v>
      </c>
      <c r="F624" s="5">
        <v>0.78610000000000002</v>
      </c>
      <c r="G624" s="5">
        <v>0.48320000000000002</v>
      </c>
      <c r="H624" s="5">
        <v>2</v>
      </c>
      <c r="I624" s="5">
        <v>27671.18</v>
      </c>
      <c r="J624" s="5">
        <v>20185.96</v>
      </c>
      <c r="K624" s="5">
        <v>81</v>
      </c>
      <c r="L624" s="5">
        <v>1</v>
      </c>
      <c r="M624" s="5">
        <v>2</v>
      </c>
      <c r="N624" s="5">
        <v>0</v>
      </c>
      <c r="O624" s="5">
        <v>701.4</v>
      </c>
      <c r="P624" s="6">
        <v>0</v>
      </c>
    </row>
    <row r="625" spans="1:16" ht="23.4" x14ac:dyDescent="0.45">
      <c r="A625" s="4" t="s">
        <v>627</v>
      </c>
      <c r="B625" s="5" t="s">
        <v>4</v>
      </c>
      <c r="C625" s="5">
        <v>84050.39</v>
      </c>
      <c r="D625" s="5">
        <v>49</v>
      </c>
      <c r="E625" s="5">
        <v>0</v>
      </c>
      <c r="F625" s="5">
        <v>0.61219999999999997</v>
      </c>
      <c r="G625" s="5">
        <v>0.53590000000000004</v>
      </c>
      <c r="H625" s="5">
        <v>6</v>
      </c>
      <c r="I625" s="5">
        <v>49876.36</v>
      </c>
      <c r="J625" s="5">
        <v>34771.800000000003</v>
      </c>
      <c r="K625" s="5">
        <v>168</v>
      </c>
      <c r="L625" s="5">
        <v>3</v>
      </c>
      <c r="M625" s="5">
        <v>2</v>
      </c>
      <c r="N625" s="5">
        <v>1</v>
      </c>
      <c r="O625" s="5">
        <v>771.19</v>
      </c>
      <c r="P625" s="6">
        <v>0</v>
      </c>
    </row>
    <row r="626" spans="1:16" ht="23.4" x14ac:dyDescent="0.45">
      <c r="A626" s="4" t="s">
        <v>628</v>
      </c>
      <c r="B626" s="5" t="s">
        <v>9</v>
      </c>
      <c r="C626" s="5">
        <v>60132.55</v>
      </c>
      <c r="D626" s="5">
        <v>24</v>
      </c>
      <c r="E626" s="5">
        <v>0</v>
      </c>
      <c r="F626" s="5">
        <v>0.80889999999999995</v>
      </c>
      <c r="G626" s="5">
        <v>0.33560000000000001</v>
      </c>
      <c r="H626" s="5">
        <v>2</v>
      </c>
      <c r="I626" s="5">
        <v>12953.58</v>
      </c>
      <c r="J626" s="5">
        <v>13112.78</v>
      </c>
      <c r="K626" s="5">
        <v>69</v>
      </c>
      <c r="L626" s="5">
        <v>2</v>
      </c>
      <c r="M626" s="5">
        <v>1</v>
      </c>
      <c r="N626" s="5">
        <v>0</v>
      </c>
      <c r="O626" s="5">
        <v>560.94000000000005</v>
      </c>
      <c r="P626" s="6">
        <v>0</v>
      </c>
    </row>
    <row r="627" spans="1:16" ht="23.4" x14ac:dyDescent="0.45">
      <c r="A627" s="4" t="s">
        <v>629</v>
      </c>
      <c r="B627" s="5" t="s">
        <v>9</v>
      </c>
      <c r="C627" s="5">
        <v>154041.45000000001</v>
      </c>
      <c r="D627" s="5">
        <v>33</v>
      </c>
      <c r="E627" s="5">
        <v>0</v>
      </c>
      <c r="F627" s="5">
        <v>0.66920000000000002</v>
      </c>
      <c r="G627" s="5">
        <v>0.31830000000000003</v>
      </c>
      <c r="H627" s="5">
        <v>3</v>
      </c>
      <c r="I627" s="5">
        <v>47296.76</v>
      </c>
      <c r="J627" s="5">
        <v>37619.46</v>
      </c>
      <c r="K627" s="5">
        <v>48</v>
      </c>
      <c r="L627" s="5">
        <v>1</v>
      </c>
      <c r="M627" s="5">
        <v>2</v>
      </c>
      <c r="N627" s="5">
        <v>2</v>
      </c>
      <c r="O627" s="5">
        <v>628.66999999999996</v>
      </c>
      <c r="P627" s="6">
        <v>0</v>
      </c>
    </row>
    <row r="628" spans="1:16" ht="23.4" x14ac:dyDescent="0.45">
      <c r="A628" s="4" t="s">
        <v>630</v>
      </c>
      <c r="B628" s="5" t="s">
        <v>18</v>
      </c>
      <c r="C628" s="5">
        <v>45956.03</v>
      </c>
      <c r="D628" s="5">
        <v>55</v>
      </c>
      <c r="E628" s="5">
        <v>1</v>
      </c>
      <c r="F628" s="5">
        <v>0.49980000000000002</v>
      </c>
      <c r="G628" s="5">
        <v>0.19120000000000001</v>
      </c>
      <c r="H628" s="5">
        <v>3</v>
      </c>
      <c r="I628" s="5">
        <v>9568.58</v>
      </c>
      <c r="J628" s="5">
        <v>9502.26</v>
      </c>
      <c r="K628" s="5">
        <v>88</v>
      </c>
      <c r="L628" s="5">
        <v>1</v>
      </c>
      <c r="M628" s="5">
        <v>1</v>
      </c>
      <c r="N628" s="5">
        <v>0</v>
      </c>
      <c r="O628" s="5">
        <v>643.66999999999996</v>
      </c>
      <c r="P628" s="6">
        <v>0</v>
      </c>
    </row>
    <row r="629" spans="1:16" ht="23.4" x14ac:dyDescent="0.45">
      <c r="A629" s="4" t="s">
        <v>631</v>
      </c>
      <c r="B629" s="5" t="s">
        <v>1</v>
      </c>
      <c r="C629" s="5">
        <v>121980.22</v>
      </c>
      <c r="D629" s="5">
        <v>38</v>
      </c>
      <c r="E629" s="5">
        <v>1</v>
      </c>
      <c r="F629" s="5">
        <v>0.58709999999999996</v>
      </c>
      <c r="G629" s="5">
        <v>0.20599999999999999</v>
      </c>
      <c r="H629" s="5">
        <v>3</v>
      </c>
      <c r="I629" s="5">
        <v>29448.65</v>
      </c>
      <c r="J629" s="5">
        <v>15255.21</v>
      </c>
      <c r="K629" s="5">
        <v>32</v>
      </c>
      <c r="L629" s="5">
        <v>2</v>
      </c>
      <c r="M629" s="5">
        <v>2</v>
      </c>
      <c r="N629" s="5">
        <v>2</v>
      </c>
      <c r="O629" s="5">
        <v>780.86</v>
      </c>
      <c r="P629" s="6">
        <v>0</v>
      </c>
    </row>
    <row r="630" spans="1:16" ht="23.4" x14ac:dyDescent="0.45">
      <c r="A630" s="4" t="s">
        <v>632</v>
      </c>
      <c r="B630" s="5" t="s">
        <v>18</v>
      </c>
      <c r="C630" s="5">
        <v>89755.25</v>
      </c>
      <c r="D630" s="5">
        <v>41</v>
      </c>
      <c r="E630" s="5">
        <v>1</v>
      </c>
      <c r="F630" s="5">
        <v>0.78920000000000001</v>
      </c>
      <c r="G630" s="5">
        <v>0.7833</v>
      </c>
      <c r="H630" s="5">
        <v>4</v>
      </c>
      <c r="I630" s="5">
        <v>52720.160000000003</v>
      </c>
      <c r="J630" s="5">
        <v>18460.599999999999</v>
      </c>
      <c r="K630" s="5">
        <v>40</v>
      </c>
      <c r="L630" s="5">
        <v>1</v>
      </c>
      <c r="M630" s="5">
        <v>2</v>
      </c>
      <c r="N630" s="5">
        <v>2</v>
      </c>
      <c r="O630" s="5">
        <v>633.5</v>
      </c>
      <c r="P630" s="6">
        <v>0</v>
      </c>
    </row>
    <row r="631" spans="1:16" ht="23.4" x14ac:dyDescent="0.45">
      <c r="A631" s="4" t="s">
        <v>633</v>
      </c>
      <c r="B631" s="5" t="s">
        <v>1</v>
      </c>
      <c r="C631" s="5">
        <v>170001.26</v>
      </c>
      <c r="D631" s="5">
        <v>42</v>
      </c>
      <c r="E631" s="5">
        <v>1</v>
      </c>
      <c r="F631" s="5">
        <v>1</v>
      </c>
      <c r="G631" s="5">
        <v>0.46100000000000002</v>
      </c>
      <c r="H631" s="5">
        <v>1</v>
      </c>
      <c r="I631" s="5">
        <v>84033.63</v>
      </c>
      <c r="J631" s="5">
        <v>66740.25</v>
      </c>
      <c r="K631" s="5">
        <v>9</v>
      </c>
      <c r="L631" s="5">
        <v>1</v>
      </c>
      <c r="M631" s="5">
        <v>2</v>
      </c>
      <c r="N631" s="5">
        <v>2</v>
      </c>
      <c r="O631" s="5">
        <v>662.22</v>
      </c>
      <c r="P631" s="6">
        <v>0</v>
      </c>
    </row>
    <row r="632" spans="1:16" ht="23.4" x14ac:dyDescent="0.45">
      <c r="A632" s="4" t="s">
        <v>634</v>
      </c>
      <c r="B632" s="5" t="s">
        <v>6</v>
      </c>
      <c r="C632" s="5">
        <v>84255.07</v>
      </c>
      <c r="D632" s="5">
        <v>60</v>
      </c>
      <c r="E632" s="5">
        <v>1</v>
      </c>
      <c r="F632" s="5">
        <v>0.3644</v>
      </c>
      <c r="G632" s="5">
        <v>0.51939999999999997</v>
      </c>
      <c r="H632" s="5">
        <v>4</v>
      </c>
      <c r="I632" s="5">
        <v>33688.25</v>
      </c>
      <c r="J632" s="5">
        <v>18429.16</v>
      </c>
      <c r="K632" s="5">
        <v>102</v>
      </c>
      <c r="L632" s="5">
        <v>1</v>
      </c>
      <c r="M632" s="5">
        <v>1</v>
      </c>
      <c r="N632" s="5">
        <v>2</v>
      </c>
      <c r="O632" s="5">
        <v>533.91999999999996</v>
      </c>
      <c r="P632" s="6">
        <v>0</v>
      </c>
    </row>
    <row r="633" spans="1:16" ht="23.4" x14ac:dyDescent="0.45">
      <c r="A633" s="4" t="s">
        <v>635</v>
      </c>
      <c r="B633" s="5" t="s">
        <v>4</v>
      </c>
      <c r="C633" s="5">
        <v>27186.35</v>
      </c>
      <c r="D633" s="5">
        <v>42</v>
      </c>
      <c r="E633" s="5">
        <v>1</v>
      </c>
      <c r="F633" s="5">
        <v>0.81620000000000004</v>
      </c>
      <c r="G633" s="5">
        <v>0.56330000000000002</v>
      </c>
      <c r="H633" s="5">
        <v>3</v>
      </c>
      <c r="I633" s="5">
        <v>11162.92</v>
      </c>
      <c r="J633" s="5">
        <v>10259.11</v>
      </c>
      <c r="K633" s="5">
        <v>79</v>
      </c>
      <c r="L633" s="5">
        <v>3</v>
      </c>
      <c r="M633" s="5">
        <v>1</v>
      </c>
      <c r="N633" s="5">
        <v>1</v>
      </c>
      <c r="O633" s="5">
        <v>642.89</v>
      </c>
      <c r="P633" s="6">
        <v>0</v>
      </c>
    </row>
    <row r="634" spans="1:16" ht="23.4" x14ac:dyDescent="0.45">
      <c r="A634" s="4" t="s">
        <v>636</v>
      </c>
      <c r="B634" s="5" t="s">
        <v>6</v>
      </c>
      <c r="C634" s="5">
        <v>94112.14</v>
      </c>
      <c r="D634" s="5">
        <v>63</v>
      </c>
      <c r="E634" s="5">
        <v>0</v>
      </c>
      <c r="F634" s="5">
        <v>0.7641</v>
      </c>
      <c r="G634" s="5">
        <v>0.84830000000000005</v>
      </c>
      <c r="H634" s="5">
        <v>4</v>
      </c>
      <c r="I634" s="5">
        <v>76315.86</v>
      </c>
      <c r="J634" s="5">
        <v>48497.89</v>
      </c>
      <c r="K634" s="5">
        <v>103</v>
      </c>
      <c r="L634" s="5">
        <v>2</v>
      </c>
      <c r="M634" s="5">
        <v>1</v>
      </c>
      <c r="N634" s="5">
        <v>1</v>
      </c>
      <c r="O634" s="5">
        <v>737.95</v>
      </c>
      <c r="P634" s="6">
        <v>0</v>
      </c>
    </row>
    <row r="635" spans="1:16" ht="23.4" x14ac:dyDescent="0.45">
      <c r="A635" s="4" t="s">
        <v>637</v>
      </c>
      <c r="B635" s="5" t="s">
        <v>15</v>
      </c>
      <c r="C635" s="5">
        <v>110673.42</v>
      </c>
      <c r="D635" s="5">
        <v>24</v>
      </c>
      <c r="E635" s="5">
        <v>0</v>
      </c>
      <c r="F635" s="5">
        <v>0.62660000000000005</v>
      </c>
      <c r="G635" s="5">
        <v>0.29680000000000001</v>
      </c>
      <c r="H635" s="5">
        <v>2</v>
      </c>
      <c r="I635" s="5">
        <v>39154.43</v>
      </c>
      <c r="J635" s="5">
        <v>12869.24</v>
      </c>
      <c r="K635" s="5">
        <v>58</v>
      </c>
      <c r="L635" s="5">
        <v>1</v>
      </c>
      <c r="M635" s="5">
        <v>1</v>
      </c>
      <c r="N635" s="5">
        <v>1</v>
      </c>
      <c r="O635" s="5">
        <v>639.23</v>
      </c>
      <c r="P635" s="6">
        <v>0</v>
      </c>
    </row>
    <row r="636" spans="1:16" ht="23.4" x14ac:dyDescent="0.45">
      <c r="A636" s="4" t="s">
        <v>638</v>
      </c>
      <c r="B636" s="5" t="s">
        <v>1</v>
      </c>
      <c r="C636" s="5">
        <v>84028.19</v>
      </c>
      <c r="D636" s="5">
        <v>32</v>
      </c>
      <c r="E636" s="5">
        <v>1</v>
      </c>
      <c r="F636" s="5">
        <v>0.55249999999999999</v>
      </c>
      <c r="G636" s="5">
        <v>0.23280000000000001</v>
      </c>
      <c r="H636" s="5">
        <v>1</v>
      </c>
      <c r="I636" s="5">
        <v>500</v>
      </c>
      <c r="J636" s="5">
        <v>0</v>
      </c>
      <c r="K636" s="5">
        <v>57</v>
      </c>
      <c r="L636" s="5">
        <v>1</v>
      </c>
      <c r="M636" s="5">
        <v>2</v>
      </c>
      <c r="N636" s="5">
        <v>0</v>
      </c>
      <c r="O636" s="5">
        <v>757.24</v>
      </c>
      <c r="P636" s="6">
        <v>0</v>
      </c>
    </row>
    <row r="637" spans="1:16" ht="23.4" x14ac:dyDescent="0.45">
      <c r="A637" s="4" t="s">
        <v>639</v>
      </c>
      <c r="B637" s="5" t="s">
        <v>1</v>
      </c>
      <c r="C637" s="5">
        <v>82217.78</v>
      </c>
      <c r="D637" s="5">
        <v>49</v>
      </c>
      <c r="E637" s="5">
        <v>1</v>
      </c>
      <c r="F637" s="5">
        <v>0.45750000000000002</v>
      </c>
      <c r="G637" s="5">
        <v>0.56000000000000005</v>
      </c>
      <c r="H637" s="5">
        <v>2</v>
      </c>
      <c r="I637" s="5">
        <v>49591.17</v>
      </c>
      <c r="J637" s="5">
        <v>37702.54</v>
      </c>
      <c r="K637" s="5">
        <v>103</v>
      </c>
      <c r="L637" s="5">
        <v>2</v>
      </c>
      <c r="M637" s="5">
        <v>1</v>
      </c>
      <c r="N637" s="5">
        <v>2</v>
      </c>
      <c r="O637" s="5">
        <v>640.38</v>
      </c>
      <c r="P637" s="6">
        <v>0</v>
      </c>
    </row>
    <row r="638" spans="1:16" ht="23.4" x14ac:dyDescent="0.45">
      <c r="A638" s="4" t="s">
        <v>640</v>
      </c>
      <c r="B638" s="5" t="s">
        <v>15</v>
      </c>
      <c r="C638" s="5">
        <v>34458.449999999997</v>
      </c>
      <c r="D638" s="5">
        <v>32</v>
      </c>
      <c r="E638" s="5">
        <v>0</v>
      </c>
      <c r="F638" s="5">
        <v>0.64119999999999999</v>
      </c>
      <c r="G638" s="5">
        <v>0.38719999999999999</v>
      </c>
      <c r="H638" s="5">
        <v>5</v>
      </c>
      <c r="I638" s="5">
        <v>500</v>
      </c>
      <c r="J638" s="5">
        <v>2558.04</v>
      </c>
      <c r="K638" s="5">
        <v>161</v>
      </c>
      <c r="L638" s="5">
        <v>2</v>
      </c>
      <c r="M638" s="5">
        <v>1</v>
      </c>
      <c r="N638" s="5">
        <v>1</v>
      </c>
      <c r="O638" s="5">
        <v>740.66</v>
      </c>
      <c r="P638" s="6">
        <v>1</v>
      </c>
    </row>
    <row r="639" spans="1:16" ht="23.4" x14ac:dyDescent="0.45">
      <c r="A639" s="4" t="s">
        <v>641</v>
      </c>
      <c r="B639" s="5" t="s">
        <v>18</v>
      </c>
      <c r="C639" s="5">
        <v>184418.19</v>
      </c>
      <c r="D639" s="5">
        <v>53</v>
      </c>
      <c r="E639" s="5">
        <v>0</v>
      </c>
      <c r="F639" s="5">
        <v>0.67620000000000002</v>
      </c>
      <c r="G639" s="5">
        <v>0.1598</v>
      </c>
      <c r="H639" s="5">
        <v>0</v>
      </c>
      <c r="I639" s="5">
        <v>38240.74</v>
      </c>
      <c r="J639" s="5">
        <v>15248.85</v>
      </c>
      <c r="K639" s="5">
        <v>104</v>
      </c>
      <c r="L639" s="5">
        <v>2</v>
      </c>
      <c r="M639" s="5">
        <v>2</v>
      </c>
      <c r="N639" s="5">
        <v>1</v>
      </c>
      <c r="O639" s="5">
        <v>779.08</v>
      </c>
      <c r="P639" s="6">
        <v>0</v>
      </c>
    </row>
    <row r="640" spans="1:16" ht="23.4" x14ac:dyDescent="0.45">
      <c r="A640" s="4" t="s">
        <v>642</v>
      </c>
      <c r="B640" s="5" t="s">
        <v>18</v>
      </c>
      <c r="C640" s="5">
        <v>188537.3</v>
      </c>
      <c r="D640" s="5">
        <v>45</v>
      </c>
      <c r="E640" s="5">
        <v>1</v>
      </c>
      <c r="F640" s="5">
        <v>0.80900000000000005</v>
      </c>
      <c r="G640" s="5">
        <v>0.53549999999999998</v>
      </c>
      <c r="H640" s="5">
        <v>3</v>
      </c>
      <c r="I640" s="5">
        <v>104019.26</v>
      </c>
      <c r="J640" s="5">
        <v>55259.15</v>
      </c>
      <c r="K640" s="5">
        <v>95</v>
      </c>
      <c r="L640" s="5">
        <v>2</v>
      </c>
      <c r="M640" s="5">
        <v>1</v>
      </c>
      <c r="N640" s="5">
        <v>1</v>
      </c>
      <c r="O640" s="5">
        <v>675.51</v>
      </c>
      <c r="P640" s="6">
        <v>0</v>
      </c>
    </row>
    <row r="641" spans="1:16" ht="23.4" x14ac:dyDescent="0.45">
      <c r="A641" s="4" t="s">
        <v>643</v>
      </c>
      <c r="B641" s="5" t="s">
        <v>1</v>
      </c>
      <c r="C641" s="5">
        <v>28373.86</v>
      </c>
      <c r="D641" s="5">
        <v>68</v>
      </c>
      <c r="E641" s="5">
        <v>1</v>
      </c>
      <c r="F641" s="5">
        <v>0.7046</v>
      </c>
      <c r="G641" s="5">
        <v>0.68489999999999995</v>
      </c>
      <c r="H641" s="5">
        <v>6</v>
      </c>
      <c r="I641" s="5">
        <v>12704.1</v>
      </c>
      <c r="J641" s="5">
        <v>8145.79</v>
      </c>
      <c r="K641" s="5">
        <v>176</v>
      </c>
      <c r="L641" s="5">
        <v>2</v>
      </c>
      <c r="M641" s="5">
        <v>1</v>
      </c>
      <c r="N641" s="5">
        <v>1</v>
      </c>
      <c r="O641" s="5">
        <v>665.93</v>
      </c>
      <c r="P641" s="6">
        <v>0</v>
      </c>
    </row>
    <row r="642" spans="1:16" ht="23.4" x14ac:dyDescent="0.45">
      <c r="A642" s="4" t="s">
        <v>644</v>
      </c>
      <c r="B642" s="5" t="s">
        <v>4</v>
      </c>
      <c r="C642" s="5">
        <v>88354.1</v>
      </c>
      <c r="D642" s="5">
        <v>63</v>
      </c>
      <c r="E642" s="5">
        <v>1</v>
      </c>
      <c r="F642" s="5">
        <v>0.97140000000000004</v>
      </c>
      <c r="G642" s="5">
        <v>0.4214</v>
      </c>
      <c r="H642" s="5">
        <v>2</v>
      </c>
      <c r="I642" s="5">
        <v>40068.620000000003</v>
      </c>
      <c r="J642" s="5">
        <v>20192.810000000001</v>
      </c>
      <c r="K642" s="5">
        <v>104</v>
      </c>
      <c r="L642" s="5">
        <v>2</v>
      </c>
      <c r="M642" s="5">
        <v>2</v>
      </c>
      <c r="N642" s="5">
        <v>2</v>
      </c>
      <c r="O642" s="5">
        <v>694.31</v>
      </c>
      <c r="P642" s="6">
        <v>0</v>
      </c>
    </row>
    <row r="643" spans="1:16" ht="23.4" x14ac:dyDescent="0.45">
      <c r="A643" s="4" t="s">
        <v>645</v>
      </c>
      <c r="B643" s="5" t="s">
        <v>6</v>
      </c>
      <c r="C643" s="5">
        <v>86616.87</v>
      </c>
      <c r="D643" s="5">
        <v>48</v>
      </c>
      <c r="E643" s="5">
        <v>1</v>
      </c>
      <c r="F643" s="5">
        <v>0.69689999999999996</v>
      </c>
      <c r="G643" s="5">
        <v>0.61209999999999998</v>
      </c>
      <c r="H643" s="5">
        <v>6</v>
      </c>
      <c r="I643" s="5">
        <v>48580.13</v>
      </c>
      <c r="J643" s="5">
        <v>27889.42</v>
      </c>
      <c r="K643" s="5">
        <v>111</v>
      </c>
      <c r="L643" s="5">
        <v>3</v>
      </c>
      <c r="M643" s="5">
        <v>3</v>
      </c>
      <c r="N643" s="5">
        <v>2</v>
      </c>
      <c r="O643" s="5">
        <v>719.25</v>
      </c>
      <c r="P643" s="6">
        <v>0</v>
      </c>
    </row>
    <row r="644" spans="1:16" ht="23.4" x14ac:dyDescent="0.45">
      <c r="A644" s="4" t="s">
        <v>646</v>
      </c>
      <c r="B644" s="5" t="s">
        <v>6</v>
      </c>
      <c r="C644" s="5">
        <v>17798.689999999999</v>
      </c>
      <c r="D644" s="5">
        <v>30</v>
      </c>
      <c r="E644" s="5">
        <v>0</v>
      </c>
      <c r="F644" s="5">
        <v>0.54249999999999998</v>
      </c>
      <c r="G644" s="5">
        <v>0.37959999999999999</v>
      </c>
      <c r="H644" s="5">
        <v>4</v>
      </c>
      <c r="I644" s="5">
        <v>6505.96</v>
      </c>
      <c r="J644" s="5">
        <v>0</v>
      </c>
      <c r="K644" s="5">
        <v>7</v>
      </c>
      <c r="L644" s="5">
        <v>4</v>
      </c>
      <c r="M644" s="5">
        <v>2</v>
      </c>
      <c r="N644" s="5">
        <v>0</v>
      </c>
      <c r="O644" s="5">
        <v>768.59</v>
      </c>
      <c r="P644" s="6">
        <v>0</v>
      </c>
    </row>
    <row r="645" spans="1:16" ht="23.4" x14ac:dyDescent="0.45">
      <c r="A645" s="4" t="s">
        <v>647</v>
      </c>
      <c r="B645" s="5" t="s">
        <v>18</v>
      </c>
      <c r="C645" s="5">
        <v>119518.07</v>
      </c>
      <c r="D645" s="5">
        <v>62</v>
      </c>
      <c r="E645" s="5">
        <v>0</v>
      </c>
      <c r="F645" s="5">
        <v>0.64929999999999999</v>
      </c>
      <c r="G645" s="5">
        <v>0.65780000000000005</v>
      </c>
      <c r="H645" s="5">
        <v>4</v>
      </c>
      <c r="I645" s="5">
        <v>87242.09</v>
      </c>
      <c r="J645" s="5">
        <v>63693.46</v>
      </c>
      <c r="K645" s="5">
        <v>134</v>
      </c>
      <c r="L645" s="5">
        <v>3</v>
      </c>
      <c r="M645" s="5">
        <v>1</v>
      </c>
      <c r="N645" s="5">
        <v>2</v>
      </c>
      <c r="O645" s="5">
        <v>727.06</v>
      </c>
      <c r="P645" s="6">
        <v>0</v>
      </c>
    </row>
    <row r="646" spans="1:16" ht="23.4" x14ac:dyDescent="0.45">
      <c r="A646" s="4" t="s">
        <v>648</v>
      </c>
      <c r="B646" s="5" t="s">
        <v>1</v>
      </c>
      <c r="C646" s="5">
        <v>116646.49</v>
      </c>
      <c r="D646" s="5">
        <v>69</v>
      </c>
      <c r="E646" s="5">
        <v>0</v>
      </c>
      <c r="F646" s="5">
        <v>0.746</v>
      </c>
      <c r="G646" s="5">
        <v>0.65469999999999995</v>
      </c>
      <c r="H646" s="5">
        <v>9</v>
      </c>
      <c r="I646" s="5">
        <v>87562.58</v>
      </c>
      <c r="J646" s="5">
        <v>54927.43</v>
      </c>
      <c r="K646" s="5">
        <v>165</v>
      </c>
      <c r="L646" s="5">
        <v>1</v>
      </c>
      <c r="M646" s="5">
        <v>2</v>
      </c>
      <c r="N646" s="5">
        <v>0</v>
      </c>
      <c r="O646" s="5">
        <v>713.72</v>
      </c>
      <c r="P646" s="6">
        <v>1</v>
      </c>
    </row>
    <row r="647" spans="1:16" ht="23.4" x14ac:dyDescent="0.45">
      <c r="A647" s="4" t="s">
        <v>649</v>
      </c>
      <c r="B647" s="5" t="s">
        <v>4</v>
      </c>
      <c r="C647" s="5">
        <v>101910.39</v>
      </c>
      <c r="D647" s="5">
        <v>22</v>
      </c>
      <c r="E647" s="5">
        <v>1</v>
      </c>
      <c r="F647" s="5">
        <v>0.50419999999999998</v>
      </c>
      <c r="G647" s="5">
        <v>0.25390000000000001</v>
      </c>
      <c r="H647" s="5">
        <v>1</v>
      </c>
      <c r="I647" s="5">
        <v>19759.46</v>
      </c>
      <c r="J647" s="5">
        <v>24273.7</v>
      </c>
      <c r="K647" s="5">
        <v>7</v>
      </c>
      <c r="L647" s="5">
        <v>2</v>
      </c>
      <c r="M647" s="5">
        <v>2</v>
      </c>
      <c r="N647" s="5">
        <v>0</v>
      </c>
      <c r="O647" s="5">
        <v>727.68</v>
      </c>
      <c r="P647" s="6">
        <v>0</v>
      </c>
    </row>
    <row r="648" spans="1:16" ht="23.4" x14ac:dyDescent="0.45">
      <c r="A648" s="4" t="s">
        <v>650</v>
      </c>
      <c r="B648" s="5" t="s">
        <v>1</v>
      </c>
      <c r="C648" s="5">
        <v>101336.66</v>
      </c>
      <c r="D648" s="5">
        <v>54</v>
      </c>
      <c r="E648" s="5">
        <v>0</v>
      </c>
      <c r="F648" s="5">
        <v>0.51249999999999996</v>
      </c>
      <c r="G648" s="5">
        <v>0.82179999999999997</v>
      </c>
      <c r="H648" s="5">
        <v>4</v>
      </c>
      <c r="I648" s="5">
        <v>98738.2</v>
      </c>
      <c r="J648" s="5">
        <v>55990.84</v>
      </c>
      <c r="K648" s="5">
        <v>92</v>
      </c>
      <c r="L648" s="5">
        <v>2</v>
      </c>
      <c r="M648" s="5">
        <v>1</v>
      </c>
      <c r="N648" s="5">
        <v>1</v>
      </c>
      <c r="O648" s="5">
        <v>616.94000000000005</v>
      </c>
      <c r="P648" s="6">
        <v>0</v>
      </c>
    </row>
    <row r="649" spans="1:16" ht="23.4" x14ac:dyDescent="0.45">
      <c r="A649" s="4" t="s">
        <v>651</v>
      </c>
      <c r="B649" s="5" t="s">
        <v>4</v>
      </c>
      <c r="C649" s="5">
        <v>122652.85</v>
      </c>
      <c r="D649" s="5">
        <v>44</v>
      </c>
      <c r="E649" s="5">
        <v>0</v>
      </c>
      <c r="F649" s="5">
        <v>0.6008</v>
      </c>
      <c r="G649" s="5">
        <v>0.19009999999999999</v>
      </c>
      <c r="H649" s="5">
        <v>3</v>
      </c>
      <c r="I649" s="5">
        <v>28267.89</v>
      </c>
      <c r="J649" s="5">
        <v>16324.49</v>
      </c>
      <c r="K649" s="5">
        <v>122</v>
      </c>
      <c r="L649" s="5">
        <v>3</v>
      </c>
      <c r="M649" s="5">
        <v>1</v>
      </c>
      <c r="N649" s="5">
        <v>2</v>
      </c>
      <c r="O649" s="5">
        <v>731.03</v>
      </c>
      <c r="P649" s="6">
        <v>0</v>
      </c>
    </row>
    <row r="650" spans="1:16" ht="23.4" x14ac:dyDescent="0.45">
      <c r="A650" s="4" t="s">
        <v>652</v>
      </c>
      <c r="B650" s="5" t="s">
        <v>6</v>
      </c>
      <c r="C650" s="5">
        <v>112745.58</v>
      </c>
      <c r="D650" s="5">
        <v>54</v>
      </c>
      <c r="E650" s="5">
        <v>1</v>
      </c>
      <c r="F650" s="5">
        <v>0.71650000000000003</v>
      </c>
      <c r="G650" s="5">
        <v>0.32869999999999999</v>
      </c>
      <c r="H650" s="5">
        <v>5</v>
      </c>
      <c r="I650" s="5">
        <v>42769.89</v>
      </c>
      <c r="J650" s="5">
        <v>22327.26</v>
      </c>
      <c r="K650" s="5">
        <v>164</v>
      </c>
      <c r="L650" s="5">
        <v>2</v>
      </c>
      <c r="M650" s="5">
        <v>2</v>
      </c>
      <c r="N650" s="5">
        <v>1</v>
      </c>
      <c r="O650" s="5">
        <v>707.14</v>
      </c>
      <c r="P650" s="6">
        <v>0</v>
      </c>
    </row>
    <row r="651" spans="1:16" ht="23.4" x14ac:dyDescent="0.45">
      <c r="A651" s="4" t="s">
        <v>653</v>
      </c>
      <c r="B651" s="5" t="s">
        <v>15</v>
      </c>
      <c r="C651" s="5">
        <v>86989.18</v>
      </c>
      <c r="D651" s="5">
        <v>41</v>
      </c>
      <c r="E651" s="5">
        <v>0</v>
      </c>
      <c r="F651" s="5">
        <v>0.88800000000000001</v>
      </c>
      <c r="G651" s="5">
        <v>0.42459999999999998</v>
      </c>
      <c r="H651" s="5">
        <v>6</v>
      </c>
      <c r="I651" s="5">
        <v>44660.75</v>
      </c>
      <c r="J651" s="5">
        <v>29765.1</v>
      </c>
      <c r="K651" s="5">
        <v>161</v>
      </c>
      <c r="L651" s="5">
        <v>2</v>
      </c>
      <c r="M651" s="5">
        <v>2</v>
      </c>
      <c r="N651" s="5">
        <v>1</v>
      </c>
      <c r="O651" s="5">
        <v>780.44</v>
      </c>
      <c r="P651" s="6">
        <v>0</v>
      </c>
    </row>
    <row r="652" spans="1:16" ht="23.4" x14ac:dyDescent="0.45">
      <c r="A652" s="4" t="s">
        <v>654</v>
      </c>
      <c r="B652" s="5" t="s">
        <v>4</v>
      </c>
      <c r="C652" s="5">
        <v>189458.43</v>
      </c>
      <c r="D652" s="5">
        <v>51</v>
      </c>
      <c r="E652" s="5">
        <v>1</v>
      </c>
      <c r="F652" s="5">
        <v>0.52200000000000002</v>
      </c>
      <c r="G652" s="5">
        <v>0.89149999999999996</v>
      </c>
      <c r="H652" s="5">
        <v>5</v>
      </c>
      <c r="I652" s="5">
        <v>189113.56</v>
      </c>
      <c r="J652" s="5">
        <v>107828.04</v>
      </c>
      <c r="K652" s="5">
        <v>81</v>
      </c>
      <c r="L652" s="5">
        <v>2</v>
      </c>
      <c r="M652" s="5">
        <v>2</v>
      </c>
      <c r="N652" s="5">
        <v>2</v>
      </c>
      <c r="O652" s="5">
        <v>716.27</v>
      </c>
      <c r="P652" s="6">
        <v>0</v>
      </c>
    </row>
    <row r="653" spans="1:16" ht="23.4" x14ac:dyDescent="0.45">
      <c r="A653" s="4" t="s">
        <v>655</v>
      </c>
      <c r="B653" s="5" t="s">
        <v>4</v>
      </c>
      <c r="C653" s="5">
        <v>34654.57</v>
      </c>
      <c r="D653" s="5">
        <v>23</v>
      </c>
      <c r="E653" s="5">
        <v>1</v>
      </c>
      <c r="F653" s="5">
        <v>0.94789999999999996</v>
      </c>
      <c r="G653" s="5">
        <v>0.72119999999999995</v>
      </c>
      <c r="H653" s="5">
        <v>3</v>
      </c>
      <c r="I653" s="5">
        <v>46266.18</v>
      </c>
      <c r="J653" s="5">
        <v>20499.79</v>
      </c>
      <c r="K653" s="5">
        <v>49</v>
      </c>
      <c r="L653" s="5">
        <v>3</v>
      </c>
      <c r="M653" s="5">
        <v>3</v>
      </c>
      <c r="N653" s="5">
        <v>1</v>
      </c>
      <c r="O653" s="5">
        <v>669.17</v>
      </c>
      <c r="P653" s="6">
        <v>0</v>
      </c>
    </row>
    <row r="654" spans="1:16" ht="23.4" x14ac:dyDescent="0.45">
      <c r="A654" s="4" t="s">
        <v>656</v>
      </c>
      <c r="B654" s="5" t="s">
        <v>9</v>
      </c>
      <c r="C654" s="5">
        <v>91148.05</v>
      </c>
      <c r="D654" s="5">
        <v>63</v>
      </c>
      <c r="E654" s="5">
        <v>0</v>
      </c>
      <c r="F654" s="5">
        <v>0.82220000000000004</v>
      </c>
      <c r="G654" s="5">
        <v>0.36349999999999999</v>
      </c>
      <c r="H654" s="5">
        <v>1</v>
      </c>
      <c r="I654" s="5">
        <v>36778.79</v>
      </c>
      <c r="J654" s="5">
        <v>26725.43</v>
      </c>
      <c r="K654" s="5">
        <v>89</v>
      </c>
      <c r="L654" s="5">
        <v>3</v>
      </c>
      <c r="M654" s="5">
        <v>2</v>
      </c>
      <c r="N654" s="5">
        <v>0</v>
      </c>
      <c r="O654" s="5">
        <v>716.31</v>
      </c>
      <c r="P654" s="6">
        <v>0</v>
      </c>
    </row>
    <row r="655" spans="1:16" ht="23.4" x14ac:dyDescent="0.45">
      <c r="A655" s="4" t="s">
        <v>657</v>
      </c>
      <c r="B655" s="5" t="s">
        <v>6</v>
      </c>
      <c r="C655" s="5">
        <v>141124.26999999999</v>
      </c>
      <c r="D655" s="5">
        <v>28</v>
      </c>
      <c r="E655" s="5">
        <v>0</v>
      </c>
      <c r="F655" s="5">
        <v>0.4708</v>
      </c>
      <c r="G655" s="5">
        <v>0</v>
      </c>
      <c r="H655" s="5">
        <v>0</v>
      </c>
      <c r="I655" s="5">
        <v>500</v>
      </c>
      <c r="J655" s="5">
        <v>2325.52</v>
      </c>
      <c r="K655" s="5">
        <v>63</v>
      </c>
      <c r="L655" s="5">
        <v>3</v>
      </c>
      <c r="M655" s="5">
        <v>2</v>
      </c>
      <c r="N655" s="5">
        <v>1</v>
      </c>
      <c r="O655" s="5">
        <v>654.71</v>
      </c>
      <c r="P655" s="6">
        <v>0</v>
      </c>
    </row>
    <row r="656" spans="1:16" ht="23.4" x14ac:dyDescent="0.45">
      <c r="A656" s="4" t="s">
        <v>658</v>
      </c>
      <c r="B656" s="5" t="s">
        <v>1</v>
      </c>
      <c r="C656" s="5">
        <v>38775.07</v>
      </c>
      <c r="D656" s="5">
        <v>68</v>
      </c>
      <c r="E656" s="5">
        <v>0</v>
      </c>
      <c r="F656" s="5">
        <v>0.92200000000000004</v>
      </c>
      <c r="G656" s="5">
        <v>0.34310000000000002</v>
      </c>
      <c r="H656" s="5">
        <v>0</v>
      </c>
      <c r="I656" s="5">
        <v>21841.55</v>
      </c>
      <c r="J656" s="5">
        <v>0</v>
      </c>
      <c r="K656" s="5">
        <v>117</v>
      </c>
      <c r="L656" s="5">
        <v>3</v>
      </c>
      <c r="M656" s="5">
        <v>1</v>
      </c>
      <c r="N656" s="5">
        <v>0</v>
      </c>
      <c r="O656" s="5">
        <v>755.28</v>
      </c>
      <c r="P656" s="6">
        <v>0</v>
      </c>
    </row>
    <row r="657" spans="1:16" ht="23.4" x14ac:dyDescent="0.45">
      <c r="A657" s="4" t="s">
        <v>659</v>
      </c>
      <c r="B657" s="5" t="s">
        <v>6</v>
      </c>
      <c r="C657" s="5">
        <v>100179.06</v>
      </c>
      <c r="D657" s="5">
        <v>33</v>
      </c>
      <c r="E657" s="5">
        <v>1</v>
      </c>
      <c r="F657" s="5">
        <v>0.6966</v>
      </c>
      <c r="G657" s="5">
        <v>0.27589999999999998</v>
      </c>
      <c r="H657" s="5">
        <v>0</v>
      </c>
      <c r="I657" s="5">
        <v>49344.55</v>
      </c>
      <c r="J657" s="5">
        <v>43547.08</v>
      </c>
      <c r="K657" s="5">
        <v>6</v>
      </c>
      <c r="L657" s="5">
        <v>1</v>
      </c>
      <c r="M657" s="5">
        <v>2</v>
      </c>
      <c r="N657" s="5">
        <v>0</v>
      </c>
      <c r="O657" s="5">
        <v>689.13</v>
      </c>
      <c r="P657" s="6">
        <v>0</v>
      </c>
    </row>
    <row r="658" spans="1:16" ht="23.4" x14ac:dyDescent="0.45">
      <c r="A658" s="4" t="s">
        <v>660</v>
      </c>
      <c r="B658" s="5" t="s">
        <v>15</v>
      </c>
      <c r="C658" s="5">
        <v>21417.25</v>
      </c>
      <c r="D658" s="5">
        <v>64</v>
      </c>
      <c r="E658" s="5">
        <v>1</v>
      </c>
      <c r="F658" s="5">
        <v>0.85850000000000004</v>
      </c>
      <c r="G658" s="5">
        <v>0.51890000000000003</v>
      </c>
      <c r="H658" s="5">
        <v>3</v>
      </c>
      <c r="I658" s="5">
        <v>769.82</v>
      </c>
      <c r="J658" s="5">
        <v>0</v>
      </c>
      <c r="K658" s="5">
        <v>33</v>
      </c>
      <c r="L658" s="5">
        <v>2</v>
      </c>
      <c r="M658" s="5">
        <v>2</v>
      </c>
      <c r="N658" s="5">
        <v>1</v>
      </c>
      <c r="O658" s="5">
        <v>799.71</v>
      </c>
      <c r="P658" s="6">
        <v>0</v>
      </c>
    </row>
    <row r="659" spans="1:16" ht="23.4" x14ac:dyDescent="0.45">
      <c r="A659" s="4" t="s">
        <v>661</v>
      </c>
      <c r="B659" s="5" t="s">
        <v>9</v>
      </c>
      <c r="C659" s="5">
        <v>174956.93</v>
      </c>
      <c r="D659" s="5">
        <v>52</v>
      </c>
      <c r="E659" s="5">
        <v>0</v>
      </c>
      <c r="F659" s="5">
        <v>0.65190000000000003</v>
      </c>
      <c r="G659" s="5">
        <v>0.2722</v>
      </c>
      <c r="H659" s="5">
        <v>1</v>
      </c>
      <c r="I659" s="5">
        <v>71957.27</v>
      </c>
      <c r="J659" s="5">
        <v>56298.89</v>
      </c>
      <c r="K659" s="5">
        <v>14</v>
      </c>
      <c r="L659" s="5">
        <v>2</v>
      </c>
      <c r="M659" s="5">
        <v>1</v>
      </c>
      <c r="N659" s="5">
        <v>3</v>
      </c>
      <c r="O659" s="5">
        <v>615.04999999999995</v>
      </c>
      <c r="P659" s="6">
        <v>0</v>
      </c>
    </row>
    <row r="660" spans="1:16" ht="23.4" x14ac:dyDescent="0.45">
      <c r="A660" s="4" t="s">
        <v>662</v>
      </c>
      <c r="B660" s="5" t="s">
        <v>9</v>
      </c>
      <c r="C660" s="5">
        <v>160449.74</v>
      </c>
      <c r="D660" s="5">
        <v>51</v>
      </c>
      <c r="E660" s="5">
        <v>1</v>
      </c>
      <c r="F660" s="5">
        <v>0.69379999999999997</v>
      </c>
      <c r="G660" s="5">
        <v>0.28160000000000002</v>
      </c>
      <c r="H660" s="5">
        <v>1</v>
      </c>
      <c r="I660" s="5">
        <v>35099.65</v>
      </c>
      <c r="J660" s="5">
        <v>43925.51</v>
      </c>
      <c r="K660" s="5">
        <v>21</v>
      </c>
      <c r="L660" s="5">
        <v>4</v>
      </c>
      <c r="M660" s="5">
        <v>1</v>
      </c>
      <c r="N660" s="5">
        <v>2</v>
      </c>
      <c r="O660" s="5">
        <v>734.6</v>
      </c>
      <c r="P660" s="6">
        <v>0</v>
      </c>
    </row>
    <row r="661" spans="1:16" ht="23.4" x14ac:dyDescent="0.45">
      <c r="A661" s="4" t="s">
        <v>663</v>
      </c>
      <c r="B661" s="5" t="s">
        <v>1</v>
      </c>
      <c r="C661" s="5">
        <v>160868.01999999999</v>
      </c>
      <c r="D661" s="5">
        <v>65</v>
      </c>
      <c r="E661" s="5">
        <v>1</v>
      </c>
      <c r="F661" s="5">
        <v>0.65939999999999999</v>
      </c>
      <c r="G661" s="5">
        <v>0</v>
      </c>
      <c r="H661" s="5">
        <v>1</v>
      </c>
      <c r="I661" s="5">
        <v>500</v>
      </c>
      <c r="J661" s="5">
        <v>0</v>
      </c>
      <c r="K661" s="5">
        <v>174</v>
      </c>
      <c r="L661" s="5">
        <v>3</v>
      </c>
      <c r="M661" s="5">
        <v>1</v>
      </c>
      <c r="N661" s="5">
        <v>0</v>
      </c>
      <c r="O661" s="5">
        <v>679.05</v>
      </c>
      <c r="P661" s="6">
        <v>0</v>
      </c>
    </row>
    <row r="662" spans="1:16" ht="23.4" x14ac:dyDescent="0.45">
      <c r="A662" s="4" t="s">
        <v>664</v>
      </c>
      <c r="B662" s="5" t="s">
        <v>15</v>
      </c>
      <c r="C662" s="5">
        <v>44967.76</v>
      </c>
      <c r="D662" s="5">
        <v>43</v>
      </c>
      <c r="E662" s="5">
        <v>1</v>
      </c>
      <c r="F662" s="5">
        <v>0.80610000000000004</v>
      </c>
      <c r="G662" s="5">
        <v>0.41210000000000002</v>
      </c>
      <c r="H662" s="5">
        <v>1</v>
      </c>
      <c r="I662" s="5">
        <v>6479.96</v>
      </c>
      <c r="J662" s="5">
        <v>3545.37</v>
      </c>
      <c r="K662" s="5">
        <v>55</v>
      </c>
      <c r="L662" s="5">
        <v>2</v>
      </c>
      <c r="M662" s="5">
        <v>2</v>
      </c>
      <c r="N662" s="5">
        <v>0</v>
      </c>
      <c r="O662" s="5">
        <v>666.49</v>
      </c>
      <c r="P662" s="6">
        <v>0</v>
      </c>
    </row>
    <row r="663" spans="1:16" ht="23.4" x14ac:dyDescent="0.45">
      <c r="A663" s="4" t="s">
        <v>665</v>
      </c>
      <c r="B663" s="5" t="s">
        <v>9</v>
      </c>
      <c r="C663" s="5">
        <v>161331.28</v>
      </c>
      <c r="D663" s="5">
        <v>24</v>
      </c>
      <c r="E663" s="5">
        <v>1</v>
      </c>
      <c r="F663" s="5">
        <v>0.88460000000000005</v>
      </c>
      <c r="G663" s="5">
        <v>8.1699999999999995E-2</v>
      </c>
      <c r="H663" s="5">
        <v>0</v>
      </c>
      <c r="I663" s="5">
        <v>15540.75</v>
      </c>
      <c r="J663" s="5">
        <v>19728.71</v>
      </c>
      <c r="K663" s="5">
        <v>80</v>
      </c>
      <c r="L663" s="5">
        <v>3</v>
      </c>
      <c r="M663" s="5">
        <v>1</v>
      </c>
      <c r="N663" s="5">
        <v>2</v>
      </c>
      <c r="O663" s="5">
        <v>820.04</v>
      </c>
      <c r="P663" s="6">
        <v>0</v>
      </c>
    </row>
    <row r="664" spans="1:16" ht="23.4" x14ac:dyDescent="0.45">
      <c r="A664" s="4" t="s">
        <v>666</v>
      </c>
      <c r="B664" s="5" t="s">
        <v>1</v>
      </c>
      <c r="C664" s="5">
        <v>65182.73</v>
      </c>
      <c r="D664" s="5">
        <v>57</v>
      </c>
      <c r="E664" s="5">
        <v>0</v>
      </c>
      <c r="F664" s="5">
        <v>0.54569999999999996</v>
      </c>
      <c r="G664" s="5">
        <v>0.75170000000000003</v>
      </c>
      <c r="H664" s="5">
        <v>6</v>
      </c>
      <c r="I664" s="5">
        <v>58181.84</v>
      </c>
      <c r="J664" s="5">
        <v>29931.360000000001</v>
      </c>
      <c r="K664" s="5">
        <v>115</v>
      </c>
      <c r="L664" s="5">
        <v>2</v>
      </c>
      <c r="M664" s="5">
        <v>1</v>
      </c>
      <c r="N664" s="5">
        <v>0</v>
      </c>
      <c r="O664" s="5">
        <v>613.47</v>
      </c>
      <c r="P664" s="6">
        <v>0</v>
      </c>
    </row>
    <row r="665" spans="1:16" ht="23.4" x14ac:dyDescent="0.45">
      <c r="A665" s="4" t="s">
        <v>667</v>
      </c>
      <c r="B665" s="5" t="s">
        <v>15</v>
      </c>
      <c r="C665" s="5">
        <v>130182.83</v>
      </c>
      <c r="D665" s="5">
        <v>28</v>
      </c>
      <c r="E665" s="5">
        <v>1</v>
      </c>
      <c r="F665" s="5">
        <v>0.98760000000000003</v>
      </c>
      <c r="G665" s="5">
        <v>0.35520000000000002</v>
      </c>
      <c r="H665" s="5">
        <v>0</v>
      </c>
      <c r="I665" s="5">
        <v>24276.65</v>
      </c>
      <c r="J665" s="5">
        <v>13617.84</v>
      </c>
      <c r="K665" s="5">
        <v>14</v>
      </c>
      <c r="L665" s="5">
        <v>1</v>
      </c>
      <c r="M665" s="5">
        <v>1</v>
      </c>
      <c r="N665" s="5">
        <v>0</v>
      </c>
      <c r="O665" s="5">
        <v>696.4</v>
      </c>
      <c r="P665" s="6">
        <v>0</v>
      </c>
    </row>
    <row r="666" spans="1:16" ht="23.4" x14ac:dyDescent="0.45">
      <c r="A666" s="4" t="s">
        <v>668</v>
      </c>
      <c r="B666" s="5" t="s">
        <v>6</v>
      </c>
      <c r="C666" s="5">
        <v>124825.99</v>
      </c>
      <c r="D666" s="5">
        <v>70</v>
      </c>
      <c r="E666" s="5">
        <v>1</v>
      </c>
      <c r="F666" s="5">
        <v>0.99229999999999996</v>
      </c>
      <c r="G666" s="5">
        <v>0.24079999999999999</v>
      </c>
      <c r="H666" s="5">
        <v>0</v>
      </c>
      <c r="I666" s="5">
        <v>15909.41</v>
      </c>
      <c r="J666" s="5">
        <v>1033.6400000000001</v>
      </c>
      <c r="K666" s="5">
        <v>172</v>
      </c>
      <c r="L666" s="5">
        <v>2</v>
      </c>
      <c r="M666" s="5">
        <v>2</v>
      </c>
      <c r="N666" s="5">
        <v>0</v>
      </c>
      <c r="O666" s="5">
        <v>779.61</v>
      </c>
      <c r="P666" s="6">
        <v>0</v>
      </c>
    </row>
    <row r="667" spans="1:16" ht="23.4" x14ac:dyDescent="0.45">
      <c r="A667" s="4" t="s">
        <v>669</v>
      </c>
      <c r="B667" s="5" t="s">
        <v>9</v>
      </c>
      <c r="C667" s="5">
        <v>91632.29</v>
      </c>
      <c r="D667" s="5">
        <v>62</v>
      </c>
      <c r="E667" s="5">
        <v>0</v>
      </c>
      <c r="F667" s="5">
        <v>0.58340000000000003</v>
      </c>
      <c r="G667" s="5">
        <v>0.13950000000000001</v>
      </c>
      <c r="H667" s="5">
        <v>4</v>
      </c>
      <c r="I667" s="5">
        <v>15605.64</v>
      </c>
      <c r="J667" s="5">
        <v>4140.3</v>
      </c>
      <c r="K667" s="5">
        <v>30</v>
      </c>
      <c r="L667" s="5">
        <v>3</v>
      </c>
      <c r="M667" s="5">
        <v>1</v>
      </c>
      <c r="N667" s="5">
        <v>1</v>
      </c>
      <c r="O667" s="5">
        <v>687.7</v>
      </c>
      <c r="P667" s="6">
        <v>0</v>
      </c>
    </row>
    <row r="668" spans="1:16" ht="23.4" x14ac:dyDescent="0.45">
      <c r="A668" s="4" t="s">
        <v>670</v>
      </c>
      <c r="B668" s="5" t="s">
        <v>18</v>
      </c>
      <c r="C668" s="5">
        <v>36437.11</v>
      </c>
      <c r="D668" s="5">
        <v>27</v>
      </c>
      <c r="E668" s="5">
        <v>0</v>
      </c>
      <c r="F668" s="5">
        <v>0.8054</v>
      </c>
      <c r="G668" s="5">
        <v>0.22</v>
      </c>
      <c r="H668" s="5">
        <v>4</v>
      </c>
      <c r="I668" s="5">
        <v>20087.310000000001</v>
      </c>
      <c r="J668" s="5">
        <v>6939.95</v>
      </c>
      <c r="K668" s="5">
        <v>109</v>
      </c>
      <c r="L668" s="5">
        <v>3</v>
      </c>
      <c r="M668" s="5">
        <v>1</v>
      </c>
      <c r="N668" s="5">
        <v>1</v>
      </c>
      <c r="O668" s="5">
        <v>622.17999999999995</v>
      </c>
      <c r="P668" s="6">
        <v>0</v>
      </c>
    </row>
    <row r="669" spans="1:16" ht="23.4" x14ac:dyDescent="0.45">
      <c r="A669" s="4" t="s">
        <v>671</v>
      </c>
      <c r="B669" s="5" t="s">
        <v>15</v>
      </c>
      <c r="C669" s="5">
        <v>71332.88</v>
      </c>
      <c r="D669" s="5">
        <v>54</v>
      </c>
      <c r="E669" s="5">
        <v>0</v>
      </c>
      <c r="F669" s="5">
        <v>0.8296</v>
      </c>
      <c r="G669" s="5">
        <v>0.13439999999999999</v>
      </c>
      <c r="H669" s="5">
        <v>2</v>
      </c>
      <c r="I669" s="5">
        <v>500</v>
      </c>
      <c r="J669" s="5">
        <v>486.16</v>
      </c>
      <c r="K669" s="5">
        <v>174</v>
      </c>
      <c r="L669" s="5">
        <v>3</v>
      </c>
      <c r="M669" s="5">
        <v>1</v>
      </c>
      <c r="N669" s="5">
        <v>1</v>
      </c>
      <c r="O669" s="5">
        <v>697.89</v>
      </c>
      <c r="P669" s="6">
        <v>0</v>
      </c>
    </row>
    <row r="670" spans="1:16" ht="23.4" x14ac:dyDescent="0.45">
      <c r="A670" s="4" t="s">
        <v>672</v>
      </c>
      <c r="B670" s="5" t="s">
        <v>6</v>
      </c>
      <c r="C670" s="5">
        <v>13929.19</v>
      </c>
      <c r="D670" s="5">
        <v>28</v>
      </c>
      <c r="E670" s="5">
        <v>1</v>
      </c>
      <c r="F670" s="5">
        <v>0.57889999999999997</v>
      </c>
      <c r="G670" s="5">
        <v>0.71719999999999995</v>
      </c>
      <c r="H670" s="5">
        <v>5</v>
      </c>
      <c r="I670" s="5">
        <v>6297.08</v>
      </c>
      <c r="J670" s="5">
        <v>1169.02</v>
      </c>
      <c r="K670" s="5">
        <v>71</v>
      </c>
      <c r="L670" s="5">
        <v>3</v>
      </c>
      <c r="M670" s="5">
        <v>1</v>
      </c>
      <c r="N670" s="5">
        <v>3</v>
      </c>
      <c r="O670" s="5">
        <v>605.1</v>
      </c>
      <c r="P670" s="6">
        <v>0</v>
      </c>
    </row>
    <row r="671" spans="1:16" ht="23.4" x14ac:dyDescent="0.45">
      <c r="A671" s="4" t="s">
        <v>673</v>
      </c>
      <c r="B671" s="5" t="s">
        <v>6</v>
      </c>
      <c r="C671" s="5">
        <v>88347.81</v>
      </c>
      <c r="D671" s="5">
        <v>48</v>
      </c>
      <c r="E671" s="5">
        <v>0</v>
      </c>
      <c r="F671" s="5">
        <v>0.99</v>
      </c>
      <c r="G671" s="5">
        <v>0.34749999999999998</v>
      </c>
      <c r="H671" s="5">
        <v>2</v>
      </c>
      <c r="I671" s="5">
        <v>35311.06</v>
      </c>
      <c r="J671" s="5">
        <v>44454.76</v>
      </c>
      <c r="K671" s="5">
        <v>81</v>
      </c>
      <c r="L671" s="5">
        <v>2</v>
      </c>
      <c r="M671" s="5">
        <v>1</v>
      </c>
      <c r="N671" s="5">
        <v>1</v>
      </c>
      <c r="O671" s="5">
        <v>697.55</v>
      </c>
      <c r="P671" s="6">
        <v>0</v>
      </c>
    </row>
    <row r="672" spans="1:16" ht="23.4" x14ac:dyDescent="0.45">
      <c r="A672" s="4" t="s">
        <v>674</v>
      </c>
      <c r="B672" s="5" t="s">
        <v>4</v>
      </c>
      <c r="C672" s="5">
        <v>2000</v>
      </c>
      <c r="D672" s="5">
        <v>43</v>
      </c>
      <c r="E672" s="5">
        <v>1</v>
      </c>
      <c r="F672" s="5">
        <v>0.61699999999999999</v>
      </c>
      <c r="G672" s="5">
        <v>0.16520000000000001</v>
      </c>
      <c r="H672" s="5">
        <v>0</v>
      </c>
      <c r="I672" s="5">
        <v>500</v>
      </c>
      <c r="J672" s="5">
        <v>0</v>
      </c>
      <c r="K672" s="5">
        <v>17</v>
      </c>
      <c r="L672" s="5">
        <v>1</v>
      </c>
      <c r="M672" s="5">
        <v>1</v>
      </c>
      <c r="N672" s="5">
        <v>0</v>
      </c>
      <c r="O672" s="5">
        <v>785.63</v>
      </c>
      <c r="P672" s="6">
        <v>0</v>
      </c>
    </row>
    <row r="673" spans="1:16" ht="23.4" x14ac:dyDescent="0.45">
      <c r="A673" s="4" t="s">
        <v>675</v>
      </c>
      <c r="B673" s="5" t="s">
        <v>1</v>
      </c>
      <c r="C673" s="5">
        <v>2000</v>
      </c>
      <c r="D673" s="5">
        <v>34</v>
      </c>
      <c r="E673" s="5">
        <v>1</v>
      </c>
      <c r="F673" s="5">
        <v>0.56489999999999996</v>
      </c>
      <c r="G673" s="5">
        <v>0.29010000000000002</v>
      </c>
      <c r="H673" s="5">
        <v>2</v>
      </c>
      <c r="I673" s="5">
        <v>500</v>
      </c>
      <c r="J673" s="5">
        <v>0</v>
      </c>
      <c r="K673" s="5">
        <v>172</v>
      </c>
      <c r="L673" s="5">
        <v>3</v>
      </c>
      <c r="M673" s="5">
        <v>1</v>
      </c>
      <c r="N673" s="5">
        <v>0</v>
      </c>
      <c r="O673" s="5">
        <v>680.21</v>
      </c>
      <c r="P673" s="6">
        <v>0</v>
      </c>
    </row>
    <row r="674" spans="1:16" ht="23.4" x14ac:dyDescent="0.45">
      <c r="A674" s="4" t="s">
        <v>676</v>
      </c>
      <c r="B674" s="5" t="s">
        <v>15</v>
      </c>
      <c r="C674" s="5">
        <v>28184.06</v>
      </c>
      <c r="D674" s="5">
        <v>55</v>
      </c>
      <c r="E674" s="5">
        <v>1</v>
      </c>
      <c r="F674" s="5">
        <v>0.83919999999999995</v>
      </c>
      <c r="G674" s="5">
        <v>0.50090000000000001</v>
      </c>
      <c r="H674" s="5">
        <v>6</v>
      </c>
      <c r="I674" s="5">
        <v>11535.24</v>
      </c>
      <c r="J674" s="5">
        <v>19731.45</v>
      </c>
      <c r="K674" s="5">
        <v>171</v>
      </c>
      <c r="L674" s="5">
        <v>1</v>
      </c>
      <c r="M674" s="5">
        <v>1</v>
      </c>
      <c r="N674" s="5">
        <v>1</v>
      </c>
      <c r="O674" s="5">
        <v>745.69</v>
      </c>
      <c r="P674" s="6">
        <v>0</v>
      </c>
    </row>
    <row r="675" spans="1:16" ht="23.4" x14ac:dyDescent="0.45">
      <c r="A675" s="4" t="s">
        <v>677</v>
      </c>
      <c r="B675" s="5" t="s">
        <v>1</v>
      </c>
      <c r="C675" s="5">
        <v>34590.730000000003</v>
      </c>
      <c r="D675" s="5">
        <v>30</v>
      </c>
      <c r="E675" s="5">
        <v>1</v>
      </c>
      <c r="F675" s="5">
        <v>0.55740000000000001</v>
      </c>
      <c r="G675" s="5">
        <v>0.80249999999999999</v>
      </c>
      <c r="H675" s="5">
        <v>1</v>
      </c>
      <c r="I675" s="5">
        <v>54423.360000000001</v>
      </c>
      <c r="J675" s="5">
        <v>34003.08</v>
      </c>
      <c r="K675" s="5">
        <v>142</v>
      </c>
      <c r="L675" s="5">
        <v>1</v>
      </c>
      <c r="M675" s="5">
        <v>2</v>
      </c>
      <c r="N675" s="5">
        <v>0</v>
      </c>
      <c r="O675" s="5">
        <v>700.3</v>
      </c>
      <c r="P675" s="6">
        <v>0</v>
      </c>
    </row>
    <row r="676" spans="1:16" ht="23.4" x14ac:dyDescent="0.45">
      <c r="A676" s="4" t="s">
        <v>678</v>
      </c>
      <c r="B676" s="5" t="s">
        <v>18</v>
      </c>
      <c r="C676" s="5">
        <v>63611.47</v>
      </c>
      <c r="D676" s="5">
        <v>38</v>
      </c>
      <c r="E676" s="5">
        <v>1</v>
      </c>
      <c r="F676" s="5">
        <v>0.83679999999999999</v>
      </c>
      <c r="G676" s="5">
        <v>0.67110000000000003</v>
      </c>
      <c r="H676" s="5">
        <v>7</v>
      </c>
      <c r="I676" s="5">
        <v>41683.75</v>
      </c>
      <c r="J676" s="5">
        <v>34217.67</v>
      </c>
      <c r="K676" s="5">
        <v>62</v>
      </c>
      <c r="L676" s="5">
        <v>2</v>
      </c>
      <c r="M676" s="5">
        <v>1</v>
      </c>
      <c r="N676" s="5">
        <v>2</v>
      </c>
      <c r="O676" s="5">
        <v>740.3</v>
      </c>
      <c r="P676" s="6">
        <v>0</v>
      </c>
    </row>
    <row r="677" spans="1:16" ht="23.4" x14ac:dyDescent="0.45">
      <c r="A677" s="4" t="s">
        <v>679</v>
      </c>
      <c r="B677" s="5" t="s">
        <v>15</v>
      </c>
      <c r="C677" s="5">
        <v>154881.07</v>
      </c>
      <c r="D677" s="5">
        <v>52</v>
      </c>
      <c r="E677" s="5">
        <v>1</v>
      </c>
      <c r="F677" s="5">
        <v>0.85289999999999999</v>
      </c>
      <c r="G677" s="5">
        <v>0.53080000000000005</v>
      </c>
      <c r="H677" s="5">
        <v>2</v>
      </c>
      <c r="I677" s="5">
        <v>76866.929999999993</v>
      </c>
      <c r="J677" s="5">
        <v>56488.21</v>
      </c>
      <c r="K677" s="5">
        <v>18</v>
      </c>
      <c r="L677" s="5">
        <v>1</v>
      </c>
      <c r="M677" s="5">
        <v>3</v>
      </c>
      <c r="N677" s="5">
        <v>0</v>
      </c>
      <c r="O677" s="5">
        <v>737.05</v>
      </c>
      <c r="P677" s="6">
        <v>0</v>
      </c>
    </row>
    <row r="678" spans="1:16" ht="23.4" x14ac:dyDescent="0.45">
      <c r="A678" s="4" t="s">
        <v>680</v>
      </c>
      <c r="B678" s="5" t="s">
        <v>9</v>
      </c>
      <c r="C678" s="5">
        <v>83547.02</v>
      </c>
      <c r="D678" s="5">
        <v>55</v>
      </c>
      <c r="E678" s="5">
        <v>0</v>
      </c>
      <c r="F678" s="5">
        <v>0.17599999999999999</v>
      </c>
      <c r="G678" s="5">
        <v>0</v>
      </c>
      <c r="H678" s="5">
        <v>0</v>
      </c>
      <c r="I678" s="5">
        <v>500</v>
      </c>
      <c r="J678" s="5">
        <v>6389.03</v>
      </c>
      <c r="K678" s="5">
        <v>72</v>
      </c>
      <c r="L678" s="5">
        <v>1</v>
      </c>
      <c r="M678" s="5">
        <v>2</v>
      </c>
      <c r="N678" s="5">
        <v>0</v>
      </c>
      <c r="O678" s="5">
        <v>712.17</v>
      </c>
      <c r="P678" s="6">
        <v>0</v>
      </c>
    </row>
    <row r="679" spans="1:16" ht="23.4" x14ac:dyDescent="0.45">
      <c r="A679" s="4" t="s">
        <v>681</v>
      </c>
      <c r="B679" s="5" t="s">
        <v>6</v>
      </c>
      <c r="C679" s="5">
        <v>121315.91</v>
      </c>
      <c r="D679" s="5">
        <v>24</v>
      </c>
      <c r="E679" s="5">
        <v>1</v>
      </c>
      <c r="F679" s="5">
        <v>0.94889999999999997</v>
      </c>
      <c r="G679" s="5">
        <v>0.22500000000000001</v>
      </c>
      <c r="H679" s="5">
        <v>0</v>
      </c>
      <c r="I679" s="5">
        <v>46233.91</v>
      </c>
      <c r="J679" s="5">
        <v>32412.26</v>
      </c>
      <c r="K679" s="5">
        <v>123</v>
      </c>
      <c r="L679" s="5">
        <v>1</v>
      </c>
      <c r="M679" s="5">
        <v>3</v>
      </c>
      <c r="N679" s="5">
        <v>1</v>
      </c>
      <c r="O679" s="5">
        <v>689.66</v>
      </c>
      <c r="P679" s="6">
        <v>0</v>
      </c>
    </row>
    <row r="680" spans="1:16" ht="23.4" x14ac:dyDescent="0.45">
      <c r="A680" s="4" t="s">
        <v>682</v>
      </c>
      <c r="B680" s="5" t="s">
        <v>1</v>
      </c>
      <c r="C680" s="5">
        <v>82319.25</v>
      </c>
      <c r="D680" s="5">
        <v>66</v>
      </c>
      <c r="E680" s="5">
        <v>0</v>
      </c>
      <c r="F680" s="5">
        <v>0.90849999999999997</v>
      </c>
      <c r="G680" s="5">
        <v>0.73699999999999999</v>
      </c>
      <c r="H680" s="5">
        <v>2</v>
      </c>
      <c r="I680" s="5">
        <v>50597.93</v>
      </c>
      <c r="J680" s="5">
        <v>53491.03</v>
      </c>
      <c r="K680" s="5">
        <v>84</v>
      </c>
      <c r="L680" s="5">
        <v>2</v>
      </c>
      <c r="M680" s="5">
        <v>1</v>
      </c>
      <c r="N680" s="5">
        <v>0</v>
      </c>
      <c r="O680" s="5">
        <v>785.3</v>
      </c>
      <c r="P680" s="6">
        <v>0</v>
      </c>
    </row>
    <row r="681" spans="1:16" ht="23.4" x14ac:dyDescent="0.45">
      <c r="A681" s="4" t="s">
        <v>683</v>
      </c>
      <c r="B681" s="5" t="s">
        <v>15</v>
      </c>
      <c r="C681" s="5">
        <v>124868.4</v>
      </c>
      <c r="D681" s="5">
        <v>31</v>
      </c>
      <c r="E681" s="5">
        <v>0</v>
      </c>
      <c r="F681" s="5">
        <v>0.62519999999999998</v>
      </c>
      <c r="G681" s="5">
        <v>0.35210000000000002</v>
      </c>
      <c r="H681" s="5">
        <v>1</v>
      </c>
      <c r="I681" s="5">
        <v>77647.56</v>
      </c>
      <c r="J681" s="5">
        <v>50896.28</v>
      </c>
      <c r="K681" s="5">
        <v>114</v>
      </c>
      <c r="L681" s="5">
        <v>2</v>
      </c>
      <c r="M681" s="5">
        <v>3</v>
      </c>
      <c r="N681" s="5">
        <v>0</v>
      </c>
      <c r="O681" s="5">
        <v>688.64</v>
      </c>
      <c r="P681" s="6">
        <v>0</v>
      </c>
    </row>
    <row r="682" spans="1:16" ht="23.4" x14ac:dyDescent="0.45">
      <c r="A682" s="4" t="s">
        <v>684</v>
      </c>
      <c r="B682" s="5" t="s">
        <v>9</v>
      </c>
      <c r="C682" s="5">
        <v>63187.63</v>
      </c>
      <c r="D682" s="5">
        <v>55</v>
      </c>
      <c r="E682" s="5">
        <v>0</v>
      </c>
      <c r="F682" s="5">
        <v>0.42399999999999999</v>
      </c>
      <c r="G682" s="5">
        <v>0.318</v>
      </c>
      <c r="H682" s="5">
        <v>0</v>
      </c>
      <c r="I682" s="5">
        <v>500</v>
      </c>
      <c r="J682" s="5">
        <v>0</v>
      </c>
      <c r="K682" s="5">
        <v>7</v>
      </c>
      <c r="L682" s="5">
        <v>2</v>
      </c>
      <c r="M682" s="5">
        <v>2</v>
      </c>
      <c r="N682" s="5">
        <v>1</v>
      </c>
      <c r="O682" s="5">
        <v>679.01</v>
      </c>
      <c r="P682" s="6">
        <v>0</v>
      </c>
    </row>
    <row r="683" spans="1:16" ht="23.4" x14ac:dyDescent="0.45">
      <c r="A683" s="4" t="s">
        <v>685</v>
      </c>
      <c r="B683" s="5" t="s">
        <v>4</v>
      </c>
      <c r="C683" s="5">
        <v>163706.74</v>
      </c>
      <c r="D683" s="5">
        <v>54</v>
      </c>
      <c r="E683" s="5">
        <v>0</v>
      </c>
      <c r="F683" s="5">
        <v>0.67630000000000001</v>
      </c>
      <c r="G683" s="5">
        <v>0.3327</v>
      </c>
      <c r="H683" s="5">
        <v>1</v>
      </c>
      <c r="I683" s="5">
        <v>57349.43</v>
      </c>
      <c r="J683" s="5">
        <v>50756.94</v>
      </c>
      <c r="K683" s="5">
        <v>63</v>
      </c>
      <c r="L683" s="5">
        <v>1</v>
      </c>
      <c r="M683" s="5">
        <v>1</v>
      </c>
      <c r="N683" s="5">
        <v>0</v>
      </c>
      <c r="O683" s="5">
        <v>661.26</v>
      </c>
      <c r="P683" s="6">
        <v>0</v>
      </c>
    </row>
    <row r="684" spans="1:16" ht="23.4" x14ac:dyDescent="0.45">
      <c r="A684" s="4" t="s">
        <v>686</v>
      </c>
      <c r="B684" s="5" t="s">
        <v>18</v>
      </c>
      <c r="C684" s="5">
        <v>139970.62</v>
      </c>
      <c r="D684" s="5">
        <v>31</v>
      </c>
      <c r="E684" s="5">
        <v>0</v>
      </c>
      <c r="F684" s="5">
        <v>0.77359999999999995</v>
      </c>
      <c r="G684" s="5">
        <v>0.31430000000000002</v>
      </c>
      <c r="H684" s="5">
        <v>3</v>
      </c>
      <c r="I684" s="5">
        <v>53742.41</v>
      </c>
      <c r="J684" s="5">
        <v>35007.660000000003</v>
      </c>
      <c r="K684" s="5">
        <v>144</v>
      </c>
      <c r="L684" s="5">
        <v>3</v>
      </c>
      <c r="M684" s="5">
        <v>2</v>
      </c>
      <c r="N684" s="5">
        <v>0</v>
      </c>
      <c r="O684" s="5">
        <v>670.89</v>
      </c>
      <c r="P684" s="6">
        <v>1</v>
      </c>
    </row>
    <row r="685" spans="1:16" ht="23.4" x14ac:dyDescent="0.45">
      <c r="A685" s="4" t="s">
        <v>687</v>
      </c>
      <c r="B685" s="5" t="s">
        <v>4</v>
      </c>
      <c r="C685" s="5">
        <v>93735.08</v>
      </c>
      <c r="D685" s="5">
        <v>61</v>
      </c>
      <c r="E685" s="5">
        <v>1</v>
      </c>
      <c r="F685" s="5">
        <v>0.57279999999999998</v>
      </c>
      <c r="G685" s="5">
        <v>0.3266</v>
      </c>
      <c r="H685" s="5">
        <v>1</v>
      </c>
      <c r="I685" s="5">
        <v>63453.08</v>
      </c>
      <c r="J685" s="5">
        <v>30605.23</v>
      </c>
      <c r="K685" s="5">
        <v>15</v>
      </c>
      <c r="L685" s="5">
        <v>3</v>
      </c>
      <c r="M685" s="5">
        <v>2</v>
      </c>
      <c r="N685" s="5">
        <v>2</v>
      </c>
      <c r="O685" s="5">
        <v>604.87</v>
      </c>
      <c r="P685" s="6">
        <v>1</v>
      </c>
    </row>
    <row r="686" spans="1:16" ht="23.4" x14ac:dyDescent="0.45">
      <c r="A686" s="4" t="s">
        <v>688</v>
      </c>
      <c r="B686" s="5" t="s">
        <v>18</v>
      </c>
      <c r="C686" s="5">
        <v>139947.85</v>
      </c>
      <c r="D686" s="5">
        <v>40</v>
      </c>
      <c r="E686" s="5">
        <v>0</v>
      </c>
      <c r="F686" s="5">
        <v>0.70820000000000005</v>
      </c>
      <c r="G686" s="5">
        <v>0.3846</v>
      </c>
      <c r="H686" s="5">
        <v>3</v>
      </c>
      <c r="I686" s="5">
        <v>61244.62</v>
      </c>
      <c r="J686" s="5">
        <v>38579.550000000003</v>
      </c>
      <c r="K686" s="5">
        <v>96</v>
      </c>
      <c r="L686" s="5">
        <v>1</v>
      </c>
      <c r="M686" s="5">
        <v>1</v>
      </c>
      <c r="N686" s="5">
        <v>0</v>
      </c>
      <c r="O686" s="5">
        <v>578.02</v>
      </c>
      <c r="P686" s="6">
        <v>0</v>
      </c>
    </row>
    <row r="687" spans="1:16" ht="23.4" x14ac:dyDescent="0.45">
      <c r="A687" s="4" t="s">
        <v>689</v>
      </c>
      <c r="B687" s="5" t="s">
        <v>18</v>
      </c>
      <c r="C687" s="5">
        <v>72500.100000000006</v>
      </c>
      <c r="D687" s="5">
        <v>52</v>
      </c>
      <c r="E687" s="5">
        <v>1</v>
      </c>
      <c r="F687" s="5">
        <v>1</v>
      </c>
      <c r="G687" s="5">
        <v>0.41860000000000003</v>
      </c>
      <c r="H687" s="5">
        <v>3</v>
      </c>
      <c r="I687" s="5">
        <v>47267.82</v>
      </c>
      <c r="J687" s="5">
        <v>32451.26</v>
      </c>
      <c r="K687" s="5">
        <v>52</v>
      </c>
      <c r="L687" s="5">
        <v>2</v>
      </c>
      <c r="M687" s="5">
        <v>1</v>
      </c>
      <c r="N687" s="5">
        <v>3</v>
      </c>
      <c r="O687" s="5">
        <v>777.09</v>
      </c>
      <c r="P687" s="6">
        <v>0</v>
      </c>
    </row>
    <row r="688" spans="1:16" ht="23.4" x14ac:dyDescent="0.45">
      <c r="A688" s="4" t="s">
        <v>690</v>
      </c>
      <c r="B688" s="5" t="s">
        <v>9</v>
      </c>
      <c r="C688" s="5">
        <v>67068.62</v>
      </c>
      <c r="D688" s="5">
        <v>68</v>
      </c>
      <c r="E688" s="5">
        <v>1</v>
      </c>
      <c r="F688" s="5">
        <v>0.74080000000000001</v>
      </c>
      <c r="G688" s="5">
        <v>0.18410000000000001</v>
      </c>
      <c r="H688" s="5">
        <v>2</v>
      </c>
      <c r="I688" s="5">
        <v>19203.689999999999</v>
      </c>
      <c r="J688" s="5">
        <v>9504.81</v>
      </c>
      <c r="K688" s="5">
        <v>54</v>
      </c>
      <c r="L688" s="5">
        <v>1</v>
      </c>
      <c r="M688" s="5">
        <v>1</v>
      </c>
      <c r="N688" s="5">
        <v>0</v>
      </c>
      <c r="O688" s="5">
        <v>716.74</v>
      </c>
      <c r="P688" s="6">
        <v>0</v>
      </c>
    </row>
    <row r="689" spans="1:16" ht="23.4" x14ac:dyDescent="0.45">
      <c r="A689" s="4" t="s">
        <v>691</v>
      </c>
      <c r="B689" s="5" t="s">
        <v>15</v>
      </c>
      <c r="C689" s="5">
        <v>99952.06</v>
      </c>
      <c r="D689" s="5">
        <v>51</v>
      </c>
      <c r="E689" s="5">
        <v>1</v>
      </c>
      <c r="F689" s="5">
        <v>1</v>
      </c>
      <c r="G689" s="5">
        <v>0.2213</v>
      </c>
      <c r="H689" s="5">
        <v>3</v>
      </c>
      <c r="I689" s="5">
        <v>33922.959999999999</v>
      </c>
      <c r="J689" s="5">
        <v>15037.52</v>
      </c>
      <c r="K689" s="5">
        <v>38</v>
      </c>
      <c r="L689" s="5">
        <v>1</v>
      </c>
      <c r="M689" s="5">
        <v>2</v>
      </c>
      <c r="N689" s="5">
        <v>2</v>
      </c>
      <c r="O689" s="5">
        <v>754.82</v>
      </c>
      <c r="P689" s="6">
        <v>0</v>
      </c>
    </row>
    <row r="690" spans="1:16" ht="23.4" x14ac:dyDescent="0.45">
      <c r="A690" s="4" t="s">
        <v>692</v>
      </c>
      <c r="B690" s="5" t="s">
        <v>15</v>
      </c>
      <c r="C690" s="5">
        <v>166806.07</v>
      </c>
      <c r="D690" s="5">
        <v>45</v>
      </c>
      <c r="E690" s="5">
        <v>1</v>
      </c>
      <c r="F690" s="5">
        <v>0.5222</v>
      </c>
      <c r="G690" s="5">
        <v>0.82630000000000003</v>
      </c>
      <c r="H690" s="5">
        <v>8</v>
      </c>
      <c r="I690" s="5">
        <v>139897.06</v>
      </c>
      <c r="J690" s="5">
        <v>81173.070000000007</v>
      </c>
      <c r="K690" s="5">
        <v>94</v>
      </c>
      <c r="L690" s="5">
        <v>2</v>
      </c>
      <c r="M690" s="5">
        <v>2</v>
      </c>
      <c r="N690" s="5">
        <v>0</v>
      </c>
      <c r="O690" s="5">
        <v>622.65</v>
      </c>
      <c r="P690" s="6">
        <v>0</v>
      </c>
    </row>
    <row r="691" spans="1:16" ht="23.4" x14ac:dyDescent="0.45">
      <c r="A691" s="4" t="s">
        <v>693</v>
      </c>
      <c r="B691" s="5" t="s">
        <v>1</v>
      </c>
      <c r="C691" s="5">
        <v>52925.23</v>
      </c>
      <c r="D691" s="5">
        <v>68</v>
      </c>
      <c r="E691" s="5">
        <v>0</v>
      </c>
      <c r="F691" s="5">
        <v>0.92849999999999999</v>
      </c>
      <c r="G691" s="5">
        <v>0.41439999999999999</v>
      </c>
      <c r="H691" s="5">
        <v>2</v>
      </c>
      <c r="I691" s="5">
        <v>28035.26</v>
      </c>
      <c r="J691" s="5">
        <v>11620.65</v>
      </c>
      <c r="K691" s="5">
        <v>136</v>
      </c>
      <c r="L691" s="5">
        <v>1</v>
      </c>
      <c r="M691" s="5">
        <v>1</v>
      </c>
      <c r="N691" s="5">
        <v>0</v>
      </c>
      <c r="O691" s="5">
        <v>764.18</v>
      </c>
      <c r="P691" s="6">
        <v>0</v>
      </c>
    </row>
    <row r="692" spans="1:16" ht="23.4" x14ac:dyDescent="0.45">
      <c r="A692" s="4" t="s">
        <v>694</v>
      </c>
      <c r="B692" s="5" t="s">
        <v>15</v>
      </c>
      <c r="C692" s="5">
        <v>69778.05</v>
      </c>
      <c r="D692" s="5">
        <v>48</v>
      </c>
      <c r="E692" s="5">
        <v>1</v>
      </c>
      <c r="F692" s="5">
        <v>0.41760000000000003</v>
      </c>
      <c r="G692" s="5">
        <v>0.52470000000000006</v>
      </c>
      <c r="H692" s="5">
        <v>6</v>
      </c>
      <c r="I692" s="5">
        <v>45185.89</v>
      </c>
      <c r="J692" s="5">
        <v>14060.85</v>
      </c>
      <c r="K692" s="5">
        <v>134</v>
      </c>
      <c r="L692" s="5">
        <v>2</v>
      </c>
      <c r="M692" s="5">
        <v>1</v>
      </c>
      <c r="N692" s="5">
        <v>2</v>
      </c>
      <c r="O692" s="5">
        <v>634.66</v>
      </c>
      <c r="P692" s="6">
        <v>1</v>
      </c>
    </row>
    <row r="693" spans="1:16" ht="23.4" x14ac:dyDescent="0.45">
      <c r="A693" s="4" t="s">
        <v>695</v>
      </c>
      <c r="B693" s="5" t="s">
        <v>1</v>
      </c>
      <c r="C693" s="5">
        <v>71504.75</v>
      </c>
      <c r="D693" s="5">
        <v>46</v>
      </c>
      <c r="E693" s="5">
        <v>0</v>
      </c>
      <c r="F693" s="5">
        <v>1</v>
      </c>
      <c r="G693" s="5">
        <v>0.58189999999999997</v>
      </c>
      <c r="H693" s="5">
        <v>5</v>
      </c>
      <c r="I693" s="5">
        <v>34797.08</v>
      </c>
      <c r="J693" s="5">
        <v>25238.68</v>
      </c>
      <c r="K693" s="5">
        <v>19</v>
      </c>
      <c r="L693" s="5">
        <v>2</v>
      </c>
      <c r="M693" s="5">
        <v>2</v>
      </c>
      <c r="N693" s="5">
        <v>1</v>
      </c>
      <c r="O693" s="5">
        <v>705.94</v>
      </c>
      <c r="P693" s="6">
        <v>0</v>
      </c>
    </row>
    <row r="694" spans="1:16" ht="23.4" x14ac:dyDescent="0.45">
      <c r="A694" s="4" t="s">
        <v>696</v>
      </c>
      <c r="B694" s="5" t="s">
        <v>4</v>
      </c>
      <c r="C694" s="5">
        <v>98365.78</v>
      </c>
      <c r="D694" s="5">
        <v>24</v>
      </c>
      <c r="E694" s="5">
        <v>1</v>
      </c>
      <c r="F694" s="5">
        <v>0.90749999999999997</v>
      </c>
      <c r="G694" s="5">
        <v>4.1399999999999999E-2</v>
      </c>
      <c r="H694" s="5">
        <v>1</v>
      </c>
      <c r="I694" s="5">
        <v>500</v>
      </c>
      <c r="J694" s="5">
        <v>6352.87</v>
      </c>
      <c r="K694" s="5">
        <v>77</v>
      </c>
      <c r="L694" s="5">
        <v>3</v>
      </c>
      <c r="M694" s="5">
        <v>2</v>
      </c>
      <c r="N694" s="5">
        <v>0</v>
      </c>
      <c r="O694" s="5">
        <v>785.62</v>
      </c>
      <c r="P694" s="6">
        <v>1</v>
      </c>
    </row>
    <row r="695" spans="1:16" ht="23.4" x14ac:dyDescent="0.45">
      <c r="A695" s="4" t="s">
        <v>697</v>
      </c>
      <c r="B695" s="5" t="s">
        <v>6</v>
      </c>
      <c r="C695" s="5">
        <v>72545.710000000006</v>
      </c>
      <c r="D695" s="5">
        <v>63</v>
      </c>
      <c r="E695" s="5">
        <v>0</v>
      </c>
      <c r="F695" s="5">
        <v>0.69550000000000001</v>
      </c>
      <c r="G695" s="5">
        <v>0.22750000000000001</v>
      </c>
      <c r="H695" s="5">
        <v>0</v>
      </c>
      <c r="I695" s="5">
        <v>22235.759999999998</v>
      </c>
      <c r="J695" s="5">
        <v>19203.25</v>
      </c>
      <c r="K695" s="5">
        <v>131</v>
      </c>
      <c r="L695" s="5">
        <v>2</v>
      </c>
      <c r="M695" s="5">
        <v>1</v>
      </c>
      <c r="N695" s="5">
        <v>0</v>
      </c>
      <c r="O695" s="5">
        <v>737.95</v>
      </c>
      <c r="P695" s="6">
        <v>0</v>
      </c>
    </row>
    <row r="696" spans="1:16" ht="23.4" x14ac:dyDescent="0.45">
      <c r="A696" s="4" t="s">
        <v>698</v>
      </c>
      <c r="B696" s="5" t="s">
        <v>15</v>
      </c>
      <c r="C696" s="5">
        <v>5139.8999999999996</v>
      </c>
      <c r="D696" s="5">
        <v>42</v>
      </c>
      <c r="E696" s="5">
        <v>1</v>
      </c>
      <c r="F696" s="5">
        <v>0.57279999999999998</v>
      </c>
      <c r="G696" s="5">
        <v>0.10829999999999999</v>
      </c>
      <c r="H696" s="5">
        <v>4</v>
      </c>
      <c r="I696" s="5">
        <v>500</v>
      </c>
      <c r="J696" s="5">
        <v>0</v>
      </c>
      <c r="K696" s="5">
        <v>160</v>
      </c>
      <c r="L696" s="5">
        <v>2</v>
      </c>
      <c r="M696" s="5">
        <v>2</v>
      </c>
      <c r="N696" s="5">
        <v>0</v>
      </c>
      <c r="O696" s="5">
        <v>616.54999999999995</v>
      </c>
      <c r="P696" s="6">
        <v>0</v>
      </c>
    </row>
    <row r="697" spans="1:16" ht="23.4" x14ac:dyDescent="0.45">
      <c r="A697" s="4" t="s">
        <v>699</v>
      </c>
      <c r="B697" s="5" t="s">
        <v>15</v>
      </c>
      <c r="C697" s="5">
        <v>152588.47</v>
      </c>
      <c r="D697" s="5">
        <v>68</v>
      </c>
      <c r="E697" s="5">
        <v>1</v>
      </c>
      <c r="F697" s="5">
        <v>0.65359999999999996</v>
      </c>
      <c r="G697" s="5">
        <v>0.35680000000000001</v>
      </c>
      <c r="H697" s="5">
        <v>6</v>
      </c>
      <c r="I697" s="5">
        <v>48286.44</v>
      </c>
      <c r="J697" s="5">
        <v>34090.44</v>
      </c>
      <c r="K697" s="5">
        <v>120</v>
      </c>
      <c r="L697" s="5">
        <v>3</v>
      </c>
      <c r="M697" s="5">
        <v>1</v>
      </c>
      <c r="N697" s="5">
        <v>1</v>
      </c>
      <c r="O697" s="5">
        <v>664.07</v>
      </c>
      <c r="P697" s="6">
        <v>0</v>
      </c>
    </row>
    <row r="698" spans="1:16" ht="23.4" x14ac:dyDescent="0.45">
      <c r="A698" s="4" t="s">
        <v>700</v>
      </c>
      <c r="B698" s="5" t="s">
        <v>1</v>
      </c>
      <c r="C698" s="5">
        <v>69013.259999999995</v>
      </c>
      <c r="D698" s="5">
        <v>33</v>
      </c>
      <c r="E698" s="5">
        <v>1</v>
      </c>
      <c r="F698" s="5">
        <v>0.1026</v>
      </c>
      <c r="G698" s="5">
        <v>0.25879999999999997</v>
      </c>
      <c r="H698" s="5">
        <v>2</v>
      </c>
      <c r="I698" s="5">
        <v>28700.75</v>
      </c>
      <c r="J698" s="5">
        <v>18649.439999999999</v>
      </c>
      <c r="K698" s="5">
        <v>70</v>
      </c>
      <c r="L698" s="5">
        <v>3</v>
      </c>
      <c r="M698" s="5">
        <v>2</v>
      </c>
      <c r="N698" s="5">
        <v>2</v>
      </c>
      <c r="O698" s="5">
        <v>590.12</v>
      </c>
      <c r="P698" s="6">
        <v>0</v>
      </c>
    </row>
    <row r="699" spans="1:16" ht="23.4" x14ac:dyDescent="0.45">
      <c r="A699" s="4" t="s">
        <v>701</v>
      </c>
      <c r="B699" s="5" t="s">
        <v>1</v>
      </c>
      <c r="C699" s="5">
        <v>74612.78</v>
      </c>
      <c r="D699" s="5">
        <v>61</v>
      </c>
      <c r="E699" s="5">
        <v>1</v>
      </c>
      <c r="F699" s="5">
        <v>0.61029999999999995</v>
      </c>
      <c r="G699" s="5">
        <v>0</v>
      </c>
      <c r="H699" s="5">
        <v>2</v>
      </c>
      <c r="I699" s="5">
        <v>6451.4</v>
      </c>
      <c r="J699" s="5">
        <v>12759.51</v>
      </c>
      <c r="K699" s="5">
        <v>11</v>
      </c>
      <c r="L699" s="5">
        <v>1</v>
      </c>
      <c r="M699" s="5">
        <v>1</v>
      </c>
      <c r="N699" s="5">
        <v>3</v>
      </c>
      <c r="O699" s="5">
        <v>693.53</v>
      </c>
      <c r="P699" s="6">
        <v>0</v>
      </c>
    </row>
    <row r="700" spans="1:16" ht="23.4" x14ac:dyDescent="0.45">
      <c r="A700" s="4" t="s">
        <v>702</v>
      </c>
      <c r="B700" s="5" t="s">
        <v>15</v>
      </c>
      <c r="C700" s="5">
        <v>105327.26</v>
      </c>
      <c r="D700" s="5">
        <v>65</v>
      </c>
      <c r="E700" s="5">
        <v>0</v>
      </c>
      <c r="F700" s="5">
        <v>0.68059999999999998</v>
      </c>
      <c r="G700" s="5">
        <v>0.56840000000000002</v>
      </c>
      <c r="H700" s="5">
        <v>7</v>
      </c>
      <c r="I700" s="5">
        <v>41383.29</v>
      </c>
      <c r="J700" s="5">
        <v>28127.45</v>
      </c>
      <c r="K700" s="5">
        <v>137</v>
      </c>
      <c r="L700" s="5">
        <v>4</v>
      </c>
      <c r="M700" s="5">
        <v>1</v>
      </c>
      <c r="N700" s="5">
        <v>1</v>
      </c>
      <c r="O700" s="5">
        <v>608.32000000000005</v>
      </c>
      <c r="P700" s="6">
        <v>0</v>
      </c>
    </row>
    <row r="701" spans="1:16" ht="23.4" x14ac:dyDescent="0.45">
      <c r="A701" s="4" t="s">
        <v>703</v>
      </c>
      <c r="B701" s="5" t="s">
        <v>6</v>
      </c>
      <c r="C701" s="5">
        <v>142050.09</v>
      </c>
      <c r="D701" s="5">
        <v>38</v>
      </c>
      <c r="E701" s="5">
        <v>1</v>
      </c>
      <c r="F701" s="5">
        <v>0.70450000000000002</v>
      </c>
      <c r="G701" s="5">
        <v>0.42049999999999998</v>
      </c>
      <c r="H701" s="5">
        <v>0</v>
      </c>
      <c r="I701" s="5">
        <v>50957.14</v>
      </c>
      <c r="J701" s="5">
        <v>53096.99</v>
      </c>
      <c r="K701" s="5">
        <v>137</v>
      </c>
      <c r="L701" s="5">
        <v>2</v>
      </c>
      <c r="M701" s="5">
        <v>2</v>
      </c>
      <c r="N701" s="5">
        <v>1</v>
      </c>
      <c r="O701" s="5">
        <v>708.58</v>
      </c>
      <c r="P701" s="6">
        <v>0</v>
      </c>
    </row>
    <row r="702" spans="1:16" ht="23.4" x14ac:dyDescent="0.45">
      <c r="A702" s="4" t="s">
        <v>704</v>
      </c>
      <c r="B702" s="5" t="s">
        <v>9</v>
      </c>
      <c r="C702" s="5">
        <v>103088.75</v>
      </c>
      <c r="D702" s="5">
        <v>56</v>
      </c>
      <c r="E702" s="5">
        <v>0</v>
      </c>
      <c r="F702" s="5">
        <v>1</v>
      </c>
      <c r="G702" s="5">
        <v>0.53049999999999997</v>
      </c>
      <c r="H702" s="5">
        <v>4</v>
      </c>
      <c r="I702" s="5">
        <v>42498.09</v>
      </c>
      <c r="J702" s="5">
        <v>32607.16</v>
      </c>
      <c r="K702" s="5">
        <v>169</v>
      </c>
      <c r="L702" s="5">
        <v>1</v>
      </c>
      <c r="M702" s="5">
        <v>2</v>
      </c>
      <c r="N702" s="5">
        <v>2</v>
      </c>
      <c r="O702" s="5">
        <v>713.98</v>
      </c>
      <c r="P702" s="6">
        <v>0</v>
      </c>
    </row>
    <row r="703" spans="1:16" ht="23.4" x14ac:dyDescent="0.45">
      <c r="A703" s="4" t="s">
        <v>705</v>
      </c>
      <c r="B703" s="5" t="s">
        <v>1</v>
      </c>
      <c r="C703" s="5">
        <v>168922.74</v>
      </c>
      <c r="D703" s="5">
        <v>36</v>
      </c>
      <c r="E703" s="5">
        <v>1</v>
      </c>
      <c r="F703" s="5">
        <v>0.83699999999999997</v>
      </c>
      <c r="G703" s="5">
        <v>0.38869999999999999</v>
      </c>
      <c r="H703" s="5">
        <v>5</v>
      </c>
      <c r="I703" s="5">
        <v>80132.28</v>
      </c>
      <c r="J703" s="5">
        <v>44486.26</v>
      </c>
      <c r="K703" s="5">
        <v>89</v>
      </c>
      <c r="L703" s="5">
        <v>1</v>
      </c>
      <c r="M703" s="5">
        <v>2</v>
      </c>
      <c r="N703" s="5">
        <v>1</v>
      </c>
      <c r="O703" s="5">
        <v>600.41999999999996</v>
      </c>
      <c r="P703" s="6">
        <v>0</v>
      </c>
    </row>
    <row r="704" spans="1:16" ht="23.4" x14ac:dyDescent="0.45">
      <c r="A704" s="4" t="s">
        <v>706</v>
      </c>
      <c r="B704" s="5" t="s">
        <v>4</v>
      </c>
      <c r="C704" s="5">
        <v>38102.400000000001</v>
      </c>
      <c r="D704" s="5">
        <v>41</v>
      </c>
      <c r="E704" s="5">
        <v>0</v>
      </c>
      <c r="F704" s="5">
        <v>0.8498</v>
      </c>
      <c r="G704" s="5">
        <v>0.74909999999999999</v>
      </c>
      <c r="H704" s="5">
        <v>4</v>
      </c>
      <c r="I704" s="5">
        <v>42571.8</v>
      </c>
      <c r="J704" s="5">
        <v>31989.23</v>
      </c>
      <c r="K704" s="5">
        <v>77</v>
      </c>
      <c r="L704" s="5">
        <v>1</v>
      </c>
      <c r="M704" s="5">
        <v>3</v>
      </c>
      <c r="N704" s="5">
        <v>1</v>
      </c>
      <c r="O704" s="5">
        <v>795.25</v>
      </c>
      <c r="P704" s="6">
        <v>0</v>
      </c>
    </row>
    <row r="705" spans="1:16" ht="23.4" x14ac:dyDescent="0.45">
      <c r="A705" s="4" t="s">
        <v>707</v>
      </c>
      <c r="B705" s="5" t="s">
        <v>4</v>
      </c>
      <c r="C705" s="5">
        <v>79609.8</v>
      </c>
      <c r="D705" s="5">
        <v>27</v>
      </c>
      <c r="E705" s="5">
        <v>1</v>
      </c>
      <c r="F705" s="5">
        <v>0.64770000000000005</v>
      </c>
      <c r="G705" s="5">
        <v>2.4E-2</v>
      </c>
      <c r="H705" s="5">
        <v>2</v>
      </c>
      <c r="I705" s="5">
        <v>500</v>
      </c>
      <c r="J705" s="5">
        <v>0</v>
      </c>
      <c r="K705" s="5">
        <v>58</v>
      </c>
      <c r="L705" s="5">
        <v>3</v>
      </c>
      <c r="M705" s="5">
        <v>1</v>
      </c>
      <c r="N705" s="5">
        <v>0</v>
      </c>
      <c r="O705" s="5">
        <v>667.58</v>
      </c>
      <c r="P705" s="6">
        <v>0</v>
      </c>
    </row>
    <row r="706" spans="1:16" ht="23.4" x14ac:dyDescent="0.45">
      <c r="A706" s="4" t="s">
        <v>708</v>
      </c>
      <c r="B706" s="5" t="s">
        <v>18</v>
      </c>
      <c r="C706" s="5">
        <v>116699.98</v>
      </c>
      <c r="D706" s="5">
        <v>30</v>
      </c>
      <c r="E706" s="5">
        <v>0</v>
      </c>
      <c r="F706" s="5">
        <v>0.38729999999999998</v>
      </c>
      <c r="G706" s="5">
        <v>1.8599999999999998E-2</v>
      </c>
      <c r="H706" s="5">
        <v>2</v>
      </c>
      <c r="I706" s="5">
        <v>500</v>
      </c>
      <c r="J706" s="5">
        <v>2106.52</v>
      </c>
      <c r="K706" s="5">
        <v>128</v>
      </c>
      <c r="L706" s="5">
        <v>1</v>
      </c>
      <c r="M706" s="5">
        <v>1</v>
      </c>
      <c r="N706" s="5">
        <v>0</v>
      </c>
      <c r="O706" s="5">
        <v>720.18</v>
      </c>
      <c r="P706" s="6">
        <v>0</v>
      </c>
    </row>
    <row r="707" spans="1:16" ht="23.4" x14ac:dyDescent="0.45">
      <c r="A707" s="4" t="s">
        <v>709</v>
      </c>
      <c r="B707" s="5" t="s">
        <v>9</v>
      </c>
      <c r="C707" s="5">
        <v>67842.7</v>
      </c>
      <c r="D707" s="5">
        <v>67</v>
      </c>
      <c r="E707" s="5">
        <v>0</v>
      </c>
      <c r="F707" s="5">
        <v>0.76890000000000003</v>
      </c>
      <c r="G707" s="5">
        <v>0.58440000000000003</v>
      </c>
      <c r="H707" s="5">
        <v>2</v>
      </c>
      <c r="I707" s="5">
        <v>68654.710000000006</v>
      </c>
      <c r="J707" s="5">
        <v>53598.8</v>
      </c>
      <c r="K707" s="5">
        <v>54</v>
      </c>
      <c r="L707" s="5">
        <v>1</v>
      </c>
      <c r="M707" s="5">
        <v>1</v>
      </c>
      <c r="N707" s="5">
        <v>0</v>
      </c>
      <c r="O707" s="5">
        <v>612.13</v>
      </c>
      <c r="P707" s="6">
        <v>0</v>
      </c>
    </row>
    <row r="708" spans="1:16" ht="23.4" x14ac:dyDescent="0.45">
      <c r="A708" s="4" t="s">
        <v>710</v>
      </c>
      <c r="B708" s="5" t="s">
        <v>1</v>
      </c>
      <c r="C708" s="5">
        <v>110325.4</v>
      </c>
      <c r="D708" s="5">
        <v>54</v>
      </c>
      <c r="E708" s="5">
        <v>1</v>
      </c>
      <c r="F708" s="5">
        <v>0.68300000000000005</v>
      </c>
      <c r="G708" s="5">
        <v>0.67090000000000005</v>
      </c>
      <c r="H708" s="5">
        <v>6</v>
      </c>
      <c r="I708" s="5">
        <v>80878.600000000006</v>
      </c>
      <c r="J708" s="5">
        <v>54718.66</v>
      </c>
      <c r="K708" s="5">
        <v>104</v>
      </c>
      <c r="L708" s="5">
        <v>1</v>
      </c>
      <c r="M708" s="5">
        <v>2</v>
      </c>
      <c r="N708" s="5">
        <v>1</v>
      </c>
      <c r="O708" s="5">
        <v>667.24</v>
      </c>
      <c r="P708" s="6">
        <v>0</v>
      </c>
    </row>
    <row r="709" spans="1:16" ht="23.4" x14ac:dyDescent="0.45">
      <c r="A709" s="4" t="s">
        <v>711</v>
      </c>
      <c r="B709" s="5" t="s">
        <v>9</v>
      </c>
      <c r="C709" s="5">
        <v>79392.39</v>
      </c>
      <c r="D709" s="5">
        <v>26</v>
      </c>
      <c r="E709" s="5">
        <v>0</v>
      </c>
      <c r="F709" s="5">
        <v>0.64770000000000005</v>
      </c>
      <c r="G709" s="5">
        <v>0.98699999999999999</v>
      </c>
      <c r="H709" s="5">
        <v>3</v>
      </c>
      <c r="I709" s="5">
        <v>62771.68</v>
      </c>
      <c r="J709" s="5">
        <v>55516.34</v>
      </c>
      <c r="K709" s="5">
        <v>144</v>
      </c>
      <c r="L709" s="5">
        <v>2</v>
      </c>
      <c r="M709" s="5">
        <v>1</v>
      </c>
      <c r="N709" s="5">
        <v>1</v>
      </c>
      <c r="O709" s="5">
        <v>655.04</v>
      </c>
      <c r="P709" s="6">
        <v>0</v>
      </c>
    </row>
    <row r="710" spans="1:16" ht="23.4" x14ac:dyDescent="0.45">
      <c r="A710" s="4" t="s">
        <v>712</v>
      </c>
      <c r="B710" s="5" t="s">
        <v>18</v>
      </c>
      <c r="C710" s="5">
        <v>32546.87</v>
      </c>
      <c r="D710" s="5">
        <v>49</v>
      </c>
      <c r="E710" s="5">
        <v>1</v>
      </c>
      <c r="F710" s="5">
        <v>0.73160000000000003</v>
      </c>
      <c r="G710" s="5">
        <v>0.48570000000000002</v>
      </c>
      <c r="H710" s="5">
        <v>1</v>
      </c>
      <c r="I710" s="5">
        <v>4691.1899999999996</v>
      </c>
      <c r="J710" s="5">
        <v>4039.52</v>
      </c>
      <c r="K710" s="5">
        <v>145</v>
      </c>
      <c r="L710" s="5">
        <v>2</v>
      </c>
      <c r="M710" s="5">
        <v>2</v>
      </c>
      <c r="N710" s="5">
        <v>0</v>
      </c>
      <c r="O710" s="5">
        <v>711.61</v>
      </c>
      <c r="P710" s="6">
        <v>0</v>
      </c>
    </row>
    <row r="711" spans="1:16" ht="23.4" x14ac:dyDescent="0.45">
      <c r="A711" s="4" t="s">
        <v>713</v>
      </c>
      <c r="B711" s="5" t="s">
        <v>1</v>
      </c>
      <c r="C711" s="5">
        <v>71318.37</v>
      </c>
      <c r="D711" s="5">
        <v>53</v>
      </c>
      <c r="E711" s="5">
        <v>1</v>
      </c>
      <c r="F711" s="5">
        <v>0.85670000000000002</v>
      </c>
      <c r="G711" s="5">
        <v>0.23050000000000001</v>
      </c>
      <c r="H711" s="5">
        <v>3</v>
      </c>
      <c r="I711" s="5">
        <v>16520.810000000001</v>
      </c>
      <c r="J711" s="5">
        <v>13422.13</v>
      </c>
      <c r="K711" s="5">
        <v>96</v>
      </c>
      <c r="L711" s="5">
        <v>2</v>
      </c>
      <c r="M711" s="5">
        <v>1</v>
      </c>
      <c r="N711" s="5">
        <v>2</v>
      </c>
      <c r="O711" s="5">
        <v>792.92</v>
      </c>
      <c r="P711" s="6">
        <v>0</v>
      </c>
    </row>
    <row r="712" spans="1:16" ht="23.4" x14ac:dyDescent="0.45">
      <c r="A712" s="4" t="s">
        <v>714</v>
      </c>
      <c r="B712" s="5" t="s">
        <v>18</v>
      </c>
      <c r="C712" s="5">
        <v>152524.32</v>
      </c>
      <c r="D712" s="5">
        <v>28</v>
      </c>
      <c r="E712" s="5">
        <v>1</v>
      </c>
      <c r="F712" s="5">
        <v>0.4526</v>
      </c>
      <c r="G712" s="5">
        <v>0</v>
      </c>
      <c r="H712" s="5">
        <v>1</v>
      </c>
      <c r="I712" s="5">
        <v>5986.21</v>
      </c>
      <c r="J712" s="5">
        <v>23251.62</v>
      </c>
      <c r="K712" s="5">
        <v>78</v>
      </c>
      <c r="L712" s="5">
        <v>2</v>
      </c>
      <c r="M712" s="5">
        <v>2</v>
      </c>
      <c r="N712" s="5">
        <v>0</v>
      </c>
      <c r="O712" s="5">
        <v>823.78</v>
      </c>
      <c r="P712" s="6">
        <v>0</v>
      </c>
    </row>
    <row r="713" spans="1:16" ht="23.4" x14ac:dyDescent="0.45">
      <c r="A713" s="4" t="s">
        <v>715</v>
      </c>
      <c r="B713" s="5" t="s">
        <v>9</v>
      </c>
      <c r="C713" s="5">
        <v>43149.38</v>
      </c>
      <c r="D713" s="5">
        <v>59</v>
      </c>
      <c r="E713" s="5">
        <v>0</v>
      </c>
      <c r="F713" s="5">
        <v>0.82320000000000004</v>
      </c>
      <c r="G713" s="5">
        <v>0.61509999999999998</v>
      </c>
      <c r="H713" s="5">
        <v>3</v>
      </c>
      <c r="I713" s="5">
        <v>34712.46</v>
      </c>
      <c r="J713" s="5">
        <v>10229.33</v>
      </c>
      <c r="K713" s="5">
        <v>83</v>
      </c>
      <c r="L713" s="5">
        <v>2</v>
      </c>
      <c r="M713" s="5">
        <v>1</v>
      </c>
      <c r="N713" s="5">
        <v>2</v>
      </c>
      <c r="O713" s="5">
        <v>757.01</v>
      </c>
      <c r="P713" s="6">
        <v>0</v>
      </c>
    </row>
    <row r="714" spans="1:16" ht="23.4" x14ac:dyDescent="0.45">
      <c r="A714" s="4" t="s">
        <v>716</v>
      </c>
      <c r="B714" s="5" t="s">
        <v>4</v>
      </c>
      <c r="C714" s="5">
        <v>46808.56</v>
      </c>
      <c r="D714" s="5">
        <v>37</v>
      </c>
      <c r="E714" s="5">
        <v>0</v>
      </c>
      <c r="F714" s="5">
        <v>0.70089999999999997</v>
      </c>
      <c r="G714" s="5">
        <v>0.54669999999999996</v>
      </c>
      <c r="H714" s="5">
        <v>0</v>
      </c>
      <c r="I714" s="5">
        <v>26470.240000000002</v>
      </c>
      <c r="J714" s="5">
        <v>18253.259999999998</v>
      </c>
      <c r="K714" s="5">
        <v>44</v>
      </c>
      <c r="L714" s="5">
        <v>3</v>
      </c>
      <c r="M714" s="5">
        <v>1</v>
      </c>
      <c r="N714" s="5">
        <v>0</v>
      </c>
      <c r="O714" s="5">
        <v>589.20000000000005</v>
      </c>
      <c r="P714" s="6">
        <v>0</v>
      </c>
    </row>
    <row r="715" spans="1:16" ht="23.4" x14ac:dyDescent="0.45">
      <c r="A715" s="4" t="s">
        <v>717</v>
      </c>
      <c r="B715" s="5" t="s">
        <v>9</v>
      </c>
      <c r="C715" s="5">
        <v>116408.34</v>
      </c>
      <c r="D715" s="5">
        <v>25</v>
      </c>
      <c r="E715" s="5">
        <v>1</v>
      </c>
      <c r="F715" s="5">
        <v>0.86</v>
      </c>
      <c r="G715" s="5">
        <v>0.57230000000000003</v>
      </c>
      <c r="H715" s="5">
        <v>3</v>
      </c>
      <c r="I715" s="5">
        <v>58325.01</v>
      </c>
      <c r="J715" s="5">
        <v>41543.17</v>
      </c>
      <c r="K715" s="5">
        <v>104</v>
      </c>
      <c r="L715" s="5">
        <v>2</v>
      </c>
      <c r="M715" s="5">
        <v>1</v>
      </c>
      <c r="N715" s="5">
        <v>1</v>
      </c>
      <c r="O715" s="5">
        <v>735.52</v>
      </c>
      <c r="P715" s="6">
        <v>0</v>
      </c>
    </row>
    <row r="716" spans="1:16" ht="23.4" x14ac:dyDescent="0.45">
      <c r="A716" s="4" t="s">
        <v>718</v>
      </c>
      <c r="B716" s="5" t="s">
        <v>6</v>
      </c>
      <c r="C716" s="5">
        <v>38615.050000000003</v>
      </c>
      <c r="D716" s="5">
        <v>29</v>
      </c>
      <c r="E716" s="5">
        <v>1</v>
      </c>
      <c r="F716" s="5">
        <v>0.5302</v>
      </c>
      <c r="G716" s="5">
        <v>0.51719999999999999</v>
      </c>
      <c r="H716" s="5">
        <v>0</v>
      </c>
      <c r="I716" s="5">
        <v>20373.18</v>
      </c>
      <c r="J716" s="5">
        <v>20799.88</v>
      </c>
      <c r="K716" s="5">
        <v>133</v>
      </c>
      <c r="L716" s="5">
        <v>2</v>
      </c>
      <c r="M716" s="5">
        <v>1</v>
      </c>
      <c r="N716" s="5">
        <v>1</v>
      </c>
      <c r="O716" s="5">
        <v>675.38</v>
      </c>
      <c r="P716" s="6">
        <v>0</v>
      </c>
    </row>
    <row r="717" spans="1:16" ht="23.4" x14ac:dyDescent="0.45">
      <c r="A717" s="4" t="s">
        <v>719</v>
      </c>
      <c r="B717" s="5" t="s">
        <v>15</v>
      </c>
      <c r="C717" s="5">
        <v>108659.06</v>
      </c>
      <c r="D717" s="5">
        <v>54</v>
      </c>
      <c r="E717" s="5">
        <v>1</v>
      </c>
      <c r="F717" s="5">
        <v>0.42849999999999999</v>
      </c>
      <c r="G717" s="5">
        <v>0.21929999999999999</v>
      </c>
      <c r="H717" s="5">
        <v>2</v>
      </c>
      <c r="I717" s="5">
        <v>500</v>
      </c>
      <c r="J717" s="5">
        <v>342.01</v>
      </c>
      <c r="K717" s="5">
        <v>10</v>
      </c>
      <c r="L717" s="5">
        <v>2</v>
      </c>
      <c r="M717" s="5">
        <v>1</v>
      </c>
      <c r="N717" s="5">
        <v>0</v>
      </c>
      <c r="O717" s="5">
        <v>688.4</v>
      </c>
      <c r="P717" s="6">
        <v>0</v>
      </c>
    </row>
    <row r="718" spans="1:16" ht="23.4" x14ac:dyDescent="0.45">
      <c r="A718" s="4" t="s">
        <v>720</v>
      </c>
      <c r="B718" s="5" t="s">
        <v>18</v>
      </c>
      <c r="C718" s="5">
        <v>126143.84</v>
      </c>
      <c r="D718" s="5">
        <v>70</v>
      </c>
      <c r="E718" s="5">
        <v>1</v>
      </c>
      <c r="F718" s="5">
        <v>0.6</v>
      </c>
      <c r="G718" s="5">
        <v>0.48780000000000001</v>
      </c>
      <c r="H718" s="5">
        <v>1</v>
      </c>
      <c r="I718" s="5">
        <v>79667.509999999995</v>
      </c>
      <c r="J718" s="5">
        <v>63319.55</v>
      </c>
      <c r="K718" s="5">
        <v>113</v>
      </c>
      <c r="L718" s="5">
        <v>1</v>
      </c>
      <c r="M718" s="5">
        <v>2</v>
      </c>
      <c r="N718" s="5">
        <v>0</v>
      </c>
      <c r="O718" s="5">
        <v>782.43</v>
      </c>
      <c r="P718" s="6">
        <v>0</v>
      </c>
    </row>
    <row r="719" spans="1:16" ht="23.4" x14ac:dyDescent="0.45">
      <c r="A719" s="4" t="s">
        <v>721</v>
      </c>
      <c r="B719" s="5" t="s">
        <v>18</v>
      </c>
      <c r="C719" s="5">
        <v>177669.78</v>
      </c>
      <c r="D719" s="5">
        <v>45</v>
      </c>
      <c r="E719" s="5">
        <v>1</v>
      </c>
      <c r="F719" s="5">
        <v>0.66720000000000002</v>
      </c>
      <c r="G719" s="5">
        <v>1.6299999999999999E-2</v>
      </c>
      <c r="H719" s="5">
        <v>0</v>
      </c>
      <c r="I719" s="5">
        <v>5177.4799999999996</v>
      </c>
      <c r="J719" s="5">
        <v>11756.3</v>
      </c>
      <c r="K719" s="5">
        <v>128</v>
      </c>
      <c r="L719" s="5">
        <v>3</v>
      </c>
      <c r="M719" s="5">
        <v>2</v>
      </c>
      <c r="N719" s="5">
        <v>0</v>
      </c>
      <c r="O719" s="5">
        <v>777.71</v>
      </c>
      <c r="P719" s="6">
        <v>0</v>
      </c>
    </row>
    <row r="720" spans="1:16" ht="23.4" x14ac:dyDescent="0.45">
      <c r="A720" s="4" t="s">
        <v>722</v>
      </c>
      <c r="B720" s="5" t="s">
        <v>15</v>
      </c>
      <c r="C720" s="5">
        <v>105847.51</v>
      </c>
      <c r="D720" s="5">
        <v>57</v>
      </c>
      <c r="E720" s="5">
        <v>0</v>
      </c>
      <c r="F720" s="5">
        <v>0.73809999999999998</v>
      </c>
      <c r="G720" s="5">
        <v>0.52649999999999997</v>
      </c>
      <c r="H720" s="5">
        <v>1</v>
      </c>
      <c r="I720" s="5">
        <v>57366.76</v>
      </c>
      <c r="J720" s="5">
        <v>30915.38</v>
      </c>
      <c r="K720" s="5">
        <v>41</v>
      </c>
      <c r="L720" s="5">
        <v>2</v>
      </c>
      <c r="M720" s="5">
        <v>2</v>
      </c>
      <c r="N720" s="5">
        <v>0</v>
      </c>
      <c r="O720" s="5">
        <v>650.22</v>
      </c>
      <c r="P720" s="6">
        <v>0</v>
      </c>
    </row>
    <row r="721" spans="1:16" ht="23.4" x14ac:dyDescent="0.45">
      <c r="A721" s="4" t="s">
        <v>723</v>
      </c>
      <c r="B721" s="5" t="s">
        <v>15</v>
      </c>
      <c r="C721" s="5">
        <v>111543.42</v>
      </c>
      <c r="D721" s="5">
        <v>65</v>
      </c>
      <c r="E721" s="5">
        <v>1</v>
      </c>
      <c r="F721" s="5">
        <v>0.79679999999999995</v>
      </c>
      <c r="G721" s="5">
        <v>0.41010000000000002</v>
      </c>
      <c r="H721" s="5">
        <v>5</v>
      </c>
      <c r="I721" s="5">
        <v>53659.9</v>
      </c>
      <c r="J721" s="5">
        <v>34647.589999999997</v>
      </c>
      <c r="K721" s="5">
        <v>47</v>
      </c>
      <c r="L721" s="5">
        <v>1</v>
      </c>
      <c r="M721" s="5">
        <v>2</v>
      </c>
      <c r="N721" s="5">
        <v>1</v>
      </c>
      <c r="O721" s="5">
        <v>690.26</v>
      </c>
      <c r="P721" s="6">
        <v>0</v>
      </c>
    </row>
    <row r="722" spans="1:16" ht="23.4" x14ac:dyDescent="0.45">
      <c r="A722" s="4" t="s">
        <v>724</v>
      </c>
      <c r="B722" s="5" t="s">
        <v>18</v>
      </c>
      <c r="C722" s="5">
        <v>10207.16</v>
      </c>
      <c r="D722" s="5">
        <v>57</v>
      </c>
      <c r="E722" s="5">
        <v>0</v>
      </c>
      <c r="F722" s="5">
        <v>0.57440000000000002</v>
      </c>
      <c r="G722" s="5">
        <v>7.0000000000000001E-3</v>
      </c>
      <c r="H722" s="5">
        <v>0</v>
      </c>
      <c r="I722" s="5">
        <v>500</v>
      </c>
      <c r="J722" s="5">
        <v>2470.79</v>
      </c>
      <c r="K722" s="5">
        <v>29</v>
      </c>
      <c r="L722" s="5">
        <v>2</v>
      </c>
      <c r="M722" s="5">
        <v>3</v>
      </c>
      <c r="N722" s="5">
        <v>0</v>
      </c>
      <c r="O722" s="5">
        <v>738.15</v>
      </c>
      <c r="P722" s="6">
        <v>0</v>
      </c>
    </row>
    <row r="723" spans="1:16" ht="23.4" x14ac:dyDescent="0.45">
      <c r="A723" s="4" t="s">
        <v>725</v>
      </c>
      <c r="B723" s="5" t="s">
        <v>6</v>
      </c>
      <c r="C723" s="5">
        <v>150732.12</v>
      </c>
      <c r="D723" s="5">
        <v>32</v>
      </c>
      <c r="E723" s="5">
        <v>1</v>
      </c>
      <c r="F723" s="5">
        <v>0.94030000000000002</v>
      </c>
      <c r="G723" s="5">
        <v>0</v>
      </c>
      <c r="H723" s="5">
        <v>0</v>
      </c>
      <c r="I723" s="5">
        <v>500</v>
      </c>
      <c r="J723" s="5">
        <v>0</v>
      </c>
      <c r="K723" s="5">
        <v>173</v>
      </c>
      <c r="L723" s="5">
        <v>2</v>
      </c>
      <c r="M723" s="5">
        <v>2</v>
      </c>
      <c r="N723" s="5">
        <v>0</v>
      </c>
      <c r="O723" s="5">
        <v>698.9</v>
      </c>
      <c r="P723" s="6">
        <v>0</v>
      </c>
    </row>
    <row r="724" spans="1:16" ht="23.4" x14ac:dyDescent="0.45">
      <c r="A724" s="4" t="s">
        <v>726</v>
      </c>
      <c r="B724" s="5" t="s">
        <v>15</v>
      </c>
      <c r="C724" s="5">
        <v>72090.95</v>
      </c>
      <c r="D724" s="5">
        <v>27</v>
      </c>
      <c r="E724" s="5">
        <v>0</v>
      </c>
      <c r="F724" s="5">
        <v>0.59519999999999995</v>
      </c>
      <c r="G724" s="5">
        <v>0.58809999999999996</v>
      </c>
      <c r="H724" s="5">
        <v>5</v>
      </c>
      <c r="I724" s="5">
        <v>44833.91</v>
      </c>
      <c r="J724" s="5">
        <v>21492.41</v>
      </c>
      <c r="K724" s="5">
        <v>67</v>
      </c>
      <c r="L724" s="5">
        <v>1</v>
      </c>
      <c r="M724" s="5">
        <v>2</v>
      </c>
      <c r="N724" s="5">
        <v>0</v>
      </c>
      <c r="O724" s="5">
        <v>591.72</v>
      </c>
      <c r="P724" s="6">
        <v>0</v>
      </c>
    </row>
    <row r="725" spans="1:16" ht="23.4" x14ac:dyDescent="0.45">
      <c r="A725" s="4" t="s">
        <v>727</v>
      </c>
      <c r="B725" s="5" t="s">
        <v>4</v>
      </c>
      <c r="C725" s="5">
        <v>46657.58</v>
      </c>
      <c r="D725" s="5">
        <v>56</v>
      </c>
      <c r="E725" s="5">
        <v>1</v>
      </c>
      <c r="F725" s="5">
        <v>0.83750000000000002</v>
      </c>
      <c r="G725" s="5">
        <v>0.94910000000000005</v>
      </c>
      <c r="H725" s="5">
        <v>5</v>
      </c>
      <c r="I725" s="5">
        <v>50593</v>
      </c>
      <c r="J725" s="5">
        <v>34992.58</v>
      </c>
      <c r="K725" s="5">
        <v>129</v>
      </c>
      <c r="L725" s="5">
        <v>1</v>
      </c>
      <c r="M725" s="5">
        <v>1</v>
      </c>
      <c r="N725" s="5">
        <v>2</v>
      </c>
      <c r="O725" s="5">
        <v>666.82</v>
      </c>
      <c r="P725" s="6">
        <v>1</v>
      </c>
    </row>
    <row r="726" spans="1:16" ht="23.4" x14ac:dyDescent="0.45">
      <c r="A726" s="4" t="s">
        <v>728</v>
      </c>
      <c r="B726" s="5" t="s">
        <v>9</v>
      </c>
      <c r="C726" s="5">
        <v>67231.710000000006</v>
      </c>
      <c r="D726" s="5">
        <v>46</v>
      </c>
      <c r="E726" s="5">
        <v>1</v>
      </c>
      <c r="F726" s="5">
        <v>0.82769999999999999</v>
      </c>
      <c r="G726" s="5">
        <v>0.18279999999999999</v>
      </c>
      <c r="H726" s="5">
        <v>1</v>
      </c>
      <c r="I726" s="5">
        <v>1411.17</v>
      </c>
      <c r="J726" s="5">
        <v>5790.93</v>
      </c>
      <c r="K726" s="5">
        <v>39</v>
      </c>
      <c r="L726" s="5">
        <v>2</v>
      </c>
      <c r="M726" s="5">
        <v>1</v>
      </c>
      <c r="N726" s="5">
        <v>0</v>
      </c>
      <c r="O726" s="5">
        <v>733.22</v>
      </c>
      <c r="P726" s="6">
        <v>0</v>
      </c>
    </row>
    <row r="727" spans="1:16" ht="23.4" x14ac:dyDescent="0.45">
      <c r="A727" s="4" t="s">
        <v>729</v>
      </c>
      <c r="B727" s="5" t="s">
        <v>1</v>
      </c>
      <c r="C727" s="5">
        <v>69263.98</v>
      </c>
      <c r="D727" s="5">
        <v>30</v>
      </c>
      <c r="E727" s="5">
        <v>0</v>
      </c>
      <c r="F727" s="5">
        <v>1</v>
      </c>
      <c r="G727" s="5">
        <v>0.46610000000000001</v>
      </c>
      <c r="H727" s="5">
        <v>0</v>
      </c>
      <c r="I727" s="5">
        <v>36646.620000000003</v>
      </c>
      <c r="J727" s="5">
        <v>33930.67</v>
      </c>
      <c r="K727" s="5">
        <v>180</v>
      </c>
      <c r="L727" s="5">
        <v>2</v>
      </c>
      <c r="M727" s="5">
        <v>2</v>
      </c>
      <c r="N727" s="5">
        <v>0</v>
      </c>
      <c r="O727" s="5">
        <v>741</v>
      </c>
      <c r="P727" s="6">
        <v>0</v>
      </c>
    </row>
    <row r="728" spans="1:16" ht="23.4" x14ac:dyDescent="0.45">
      <c r="A728" s="4" t="s">
        <v>730</v>
      </c>
      <c r="B728" s="5" t="s">
        <v>9</v>
      </c>
      <c r="C728" s="5">
        <v>151069.79</v>
      </c>
      <c r="D728" s="5">
        <v>62</v>
      </c>
      <c r="E728" s="5">
        <v>1</v>
      </c>
      <c r="F728" s="5">
        <v>0.45889999999999997</v>
      </c>
      <c r="G728" s="5">
        <v>0.65210000000000001</v>
      </c>
      <c r="H728" s="5">
        <v>6</v>
      </c>
      <c r="I728" s="5">
        <v>116197.95</v>
      </c>
      <c r="J728" s="5">
        <v>67417.66</v>
      </c>
      <c r="K728" s="5">
        <v>161</v>
      </c>
      <c r="L728" s="5">
        <v>2</v>
      </c>
      <c r="M728" s="5">
        <v>3</v>
      </c>
      <c r="N728" s="5">
        <v>0</v>
      </c>
      <c r="O728" s="5">
        <v>664.93</v>
      </c>
      <c r="P728" s="6">
        <v>0</v>
      </c>
    </row>
    <row r="729" spans="1:16" ht="23.4" x14ac:dyDescent="0.45">
      <c r="A729" s="4" t="s">
        <v>731</v>
      </c>
      <c r="B729" s="5" t="s">
        <v>9</v>
      </c>
      <c r="C729" s="5">
        <v>50056.89</v>
      </c>
      <c r="D729" s="5">
        <v>48</v>
      </c>
      <c r="E729" s="5">
        <v>1</v>
      </c>
      <c r="F729" s="5">
        <v>1</v>
      </c>
      <c r="G729" s="5">
        <v>0.49819999999999998</v>
      </c>
      <c r="H729" s="5">
        <v>2</v>
      </c>
      <c r="I729" s="5">
        <v>14822.62</v>
      </c>
      <c r="J729" s="5">
        <v>22788</v>
      </c>
      <c r="K729" s="5">
        <v>45</v>
      </c>
      <c r="L729" s="5">
        <v>2</v>
      </c>
      <c r="M729" s="5">
        <v>3</v>
      </c>
      <c r="N729" s="5">
        <v>0</v>
      </c>
      <c r="O729" s="5">
        <v>728.6</v>
      </c>
      <c r="P729" s="6">
        <v>0</v>
      </c>
    </row>
    <row r="730" spans="1:16" ht="23.4" x14ac:dyDescent="0.45">
      <c r="A730" s="4" t="s">
        <v>732</v>
      </c>
      <c r="B730" s="5" t="s">
        <v>6</v>
      </c>
      <c r="C730" s="5">
        <v>93963.97</v>
      </c>
      <c r="D730" s="5">
        <v>26</v>
      </c>
      <c r="E730" s="5">
        <v>1</v>
      </c>
      <c r="F730" s="5">
        <v>0.52880000000000005</v>
      </c>
      <c r="G730" s="5">
        <v>0.1246</v>
      </c>
      <c r="H730" s="5">
        <v>1</v>
      </c>
      <c r="I730" s="5">
        <v>17780.7</v>
      </c>
      <c r="J730" s="5">
        <v>16736.150000000001</v>
      </c>
      <c r="K730" s="5">
        <v>23</v>
      </c>
      <c r="L730" s="5">
        <v>1</v>
      </c>
      <c r="M730" s="5">
        <v>1</v>
      </c>
      <c r="N730" s="5">
        <v>0</v>
      </c>
      <c r="O730" s="5">
        <v>747.88</v>
      </c>
      <c r="P730" s="6">
        <v>0</v>
      </c>
    </row>
    <row r="731" spans="1:16" ht="23.4" x14ac:dyDescent="0.45">
      <c r="A731" s="4" t="s">
        <v>733</v>
      </c>
      <c r="B731" s="5" t="s">
        <v>15</v>
      </c>
      <c r="C731" s="5">
        <v>159839.37</v>
      </c>
      <c r="D731" s="5">
        <v>51</v>
      </c>
      <c r="E731" s="5">
        <v>0</v>
      </c>
      <c r="F731" s="5">
        <v>1</v>
      </c>
      <c r="G731" s="5">
        <v>0.34279999999999999</v>
      </c>
      <c r="H731" s="5">
        <v>0</v>
      </c>
      <c r="I731" s="5">
        <v>66927.91</v>
      </c>
      <c r="J731" s="5">
        <v>73393.25</v>
      </c>
      <c r="K731" s="5">
        <v>130</v>
      </c>
      <c r="L731" s="5">
        <v>1</v>
      </c>
      <c r="M731" s="5">
        <v>2</v>
      </c>
      <c r="N731" s="5">
        <v>0</v>
      </c>
      <c r="O731" s="5">
        <v>683.44</v>
      </c>
      <c r="P731" s="6">
        <v>0</v>
      </c>
    </row>
    <row r="732" spans="1:16" ht="23.4" x14ac:dyDescent="0.45">
      <c r="A732" s="4" t="s">
        <v>734</v>
      </c>
      <c r="B732" s="5" t="s">
        <v>1</v>
      </c>
      <c r="C732" s="5">
        <v>110515.91</v>
      </c>
      <c r="D732" s="5">
        <v>44</v>
      </c>
      <c r="E732" s="5">
        <v>1</v>
      </c>
      <c r="F732" s="5">
        <v>0.64770000000000005</v>
      </c>
      <c r="G732" s="5">
        <v>5.11E-2</v>
      </c>
      <c r="H732" s="5">
        <v>1</v>
      </c>
      <c r="I732" s="5">
        <v>3209.08</v>
      </c>
      <c r="J732" s="5">
        <v>5192.07</v>
      </c>
      <c r="K732" s="5">
        <v>111</v>
      </c>
      <c r="L732" s="5">
        <v>2</v>
      </c>
      <c r="M732" s="5">
        <v>1</v>
      </c>
      <c r="N732" s="5">
        <v>2</v>
      </c>
      <c r="O732" s="5">
        <v>689.29</v>
      </c>
      <c r="P732" s="6">
        <v>0</v>
      </c>
    </row>
    <row r="733" spans="1:16" ht="23.4" x14ac:dyDescent="0.45">
      <c r="A733" s="4" t="s">
        <v>735</v>
      </c>
      <c r="B733" s="5" t="s">
        <v>6</v>
      </c>
      <c r="C733" s="5">
        <v>32889.839999999997</v>
      </c>
      <c r="D733" s="5">
        <v>68</v>
      </c>
      <c r="E733" s="5">
        <v>0</v>
      </c>
      <c r="F733" s="5">
        <v>0.77829999999999999</v>
      </c>
      <c r="G733" s="5">
        <v>2.47E-2</v>
      </c>
      <c r="H733" s="5">
        <v>0</v>
      </c>
      <c r="I733" s="5">
        <v>500</v>
      </c>
      <c r="J733" s="5">
        <v>6483.99</v>
      </c>
      <c r="K733" s="5">
        <v>151</v>
      </c>
      <c r="L733" s="5">
        <v>2</v>
      </c>
      <c r="M733" s="5">
        <v>1</v>
      </c>
      <c r="N733" s="5">
        <v>0</v>
      </c>
      <c r="O733" s="5">
        <v>777.2</v>
      </c>
      <c r="P733" s="6">
        <v>0</v>
      </c>
    </row>
    <row r="734" spans="1:16" ht="23.4" x14ac:dyDescent="0.45">
      <c r="A734" s="4" t="s">
        <v>736</v>
      </c>
      <c r="B734" s="5" t="s">
        <v>1</v>
      </c>
      <c r="C734" s="5">
        <v>131947.12</v>
      </c>
      <c r="D734" s="5">
        <v>62</v>
      </c>
      <c r="E734" s="5">
        <v>1</v>
      </c>
      <c r="F734" s="5">
        <v>0.82420000000000004</v>
      </c>
      <c r="G734" s="5">
        <v>0</v>
      </c>
      <c r="H734" s="5">
        <v>0</v>
      </c>
      <c r="I734" s="5">
        <v>7320.74</v>
      </c>
      <c r="J734" s="5">
        <v>8535.42</v>
      </c>
      <c r="K734" s="5">
        <v>33</v>
      </c>
      <c r="L734" s="5">
        <v>3</v>
      </c>
      <c r="M734" s="5">
        <v>3</v>
      </c>
      <c r="N734" s="5">
        <v>1</v>
      </c>
      <c r="O734" s="5">
        <v>765.62</v>
      </c>
      <c r="P734" s="6">
        <v>0</v>
      </c>
    </row>
    <row r="735" spans="1:16" ht="23.4" x14ac:dyDescent="0.45">
      <c r="A735" s="4" t="s">
        <v>737</v>
      </c>
      <c r="B735" s="5" t="s">
        <v>15</v>
      </c>
      <c r="C735" s="5">
        <v>128169.32</v>
      </c>
      <c r="D735" s="5">
        <v>59</v>
      </c>
      <c r="E735" s="5">
        <v>0</v>
      </c>
      <c r="F735" s="5">
        <v>0.38979999999999998</v>
      </c>
      <c r="G735" s="5">
        <v>0.4335</v>
      </c>
      <c r="H735" s="5">
        <v>1</v>
      </c>
      <c r="I735" s="5">
        <v>57361.33</v>
      </c>
      <c r="J735" s="5">
        <v>36409.760000000002</v>
      </c>
      <c r="K735" s="5">
        <v>126</v>
      </c>
      <c r="L735" s="5">
        <v>1</v>
      </c>
      <c r="M735" s="5">
        <v>1</v>
      </c>
      <c r="N735" s="5">
        <v>1</v>
      </c>
      <c r="O735" s="5">
        <v>670.42</v>
      </c>
      <c r="P735" s="6">
        <v>0</v>
      </c>
    </row>
    <row r="736" spans="1:16" ht="23.4" x14ac:dyDescent="0.45">
      <c r="A736" s="4" t="s">
        <v>738</v>
      </c>
      <c r="B736" s="5" t="s">
        <v>18</v>
      </c>
      <c r="C736" s="5">
        <v>92447.360000000001</v>
      </c>
      <c r="D736" s="5">
        <v>44</v>
      </c>
      <c r="E736" s="5">
        <v>0</v>
      </c>
      <c r="F736" s="5">
        <v>0.629</v>
      </c>
      <c r="G736" s="5">
        <v>0.57050000000000001</v>
      </c>
      <c r="H736" s="5">
        <v>0</v>
      </c>
      <c r="I736" s="5">
        <v>55096.41</v>
      </c>
      <c r="J736" s="5">
        <v>41271.480000000003</v>
      </c>
      <c r="K736" s="5">
        <v>11</v>
      </c>
      <c r="L736" s="5">
        <v>4</v>
      </c>
      <c r="M736" s="5">
        <v>2</v>
      </c>
      <c r="N736" s="5">
        <v>0</v>
      </c>
      <c r="O736" s="5">
        <v>663.35</v>
      </c>
      <c r="P736" s="6">
        <v>0</v>
      </c>
    </row>
    <row r="737" spans="1:16" ht="23.4" x14ac:dyDescent="0.45">
      <c r="A737" s="4" t="s">
        <v>739</v>
      </c>
      <c r="B737" s="5" t="s">
        <v>6</v>
      </c>
      <c r="C737" s="5">
        <v>75842.429999999993</v>
      </c>
      <c r="D737" s="5">
        <v>46</v>
      </c>
      <c r="E737" s="5">
        <v>1</v>
      </c>
      <c r="F737" s="5">
        <v>1</v>
      </c>
      <c r="G737" s="5">
        <v>0.64980000000000004</v>
      </c>
      <c r="H737" s="5">
        <v>2</v>
      </c>
      <c r="I737" s="5">
        <v>53986.12</v>
      </c>
      <c r="J737" s="5">
        <v>46971.839999999997</v>
      </c>
      <c r="K737" s="5">
        <v>53</v>
      </c>
      <c r="L737" s="5">
        <v>3</v>
      </c>
      <c r="M737" s="5">
        <v>1</v>
      </c>
      <c r="N737" s="5">
        <v>2</v>
      </c>
      <c r="O737" s="5">
        <v>841.67</v>
      </c>
      <c r="P737" s="6">
        <v>0</v>
      </c>
    </row>
    <row r="738" spans="1:16" ht="23.4" x14ac:dyDescent="0.45">
      <c r="A738" s="4" t="s">
        <v>740</v>
      </c>
      <c r="B738" s="5" t="s">
        <v>18</v>
      </c>
      <c r="C738" s="5">
        <v>90538.42</v>
      </c>
      <c r="D738" s="5">
        <v>43</v>
      </c>
      <c r="E738" s="5">
        <v>0</v>
      </c>
      <c r="F738" s="5">
        <v>0.58009999999999995</v>
      </c>
      <c r="G738" s="5">
        <v>0.66769999999999996</v>
      </c>
      <c r="H738" s="5">
        <v>3</v>
      </c>
      <c r="I738" s="5">
        <v>34850.92</v>
      </c>
      <c r="J738" s="5">
        <v>18929.18</v>
      </c>
      <c r="K738" s="5">
        <v>117</v>
      </c>
      <c r="L738" s="5">
        <v>2</v>
      </c>
      <c r="M738" s="5">
        <v>2</v>
      </c>
      <c r="N738" s="5">
        <v>0</v>
      </c>
      <c r="O738" s="5">
        <v>770.88</v>
      </c>
      <c r="P738" s="6">
        <v>0</v>
      </c>
    </row>
    <row r="739" spans="1:16" ht="23.4" x14ac:dyDescent="0.45">
      <c r="A739" s="4" t="s">
        <v>741</v>
      </c>
      <c r="B739" s="5" t="s">
        <v>6</v>
      </c>
      <c r="C739" s="5">
        <v>94906.02</v>
      </c>
      <c r="D739" s="5">
        <v>25</v>
      </c>
      <c r="E739" s="5">
        <v>0</v>
      </c>
      <c r="F739" s="5">
        <v>0.6552</v>
      </c>
      <c r="G739" s="5">
        <v>7.6200000000000004E-2</v>
      </c>
      <c r="H739" s="5">
        <v>3</v>
      </c>
      <c r="I739" s="5">
        <v>24705.34</v>
      </c>
      <c r="J739" s="5">
        <v>22160.880000000001</v>
      </c>
      <c r="K739" s="5">
        <v>87</v>
      </c>
      <c r="L739" s="5">
        <v>1</v>
      </c>
      <c r="M739" s="5">
        <v>2</v>
      </c>
      <c r="N739" s="5">
        <v>2</v>
      </c>
      <c r="O739" s="5">
        <v>635.05999999999995</v>
      </c>
      <c r="P739" s="6">
        <v>0</v>
      </c>
    </row>
    <row r="740" spans="1:16" ht="23.4" x14ac:dyDescent="0.45">
      <c r="A740" s="4" t="s">
        <v>742</v>
      </c>
      <c r="B740" s="5" t="s">
        <v>1</v>
      </c>
      <c r="C740" s="5">
        <v>57682.18</v>
      </c>
      <c r="D740" s="5">
        <v>64</v>
      </c>
      <c r="E740" s="5">
        <v>1</v>
      </c>
      <c r="F740" s="5">
        <v>1</v>
      </c>
      <c r="G740" s="5">
        <v>0.14779999999999999</v>
      </c>
      <c r="H740" s="5">
        <v>3</v>
      </c>
      <c r="I740" s="5">
        <v>24934.66</v>
      </c>
      <c r="J740" s="5">
        <v>20149.98</v>
      </c>
      <c r="K740" s="5">
        <v>38</v>
      </c>
      <c r="L740" s="5">
        <v>2</v>
      </c>
      <c r="M740" s="5">
        <v>2</v>
      </c>
      <c r="N740" s="5">
        <v>1</v>
      </c>
      <c r="O740" s="5">
        <v>850</v>
      </c>
      <c r="P740" s="6">
        <v>0</v>
      </c>
    </row>
    <row r="741" spans="1:16" ht="23.4" x14ac:dyDescent="0.45">
      <c r="A741" s="4" t="s">
        <v>743</v>
      </c>
      <c r="B741" s="5" t="s">
        <v>18</v>
      </c>
      <c r="C741" s="5">
        <v>106922.6</v>
      </c>
      <c r="D741" s="5">
        <v>65</v>
      </c>
      <c r="E741" s="5">
        <v>1</v>
      </c>
      <c r="F741" s="5">
        <v>0.58450000000000002</v>
      </c>
      <c r="G741" s="5">
        <v>0.35699999999999998</v>
      </c>
      <c r="H741" s="5">
        <v>1</v>
      </c>
      <c r="I741" s="5">
        <v>47821.19</v>
      </c>
      <c r="J741" s="5">
        <v>50725.19</v>
      </c>
      <c r="K741" s="5">
        <v>153</v>
      </c>
      <c r="L741" s="5">
        <v>4</v>
      </c>
      <c r="M741" s="5">
        <v>1</v>
      </c>
      <c r="N741" s="5">
        <v>0</v>
      </c>
      <c r="O741" s="5">
        <v>644.34</v>
      </c>
      <c r="P741" s="6">
        <v>0</v>
      </c>
    </row>
    <row r="742" spans="1:16" ht="23.4" x14ac:dyDescent="0.45">
      <c r="A742" s="4" t="s">
        <v>744</v>
      </c>
      <c r="B742" s="5" t="s">
        <v>18</v>
      </c>
      <c r="C742" s="5">
        <v>60849.51</v>
      </c>
      <c r="D742" s="5">
        <v>28</v>
      </c>
      <c r="E742" s="5">
        <v>0</v>
      </c>
      <c r="F742" s="5">
        <v>1</v>
      </c>
      <c r="G742" s="5">
        <v>0.28670000000000001</v>
      </c>
      <c r="H742" s="5">
        <v>0</v>
      </c>
      <c r="I742" s="5">
        <v>2615.5300000000002</v>
      </c>
      <c r="J742" s="5">
        <v>4337.09</v>
      </c>
      <c r="K742" s="5">
        <v>96</v>
      </c>
      <c r="L742" s="5">
        <v>3</v>
      </c>
      <c r="M742" s="5">
        <v>1</v>
      </c>
      <c r="N742" s="5">
        <v>3</v>
      </c>
      <c r="O742" s="5">
        <v>676.69</v>
      </c>
      <c r="P742" s="6">
        <v>0</v>
      </c>
    </row>
    <row r="743" spans="1:16" ht="23.4" x14ac:dyDescent="0.45">
      <c r="A743" s="4" t="s">
        <v>745</v>
      </c>
      <c r="B743" s="5" t="s">
        <v>6</v>
      </c>
      <c r="C743" s="5">
        <v>178195.62</v>
      </c>
      <c r="D743" s="5">
        <v>44</v>
      </c>
      <c r="E743" s="5">
        <v>1</v>
      </c>
      <c r="F743" s="5">
        <v>0.81920000000000004</v>
      </c>
      <c r="G743" s="5">
        <v>0.70120000000000005</v>
      </c>
      <c r="H743" s="5">
        <v>2</v>
      </c>
      <c r="I743" s="5">
        <v>121055.07</v>
      </c>
      <c r="J743" s="5">
        <v>94963.54</v>
      </c>
      <c r="K743" s="5">
        <v>117</v>
      </c>
      <c r="L743" s="5">
        <v>2</v>
      </c>
      <c r="M743" s="5">
        <v>2</v>
      </c>
      <c r="N743" s="5">
        <v>2</v>
      </c>
      <c r="O743" s="5">
        <v>616.44000000000005</v>
      </c>
      <c r="P743" s="6">
        <v>0</v>
      </c>
    </row>
    <row r="744" spans="1:16" ht="23.4" x14ac:dyDescent="0.45">
      <c r="A744" s="4" t="s">
        <v>746</v>
      </c>
      <c r="B744" s="5" t="s">
        <v>6</v>
      </c>
      <c r="C744" s="5">
        <v>105645.73</v>
      </c>
      <c r="D744" s="5">
        <v>27</v>
      </c>
      <c r="E744" s="5">
        <v>1</v>
      </c>
      <c r="F744" s="5">
        <v>0.75</v>
      </c>
      <c r="G744" s="5">
        <v>0.4385</v>
      </c>
      <c r="H744" s="5">
        <v>3</v>
      </c>
      <c r="I744" s="5">
        <v>52719.09</v>
      </c>
      <c r="J744" s="5">
        <v>35363.120000000003</v>
      </c>
      <c r="K744" s="5">
        <v>165</v>
      </c>
      <c r="L744" s="5">
        <v>3</v>
      </c>
      <c r="M744" s="5">
        <v>1</v>
      </c>
      <c r="N744" s="5">
        <v>0</v>
      </c>
      <c r="O744" s="5">
        <v>691.44</v>
      </c>
      <c r="P744" s="6">
        <v>0</v>
      </c>
    </row>
    <row r="745" spans="1:16" ht="23.4" x14ac:dyDescent="0.45">
      <c r="A745" s="4" t="s">
        <v>747</v>
      </c>
      <c r="B745" s="5" t="s">
        <v>4</v>
      </c>
      <c r="C745" s="5">
        <v>84336.85</v>
      </c>
      <c r="D745" s="5">
        <v>47</v>
      </c>
      <c r="E745" s="5">
        <v>0</v>
      </c>
      <c r="F745" s="5">
        <v>0.78220000000000001</v>
      </c>
      <c r="G745" s="5">
        <v>0.82069999999999999</v>
      </c>
      <c r="H745" s="5">
        <v>4</v>
      </c>
      <c r="I745" s="5">
        <v>66855.23</v>
      </c>
      <c r="J745" s="5">
        <v>59814.21</v>
      </c>
      <c r="K745" s="5">
        <v>95</v>
      </c>
      <c r="L745" s="5">
        <v>4</v>
      </c>
      <c r="M745" s="5">
        <v>3</v>
      </c>
      <c r="N745" s="5">
        <v>0</v>
      </c>
      <c r="O745" s="5">
        <v>562.72</v>
      </c>
      <c r="P745" s="6">
        <v>0</v>
      </c>
    </row>
    <row r="746" spans="1:16" ht="23.4" x14ac:dyDescent="0.45">
      <c r="A746" s="4" t="s">
        <v>748</v>
      </c>
      <c r="B746" s="5" t="s">
        <v>9</v>
      </c>
      <c r="C746" s="5">
        <v>68839.570000000007</v>
      </c>
      <c r="D746" s="5">
        <v>21</v>
      </c>
      <c r="E746" s="5">
        <v>0</v>
      </c>
      <c r="F746" s="5">
        <v>0.38490000000000002</v>
      </c>
      <c r="G746" s="5">
        <v>0.8054</v>
      </c>
      <c r="H746" s="5">
        <v>3</v>
      </c>
      <c r="I746" s="5">
        <v>43621.51</v>
      </c>
      <c r="J746" s="5">
        <v>23865.05</v>
      </c>
      <c r="K746" s="5">
        <v>174</v>
      </c>
      <c r="L746" s="5">
        <v>1</v>
      </c>
      <c r="M746" s="5">
        <v>2</v>
      </c>
      <c r="N746" s="5">
        <v>1</v>
      </c>
      <c r="O746" s="5">
        <v>593.39</v>
      </c>
      <c r="P746" s="6">
        <v>0</v>
      </c>
    </row>
    <row r="747" spans="1:16" ht="23.4" x14ac:dyDescent="0.45">
      <c r="A747" s="4" t="s">
        <v>749</v>
      </c>
      <c r="B747" s="5" t="s">
        <v>1</v>
      </c>
      <c r="C747" s="5">
        <v>107085.24</v>
      </c>
      <c r="D747" s="5">
        <v>47</v>
      </c>
      <c r="E747" s="5">
        <v>0</v>
      </c>
      <c r="F747" s="5">
        <v>0.74519999999999997</v>
      </c>
      <c r="G747" s="5">
        <v>0.4118</v>
      </c>
      <c r="H747" s="5">
        <v>4</v>
      </c>
      <c r="I747" s="5">
        <v>16264.61</v>
      </c>
      <c r="J747" s="5">
        <v>0</v>
      </c>
      <c r="K747" s="5">
        <v>87</v>
      </c>
      <c r="L747" s="5">
        <v>1</v>
      </c>
      <c r="M747" s="5">
        <v>3</v>
      </c>
      <c r="N747" s="5">
        <v>3</v>
      </c>
      <c r="O747" s="5">
        <v>694.75</v>
      </c>
      <c r="P747" s="6">
        <v>0</v>
      </c>
    </row>
    <row r="748" spans="1:16" ht="23.4" x14ac:dyDescent="0.45">
      <c r="A748" s="4" t="s">
        <v>750</v>
      </c>
      <c r="B748" s="5" t="s">
        <v>18</v>
      </c>
      <c r="C748" s="5">
        <v>119033.06</v>
      </c>
      <c r="D748" s="5">
        <v>62</v>
      </c>
      <c r="E748" s="5">
        <v>1</v>
      </c>
      <c r="F748" s="5">
        <v>0.67830000000000001</v>
      </c>
      <c r="G748" s="5">
        <v>0.3362</v>
      </c>
      <c r="H748" s="5">
        <v>3</v>
      </c>
      <c r="I748" s="5">
        <v>54475.93</v>
      </c>
      <c r="J748" s="5">
        <v>33058.050000000003</v>
      </c>
      <c r="K748" s="5">
        <v>168</v>
      </c>
      <c r="L748" s="5">
        <v>2</v>
      </c>
      <c r="M748" s="5">
        <v>2</v>
      </c>
      <c r="N748" s="5">
        <v>0</v>
      </c>
      <c r="O748" s="5">
        <v>689.87</v>
      </c>
      <c r="P748" s="6">
        <v>0</v>
      </c>
    </row>
    <row r="749" spans="1:16" ht="23.4" x14ac:dyDescent="0.45">
      <c r="A749" s="4" t="s">
        <v>751</v>
      </c>
      <c r="B749" s="5" t="s">
        <v>1</v>
      </c>
      <c r="C749" s="5">
        <v>114047.03999999999</v>
      </c>
      <c r="D749" s="5">
        <v>66</v>
      </c>
      <c r="E749" s="5">
        <v>0</v>
      </c>
      <c r="F749" s="5">
        <v>0.77490000000000003</v>
      </c>
      <c r="G749" s="5">
        <v>0.11899999999999999</v>
      </c>
      <c r="H749" s="5">
        <v>0</v>
      </c>
      <c r="I749" s="5">
        <v>500</v>
      </c>
      <c r="J749" s="5">
        <v>6557.34</v>
      </c>
      <c r="K749" s="5">
        <v>72</v>
      </c>
      <c r="L749" s="5">
        <v>3</v>
      </c>
      <c r="M749" s="5">
        <v>1</v>
      </c>
      <c r="N749" s="5">
        <v>0</v>
      </c>
      <c r="O749" s="5">
        <v>663.16</v>
      </c>
      <c r="P749" s="6">
        <v>0</v>
      </c>
    </row>
    <row r="750" spans="1:16" ht="23.4" x14ac:dyDescent="0.45">
      <c r="A750" s="4" t="s">
        <v>752</v>
      </c>
      <c r="B750" s="5" t="s">
        <v>15</v>
      </c>
      <c r="C750" s="5">
        <v>96766.96</v>
      </c>
      <c r="D750" s="5">
        <v>70</v>
      </c>
      <c r="E750" s="5">
        <v>1</v>
      </c>
      <c r="F750" s="5">
        <v>0.70489999999999997</v>
      </c>
      <c r="G750" s="5">
        <v>0.35049999999999998</v>
      </c>
      <c r="H750" s="5">
        <v>2</v>
      </c>
      <c r="I750" s="5">
        <v>25025.91</v>
      </c>
      <c r="J750" s="5">
        <v>0</v>
      </c>
      <c r="K750" s="5">
        <v>26</v>
      </c>
      <c r="L750" s="5">
        <v>2</v>
      </c>
      <c r="M750" s="5">
        <v>1</v>
      </c>
      <c r="N750" s="5">
        <v>1</v>
      </c>
      <c r="O750" s="5">
        <v>791.21</v>
      </c>
      <c r="P750" s="6">
        <v>0</v>
      </c>
    </row>
    <row r="751" spans="1:16" ht="23.4" x14ac:dyDescent="0.45">
      <c r="A751" s="4" t="s">
        <v>753</v>
      </c>
      <c r="B751" s="5" t="s">
        <v>6</v>
      </c>
      <c r="C751" s="5">
        <v>83358.89</v>
      </c>
      <c r="D751" s="5">
        <v>32</v>
      </c>
      <c r="E751" s="5">
        <v>1</v>
      </c>
      <c r="F751" s="5">
        <v>0.72760000000000002</v>
      </c>
      <c r="G751" s="5">
        <v>0.93300000000000005</v>
      </c>
      <c r="H751" s="5">
        <v>4</v>
      </c>
      <c r="I751" s="5">
        <v>95542.87</v>
      </c>
      <c r="J751" s="5">
        <v>66437.97</v>
      </c>
      <c r="K751" s="5">
        <v>102</v>
      </c>
      <c r="L751" s="5">
        <v>3</v>
      </c>
      <c r="M751" s="5">
        <v>2</v>
      </c>
      <c r="N751" s="5">
        <v>0</v>
      </c>
      <c r="O751" s="5">
        <v>767.04</v>
      </c>
      <c r="P751" s="6">
        <v>0</v>
      </c>
    </row>
    <row r="752" spans="1:16" ht="23.4" x14ac:dyDescent="0.45">
      <c r="A752" s="4" t="s">
        <v>754</v>
      </c>
      <c r="B752" s="5" t="s">
        <v>18</v>
      </c>
      <c r="C752" s="5">
        <v>45315.63</v>
      </c>
      <c r="D752" s="5">
        <v>58</v>
      </c>
      <c r="E752" s="5">
        <v>0</v>
      </c>
      <c r="F752" s="5">
        <v>0.49519999999999997</v>
      </c>
      <c r="G752" s="5">
        <v>0.48130000000000001</v>
      </c>
      <c r="H752" s="5">
        <v>2</v>
      </c>
      <c r="I752" s="5">
        <v>28694.92</v>
      </c>
      <c r="J752" s="5">
        <v>15354.45</v>
      </c>
      <c r="K752" s="5">
        <v>42</v>
      </c>
      <c r="L752" s="5">
        <v>1</v>
      </c>
      <c r="M752" s="5">
        <v>2</v>
      </c>
      <c r="N752" s="5">
        <v>0</v>
      </c>
      <c r="O752" s="5">
        <v>614.14</v>
      </c>
      <c r="P752" s="6">
        <v>0</v>
      </c>
    </row>
    <row r="753" spans="1:16" ht="23.4" x14ac:dyDescent="0.45">
      <c r="A753" s="4" t="s">
        <v>755</v>
      </c>
      <c r="B753" s="5" t="s">
        <v>9</v>
      </c>
      <c r="C753" s="5">
        <v>91540.71</v>
      </c>
      <c r="D753" s="5">
        <v>46</v>
      </c>
      <c r="E753" s="5">
        <v>1</v>
      </c>
      <c r="F753" s="5">
        <v>0.98740000000000006</v>
      </c>
      <c r="G753" s="5">
        <v>0.6633</v>
      </c>
      <c r="H753" s="5">
        <v>2</v>
      </c>
      <c r="I753" s="5">
        <v>69652.75</v>
      </c>
      <c r="J753" s="5">
        <v>51499.81</v>
      </c>
      <c r="K753" s="5">
        <v>113</v>
      </c>
      <c r="L753" s="5">
        <v>2</v>
      </c>
      <c r="M753" s="5">
        <v>1</v>
      </c>
      <c r="N753" s="5">
        <v>2</v>
      </c>
      <c r="O753" s="5">
        <v>686.14</v>
      </c>
      <c r="P753" s="6">
        <v>0</v>
      </c>
    </row>
    <row r="754" spans="1:16" ht="23.4" x14ac:dyDescent="0.45">
      <c r="A754" s="4" t="s">
        <v>756</v>
      </c>
      <c r="B754" s="5" t="s">
        <v>4</v>
      </c>
      <c r="C754" s="5">
        <v>92742.61</v>
      </c>
      <c r="D754" s="5">
        <v>32</v>
      </c>
      <c r="E754" s="5">
        <v>1</v>
      </c>
      <c r="F754" s="5">
        <v>0.7258</v>
      </c>
      <c r="G754" s="5">
        <v>0.2102</v>
      </c>
      <c r="H754" s="5">
        <v>0</v>
      </c>
      <c r="I754" s="5">
        <v>24074.82</v>
      </c>
      <c r="J754" s="5">
        <v>13460.23</v>
      </c>
      <c r="K754" s="5">
        <v>93</v>
      </c>
      <c r="L754" s="5">
        <v>4</v>
      </c>
      <c r="M754" s="5">
        <v>1</v>
      </c>
      <c r="N754" s="5">
        <v>1</v>
      </c>
      <c r="O754" s="5">
        <v>686.54</v>
      </c>
      <c r="P754" s="6">
        <v>0</v>
      </c>
    </row>
    <row r="755" spans="1:16" ht="23.4" x14ac:dyDescent="0.45">
      <c r="A755" s="4" t="s">
        <v>757</v>
      </c>
      <c r="B755" s="5" t="s">
        <v>4</v>
      </c>
      <c r="C755" s="5">
        <v>82391.09</v>
      </c>
      <c r="D755" s="5">
        <v>28</v>
      </c>
      <c r="E755" s="5">
        <v>0</v>
      </c>
      <c r="F755" s="5">
        <v>0.71719999999999995</v>
      </c>
      <c r="G755" s="5">
        <v>0.45729999999999998</v>
      </c>
      <c r="H755" s="5">
        <v>5</v>
      </c>
      <c r="I755" s="5">
        <v>40270.949999999997</v>
      </c>
      <c r="J755" s="5">
        <v>36912.17</v>
      </c>
      <c r="K755" s="5">
        <v>35</v>
      </c>
      <c r="L755" s="5">
        <v>3</v>
      </c>
      <c r="M755" s="5">
        <v>1</v>
      </c>
      <c r="N755" s="5">
        <v>0</v>
      </c>
      <c r="O755" s="5">
        <v>797.99</v>
      </c>
      <c r="P755" s="6">
        <v>0</v>
      </c>
    </row>
    <row r="756" spans="1:16" ht="23.4" x14ac:dyDescent="0.45">
      <c r="A756" s="4" t="s">
        <v>758</v>
      </c>
      <c r="B756" s="5" t="s">
        <v>18</v>
      </c>
      <c r="C756" s="5">
        <v>81600.960000000006</v>
      </c>
      <c r="D756" s="5">
        <v>38</v>
      </c>
      <c r="E756" s="5">
        <v>0</v>
      </c>
      <c r="F756" s="5">
        <v>0.60289999999999999</v>
      </c>
      <c r="G756" s="5">
        <v>0</v>
      </c>
      <c r="H756" s="5">
        <v>1</v>
      </c>
      <c r="I756" s="5">
        <v>500</v>
      </c>
      <c r="J756" s="5">
        <v>8570.4500000000007</v>
      </c>
      <c r="K756" s="5">
        <v>81</v>
      </c>
      <c r="L756" s="5">
        <v>2</v>
      </c>
      <c r="M756" s="5">
        <v>2</v>
      </c>
      <c r="N756" s="5">
        <v>0</v>
      </c>
      <c r="O756" s="5">
        <v>850</v>
      </c>
      <c r="P756" s="6">
        <v>0</v>
      </c>
    </row>
    <row r="757" spans="1:16" ht="23.4" x14ac:dyDescent="0.45">
      <c r="A757" s="4" t="s">
        <v>759</v>
      </c>
      <c r="B757" s="5" t="s">
        <v>9</v>
      </c>
      <c r="C757" s="5">
        <v>56349.3</v>
      </c>
      <c r="D757" s="5">
        <v>33</v>
      </c>
      <c r="E757" s="5">
        <v>0</v>
      </c>
      <c r="F757" s="5">
        <v>0.53900000000000003</v>
      </c>
      <c r="G757" s="5">
        <v>0</v>
      </c>
      <c r="H757" s="5">
        <v>0</v>
      </c>
      <c r="I757" s="5">
        <v>14699.24</v>
      </c>
      <c r="J757" s="5">
        <v>0</v>
      </c>
      <c r="K757" s="5">
        <v>85</v>
      </c>
      <c r="L757" s="5">
        <v>1</v>
      </c>
      <c r="M757" s="5">
        <v>1</v>
      </c>
      <c r="N757" s="5">
        <v>1</v>
      </c>
      <c r="O757" s="5">
        <v>663.34</v>
      </c>
      <c r="P757" s="6">
        <v>0</v>
      </c>
    </row>
    <row r="758" spans="1:16" ht="23.4" x14ac:dyDescent="0.45">
      <c r="A758" s="4" t="s">
        <v>760</v>
      </c>
      <c r="B758" s="5" t="s">
        <v>18</v>
      </c>
      <c r="C758" s="5">
        <v>32822.160000000003</v>
      </c>
      <c r="D758" s="5">
        <v>38</v>
      </c>
      <c r="E758" s="5">
        <v>0</v>
      </c>
      <c r="F758" s="5">
        <v>0.78939999999999999</v>
      </c>
      <c r="G758" s="5">
        <v>0.54049999999999998</v>
      </c>
      <c r="H758" s="5">
        <v>1</v>
      </c>
      <c r="I758" s="5">
        <v>5327.27</v>
      </c>
      <c r="J758" s="5">
        <v>0</v>
      </c>
      <c r="K758" s="5">
        <v>151</v>
      </c>
      <c r="L758" s="5">
        <v>2</v>
      </c>
      <c r="M758" s="5">
        <v>2</v>
      </c>
      <c r="N758" s="5">
        <v>2</v>
      </c>
      <c r="O758" s="5">
        <v>581.88</v>
      </c>
      <c r="P758" s="6">
        <v>0</v>
      </c>
    </row>
    <row r="759" spans="1:16" ht="23.4" x14ac:dyDescent="0.45">
      <c r="A759" s="4" t="s">
        <v>761</v>
      </c>
      <c r="B759" s="5" t="s">
        <v>1</v>
      </c>
      <c r="C759" s="5">
        <v>119520.61</v>
      </c>
      <c r="D759" s="5">
        <v>37</v>
      </c>
      <c r="E759" s="5">
        <v>1</v>
      </c>
      <c r="F759" s="5">
        <v>0.5575</v>
      </c>
      <c r="G759" s="5">
        <v>0.2918</v>
      </c>
      <c r="H759" s="5">
        <v>3</v>
      </c>
      <c r="I759" s="5">
        <v>15746.43</v>
      </c>
      <c r="J759" s="5">
        <v>17087.560000000001</v>
      </c>
      <c r="K759" s="5">
        <v>13</v>
      </c>
      <c r="L759" s="5">
        <v>1</v>
      </c>
      <c r="M759" s="5">
        <v>2</v>
      </c>
      <c r="N759" s="5">
        <v>0</v>
      </c>
      <c r="O759" s="5">
        <v>681.41</v>
      </c>
      <c r="P759" s="6">
        <v>0</v>
      </c>
    </row>
    <row r="760" spans="1:16" ht="23.4" x14ac:dyDescent="0.45">
      <c r="A760" s="4" t="s">
        <v>762</v>
      </c>
      <c r="B760" s="5" t="s">
        <v>15</v>
      </c>
      <c r="C760" s="5">
        <v>90921.39</v>
      </c>
      <c r="D760" s="5">
        <v>44</v>
      </c>
      <c r="E760" s="5">
        <v>1</v>
      </c>
      <c r="F760" s="5">
        <v>0.83919999999999995</v>
      </c>
      <c r="G760" s="5">
        <v>9.8500000000000004E-2</v>
      </c>
      <c r="H760" s="5">
        <v>3</v>
      </c>
      <c r="I760" s="5">
        <v>18403.66</v>
      </c>
      <c r="J760" s="5">
        <v>18409.09</v>
      </c>
      <c r="K760" s="5">
        <v>8</v>
      </c>
      <c r="L760" s="5">
        <v>2</v>
      </c>
      <c r="M760" s="5">
        <v>1</v>
      </c>
      <c r="N760" s="5">
        <v>1</v>
      </c>
      <c r="O760" s="5">
        <v>723.84</v>
      </c>
      <c r="P760" s="6">
        <v>0</v>
      </c>
    </row>
    <row r="761" spans="1:16" ht="23.4" x14ac:dyDescent="0.45">
      <c r="A761" s="4" t="s">
        <v>763</v>
      </c>
      <c r="B761" s="5" t="s">
        <v>18</v>
      </c>
      <c r="C761" s="5">
        <v>119493.78</v>
      </c>
      <c r="D761" s="5">
        <v>39</v>
      </c>
      <c r="E761" s="5">
        <v>0</v>
      </c>
      <c r="F761" s="5">
        <v>0.50360000000000005</v>
      </c>
      <c r="G761" s="5">
        <v>0.21729999999999999</v>
      </c>
      <c r="H761" s="5">
        <v>3</v>
      </c>
      <c r="I761" s="5">
        <v>33265.26</v>
      </c>
      <c r="J761" s="5">
        <v>7090.49</v>
      </c>
      <c r="K761" s="5">
        <v>177</v>
      </c>
      <c r="L761" s="5">
        <v>1</v>
      </c>
      <c r="M761" s="5">
        <v>2</v>
      </c>
      <c r="N761" s="5">
        <v>0</v>
      </c>
      <c r="O761" s="5">
        <v>615.03</v>
      </c>
      <c r="P761" s="6">
        <v>0</v>
      </c>
    </row>
    <row r="762" spans="1:16" ht="23.4" x14ac:dyDescent="0.45">
      <c r="A762" s="4" t="s">
        <v>764</v>
      </c>
      <c r="B762" s="5" t="s">
        <v>15</v>
      </c>
      <c r="C762" s="5">
        <v>73668.55</v>
      </c>
      <c r="D762" s="5">
        <v>33</v>
      </c>
      <c r="E762" s="5">
        <v>1</v>
      </c>
      <c r="F762" s="5">
        <v>0.86</v>
      </c>
      <c r="G762" s="5">
        <v>0.67769999999999997</v>
      </c>
      <c r="H762" s="5">
        <v>5</v>
      </c>
      <c r="I762" s="5">
        <v>61423.65</v>
      </c>
      <c r="J762" s="5">
        <v>47555.98</v>
      </c>
      <c r="K762" s="5">
        <v>36</v>
      </c>
      <c r="L762" s="5">
        <v>1</v>
      </c>
      <c r="M762" s="5">
        <v>1</v>
      </c>
      <c r="N762" s="5">
        <v>0</v>
      </c>
      <c r="O762" s="5">
        <v>640.70000000000005</v>
      </c>
      <c r="P762" s="6">
        <v>0</v>
      </c>
    </row>
    <row r="763" spans="1:16" ht="23.4" x14ac:dyDescent="0.45">
      <c r="A763" s="4" t="s">
        <v>765</v>
      </c>
      <c r="B763" s="5" t="s">
        <v>4</v>
      </c>
      <c r="C763" s="5">
        <v>129597.91</v>
      </c>
      <c r="D763" s="5">
        <v>62</v>
      </c>
      <c r="E763" s="5">
        <v>0</v>
      </c>
      <c r="F763" s="5">
        <v>0.75439999999999996</v>
      </c>
      <c r="G763" s="5">
        <v>7.9799999999999996E-2</v>
      </c>
      <c r="H763" s="5">
        <v>3</v>
      </c>
      <c r="I763" s="5">
        <v>10823.67</v>
      </c>
      <c r="J763" s="5">
        <v>21789.11</v>
      </c>
      <c r="K763" s="5">
        <v>15</v>
      </c>
      <c r="L763" s="5">
        <v>3</v>
      </c>
      <c r="M763" s="5">
        <v>3</v>
      </c>
      <c r="N763" s="5">
        <v>0</v>
      </c>
      <c r="O763" s="5">
        <v>849.03</v>
      </c>
      <c r="P763" s="6">
        <v>0</v>
      </c>
    </row>
    <row r="764" spans="1:16" ht="23.4" x14ac:dyDescent="0.45">
      <c r="A764" s="4" t="s">
        <v>766</v>
      </c>
      <c r="B764" s="5" t="s">
        <v>18</v>
      </c>
      <c r="C764" s="5">
        <v>108234.27</v>
      </c>
      <c r="D764" s="5">
        <v>47</v>
      </c>
      <c r="E764" s="5">
        <v>0</v>
      </c>
      <c r="F764" s="5">
        <v>0.73780000000000001</v>
      </c>
      <c r="G764" s="5">
        <v>0.36649999999999999</v>
      </c>
      <c r="H764" s="5">
        <v>1</v>
      </c>
      <c r="I764" s="5">
        <v>40018.5</v>
      </c>
      <c r="J764" s="5">
        <v>19729.09</v>
      </c>
      <c r="K764" s="5">
        <v>148</v>
      </c>
      <c r="L764" s="5">
        <v>3</v>
      </c>
      <c r="M764" s="5">
        <v>1</v>
      </c>
      <c r="N764" s="5">
        <v>0</v>
      </c>
      <c r="O764" s="5">
        <v>657.52</v>
      </c>
      <c r="P764" s="6">
        <v>0</v>
      </c>
    </row>
    <row r="765" spans="1:16" ht="23.4" x14ac:dyDescent="0.45">
      <c r="A765" s="4" t="s">
        <v>104</v>
      </c>
      <c r="B765" s="5" t="s">
        <v>6</v>
      </c>
      <c r="C765" s="5">
        <v>213432.19</v>
      </c>
      <c r="D765" s="5">
        <v>62</v>
      </c>
      <c r="E765" s="5">
        <v>0</v>
      </c>
      <c r="F765" s="5">
        <v>0.79959999999999998</v>
      </c>
      <c r="G765" s="5">
        <v>0.37390000000000001</v>
      </c>
      <c r="H765" s="5">
        <v>0</v>
      </c>
      <c r="I765" s="5">
        <v>94624.56</v>
      </c>
      <c r="J765" s="5">
        <v>70577.100000000006</v>
      </c>
      <c r="K765" s="5">
        <v>8</v>
      </c>
      <c r="L765" s="5">
        <v>1</v>
      </c>
      <c r="M765" s="5">
        <v>3</v>
      </c>
      <c r="N765" s="5">
        <v>2</v>
      </c>
      <c r="O765" s="5">
        <v>719.48</v>
      </c>
      <c r="P765" s="6">
        <v>0</v>
      </c>
    </row>
    <row r="766" spans="1:16" ht="23.4" x14ac:dyDescent="0.45">
      <c r="A766" s="4" t="s">
        <v>767</v>
      </c>
      <c r="B766" s="5" t="s">
        <v>9</v>
      </c>
      <c r="C766" s="5">
        <v>92860.93</v>
      </c>
      <c r="D766" s="5">
        <v>67</v>
      </c>
      <c r="E766" s="5">
        <v>1</v>
      </c>
      <c r="F766" s="5">
        <v>0.78490000000000004</v>
      </c>
      <c r="G766" s="5">
        <v>0.59599999999999997</v>
      </c>
      <c r="H766" s="5">
        <v>2</v>
      </c>
      <c r="I766" s="5">
        <v>92483.55</v>
      </c>
      <c r="J766" s="5">
        <v>52181.32</v>
      </c>
      <c r="K766" s="5">
        <v>19</v>
      </c>
      <c r="L766" s="5">
        <v>1</v>
      </c>
      <c r="M766" s="5">
        <v>2</v>
      </c>
      <c r="N766" s="5">
        <v>0</v>
      </c>
      <c r="O766" s="5">
        <v>718.91</v>
      </c>
      <c r="P766" s="6">
        <v>0</v>
      </c>
    </row>
    <row r="767" spans="1:16" ht="23.4" x14ac:dyDescent="0.45">
      <c r="A767" s="4" t="s">
        <v>768</v>
      </c>
      <c r="B767" s="5" t="s">
        <v>4</v>
      </c>
      <c r="C767" s="5">
        <v>84205.06</v>
      </c>
      <c r="D767" s="5">
        <v>60</v>
      </c>
      <c r="E767" s="5">
        <v>0</v>
      </c>
      <c r="F767" s="5">
        <v>0.75049999999999994</v>
      </c>
      <c r="G767" s="5">
        <v>0.16400000000000001</v>
      </c>
      <c r="H767" s="5">
        <v>0</v>
      </c>
      <c r="I767" s="5">
        <v>500</v>
      </c>
      <c r="J767" s="5">
        <v>0</v>
      </c>
      <c r="K767" s="5">
        <v>87</v>
      </c>
      <c r="L767" s="5">
        <v>3</v>
      </c>
      <c r="M767" s="5">
        <v>2</v>
      </c>
      <c r="N767" s="5">
        <v>2</v>
      </c>
      <c r="O767" s="5">
        <v>711.76</v>
      </c>
      <c r="P767" s="6">
        <v>0</v>
      </c>
    </row>
    <row r="768" spans="1:16" ht="23.4" x14ac:dyDescent="0.45">
      <c r="A768" s="4" t="s">
        <v>769</v>
      </c>
      <c r="B768" s="5" t="s">
        <v>4</v>
      </c>
      <c r="C768" s="5">
        <v>48123.15</v>
      </c>
      <c r="D768" s="5">
        <v>28</v>
      </c>
      <c r="E768" s="5">
        <v>1</v>
      </c>
      <c r="F768" s="5">
        <v>0.81279999999999997</v>
      </c>
      <c r="G768" s="5">
        <v>0.21629999999999999</v>
      </c>
      <c r="H768" s="5">
        <v>1</v>
      </c>
      <c r="I768" s="5">
        <v>500</v>
      </c>
      <c r="J768" s="5">
        <v>1646.19</v>
      </c>
      <c r="K768" s="5">
        <v>77</v>
      </c>
      <c r="L768" s="5">
        <v>1</v>
      </c>
      <c r="M768" s="5">
        <v>2</v>
      </c>
      <c r="N768" s="5">
        <v>0</v>
      </c>
      <c r="O768" s="5">
        <v>725.87</v>
      </c>
      <c r="P768" s="6">
        <v>0</v>
      </c>
    </row>
    <row r="769" spans="1:16" ht="23.4" x14ac:dyDescent="0.45">
      <c r="A769" s="4" t="s">
        <v>770</v>
      </c>
      <c r="B769" s="5" t="s">
        <v>15</v>
      </c>
      <c r="C769" s="5">
        <v>127578.12</v>
      </c>
      <c r="D769" s="5">
        <v>56</v>
      </c>
      <c r="E769" s="5">
        <v>1</v>
      </c>
      <c r="F769" s="5">
        <v>0.77629999999999999</v>
      </c>
      <c r="G769" s="5">
        <v>0.24</v>
      </c>
      <c r="H769" s="5">
        <v>0</v>
      </c>
      <c r="I769" s="5">
        <v>7049.22</v>
      </c>
      <c r="J769" s="5">
        <v>3936.8</v>
      </c>
      <c r="K769" s="5">
        <v>132</v>
      </c>
      <c r="L769" s="5">
        <v>1</v>
      </c>
      <c r="M769" s="5">
        <v>1</v>
      </c>
      <c r="N769" s="5">
        <v>0</v>
      </c>
      <c r="O769" s="5">
        <v>701.64</v>
      </c>
      <c r="P769" s="6">
        <v>0</v>
      </c>
    </row>
    <row r="770" spans="1:16" ht="23.4" x14ac:dyDescent="0.45">
      <c r="A770" s="4" t="s">
        <v>771</v>
      </c>
      <c r="B770" s="5" t="s">
        <v>15</v>
      </c>
      <c r="C770" s="5">
        <v>98041.09</v>
      </c>
      <c r="D770" s="5">
        <v>34</v>
      </c>
      <c r="E770" s="5">
        <v>1</v>
      </c>
      <c r="F770" s="5">
        <v>0.78690000000000004</v>
      </c>
      <c r="G770" s="5">
        <v>0.56569999999999998</v>
      </c>
      <c r="H770" s="5">
        <v>0</v>
      </c>
      <c r="I770" s="5">
        <v>42502.7</v>
      </c>
      <c r="J770" s="5">
        <v>29773.37</v>
      </c>
      <c r="K770" s="5">
        <v>85</v>
      </c>
      <c r="L770" s="5">
        <v>2</v>
      </c>
      <c r="M770" s="5">
        <v>2</v>
      </c>
      <c r="N770" s="5">
        <v>2</v>
      </c>
      <c r="O770" s="5">
        <v>724.12</v>
      </c>
      <c r="P770" s="6">
        <v>0</v>
      </c>
    </row>
    <row r="771" spans="1:16" ht="23.4" x14ac:dyDescent="0.45">
      <c r="A771" s="4" t="s">
        <v>772</v>
      </c>
      <c r="B771" s="5" t="s">
        <v>6</v>
      </c>
      <c r="C771" s="5">
        <v>104637.29</v>
      </c>
      <c r="D771" s="5">
        <v>45</v>
      </c>
      <c r="E771" s="5">
        <v>1</v>
      </c>
      <c r="F771" s="5">
        <v>1</v>
      </c>
      <c r="G771" s="5">
        <v>0.32150000000000001</v>
      </c>
      <c r="H771" s="5">
        <v>0</v>
      </c>
      <c r="I771" s="5">
        <v>31437.22</v>
      </c>
      <c r="J771" s="5">
        <v>27602.93</v>
      </c>
      <c r="K771" s="5">
        <v>48</v>
      </c>
      <c r="L771" s="5">
        <v>2</v>
      </c>
      <c r="M771" s="5">
        <v>3</v>
      </c>
      <c r="N771" s="5">
        <v>1</v>
      </c>
      <c r="O771" s="5">
        <v>789.06</v>
      </c>
      <c r="P771" s="6">
        <v>0</v>
      </c>
    </row>
    <row r="772" spans="1:16" ht="23.4" x14ac:dyDescent="0.45">
      <c r="A772" s="4" t="s">
        <v>773</v>
      </c>
      <c r="B772" s="5" t="s">
        <v>6</v>
      </c>
      <c r="C772" s="5">
        <v>69214.52</v>
      </c>
      <c r="D772" s="5">
        <v>28</v>
      </c>
      <c r="E772" s="5">
        <v>1</v>
      </c>
      <c r="F772" s="5">
        <v>0.72309999999999997</v>
      </c>
      <c r="G772" s="5">
        <v>0.43140000000000001</v>
      </c>
      <c r="H772" s="5">
        <v>7</v>
      </c>
      <c r="I772" s="5">
        <v>31251.21</v>
      </c>
      <c r="J772" s="5">
        <v>23317.85</v>
      </c>
      <c r="K772" s="5">
        <v>175</v>
      </c>
      <c r="L772" s="5">
        <v>2</v>
      </c>
      <c r="M772" s="5">
        <v>1</v>
      </c>
      <c r="N772" s="5">
        <v>0</v>
      </c>
      <c r="O772" s="5">
        <v>648.91</v>
      </c>
      <c r="P772" s="6">
        <v>0</v>
      </c>
    </row>
    <row r="773" spans="1:16" ht="23.4" x14ac:dyDescent="0.45">
      <c r="A773" s="4" t="s">
        <v>774</v>
      </c>
      <c r="B773" s="5" t="s">
        <v>1</v>
      </c>
      <c r="C773" s="5">
        <v>76914.09</v>
      </c>
      <c r="D773" s="5">
        <v>46</v>
      </c>
      <c r="E773" s="5">
        <v>0</v>
      </c>
      <c r="F773" s="5">
        <v>0.46179999999999999</v>
      </c>
      <c r="G773" s="5">
        <v>0.39589999999999997</v>
      </c>
      <c r="H773" s="5">
        <v>4</v>
      </c>
      <c r="I773" s="5">
        <v>34373.65</v>
      </c>
      <c r="J773" s="5">
        <v>29552.76</v>
      </c>
      <c r="K773" s="5">
        <v>114</v>
      </c>
      <c r="L773" s="5">
        <v>1</v>
      </c>
      <c r="M773" s="5">
        <v>1</v>
      </c>
      <c r="N773" s="5">
        <v>0</v>
      </c>
      <c r="O773" s="5">
        <v>723.79</v>
      </c>
      <c r="P773" s="6">
        <v>0</v>
      </c>
    </row>
    <row r="774" spans="1:16" ht="23.4" x14ac:dyDescent="0.45">
      <c r="A774" s="4" t="s">
        <v>775</v>
      </c>
      <c r="B774" s="5" t="s">
        <v>18</v>
      </c>
      <c r="C774" s="5">
        <v>47522.2</v>
      </c>
      <c r="D774" s="5">
        <v>27</v>
      </c>
      <c r="E774" s="5">
        <v>1</v>
      </c>
      <c r="F774" s="5">
        <v>0.54890000000000005</v>
      </c>
      <c r="G774" s="5">
        <v>0.24890000000000001</v>
      </c>
      <c r="H774" s="5">
        <v>0</v>
      </c>
      <c r="I774" s="5">
        <v>22042.04</v>
      </c>
      <c r="J774" s="5">
        <v>12219.77</v>
      </c>
      <c r="K774" s="5">
        <v>19</v>
      </c>
      <c r="L774" s="5">
        <v>3</v>
      </c>
      <c r="M774" s="5">
        <v>2</v>
      </c>
      <c r="N774" s="5">
        <v>0</v>
      </c>
      <c r="O774" s="5">
        <v>648.76</v>
      </c>
      <c r="P774" s="6">
        <v>0</v>
      </c>
    </row>
    <row r="775" spans="1:16" ht="23.4" x14ac:dyDescent="0.45">
      <c r="A775" s="4" t="s">
        <v>776</v>
      </c>
      <c r="B775" s="5" t="s">
        <v>1</v>
      </c>
      <c r="C775" s="5">
        <v>82756.28</v>
      </c>
      <c r="D775" s="5">
        <v>65</v>
      </c>
      <c r="E775" s="5">
        <v>1</v>
      </c>
      <c r="F775" s="5">
        <v>0.65749999999999997</v>
      </c>
      <c r="G775" s="5">
        <v>0.15640000000000001</v>
      </c>
      <c r="H775" s="5">
        <v>4</v>
      </c>
      <c r="I775" s="5">
        <v>27449.119999999999</v>
      </c>
      <c r="J775" s="5">
        <v>22795.03</v>
      </c>
      <c r="K775" s="5">
        <v>58</v>
      </c>
      <c r="L775" s="5">
        <v>1</v>
      </c>
      <c r="M775" s="5">
        <v>1</v>
      </c>
      <c r="N775" s="5">
        <v>1</v>
      </c>
      <c r="O775" s="5">
        <v>683.82</v>
      </c>
      <c r="P775" s="6">
        <v>0</v>
      </c>
    </row>
    <row r="776" spans="1:16" ht="23.4" x14ac:dyDescent="0.45">
      <c r="A776" s="4" t="s">
        <v>777</v>
      </c>
      <c r="B776" s="5" t="s">
        <v>1</v>
      </c>
      <c r="C776" s="5">
        <v>89160.89</v>
      </c>
      <c r="D776" s="5">
        <v>32</v>
      </c>
      <c r="E776" s="5">
        <v>1</v>
      </c>
      <c r="F776" s="5">
        <v>0.71530000000000005</v>
      </c>
      <c r="G776" s="5">
        <v>1.1900000000000001E-2</v>
      </c>
      <c r="H776" s="5">
        <v>0</v>
      </c>
      <c r="I776" s="5">
        <v>500</v>
      </c>
      <c r="J776" s="5">
        <v>1336.74</v>
      </c>
      <c r="K776" s="5">
        <v>67</v>
      </c>
      <c r="L776" s="5">
        <v>1</v>
      </c>
      <c r="M776" s="5">
        <v>2</v>
      </c>
      <c r="N776" s="5">
        <v>0</v>
      </c>
      <c r="O776" s="5">
        <v>702.25</v>
      </c>
      <c r="P776" s="6">
        <v>0</v>
      </c>
    </row>
    <row r="777" spans="1:16" ht="23.4" x14ac:dyDescent="0.45">
      <c r="A777" s="4" t="s">
        <v>778</v>
      </c>
      <c r="B777" s="5" t="s">
        <v>15</v>
      </c>
      <c r="C777" s="5">
        <v>133134.39000000001</v>
      </c>
      <c r="D777" s="5">
        <v>63</v>
      </c>
      <c r="E777" s="5">
        <v>1</v>
      </c>
      <c r="F777" s="5">
        <v>0.52190000000000003</v>
      </c>
      <c r="G777" s="5">
        <v>0.43580000000000002</v>
      </c>
      <c r="H777" s="5">
        <v>3</v>
      </c>
      <c r="I777" s="5">
        <v>68566.649999999994</v>
      </c>
      <c r="J777" s="5">
        <v>52421.8</v>
      </c>
      <c r="K777" s="5">
        <v>8</v>
      </c>
      <c r="L777" s="5">
        <v>2</v>
      </c>
      <c r="M777" s="5">
        <v>3</v>
      </c>
      <c r="N777" s="5">
        <v>1</v>
      </c>
      <c r="O777" s="5">
        <v>719.84</v>
      </c>
      <c r="P777" s="6">
        <v>0</v>
      </c>
    </row>
    <row r="778" spans="1:16" ht="23.4" x14ac:dyDescent="0.45">
      <c r="A778" s="4" t="s">
        <v>779</v>
      </c>
      <c r="B778" s="5" t="s">
        <v>18</v>
      </c>
      <c r="C778" s="5">
        <v>90338.81</v>
      </c>
      <c r="D778" s="5">
        <v>22</v>
      </c>
      <c r="E778" s="5">
        <v>0</v>
      </c>
      <c r="F778" s="5">
        <v>0.79630000000000001</v>
      </c>
      <c r="G778" s="5">
        <v>0</v>
      </c>
      <c r="H778" s="5">
        <v>0</v>
      </c>
      <c r="I778" s="5">
        <v>9356.0400000000009</v>
      </c>
      <c r="J778" s="5">
        <v>0</v>
      </c>
      <c r="K778" s="5">
        <v>48</v>
      </c>
      <c r="L778" s="5">
        <v>3</v>
      </c>
      <c r="M778" s="5">
        <v>2</v>
      </c>
      <c r="N778" s="5">
        <v>0</v>
      </c>
      <c r="O778" s="5">
        <v>763.58</v>
      </c>
      <c r="P778" s="6">
        <v>0</v>
      </c>
    </row>
    <row r="779" spans="1:16" ht="23.4" x14ac:dyDescent="0.45">
      <c r="A779" s="4" t="s">
        <v>780</v>
      </c>
      <c r="B779" s="5" t="s">
        <v>1</v>
      </c>
      <c r="C779" s="5">
        <v>51612.21</v>
      </c>
      <c r="D779" s="5">
        <v>43</v>
      </c>
      <c r="E779" s="5">
        <v>1</v>
      </c>
      <c r="F779" s="5">
        <v>0.85399999999999998</v>
      </c>
      <c r="G779" s="5">
        <v>0.3876</v>
      </c>
      <c r="H779" s="5">
        <v>1</v>
      </c>
      <c r="I779" s="5">
        <v>21217.24</v>
      </c>
      <c r="J779" s="5">
        <v>23167.75</v>
      </c>
      <c r="K779" s="5">
        <v>91</v>
      </c>
      <c r="L779" s="5">
        <v>3</v>
      </c>
      <c r="M779" s="5">
        <v>2</v>
      </c>
      <c r="N779" s="5">
        <v>2</v>
      </c>
      <c r="O779" s="5">
        <v>726.23</v>
      </c>
      <c r="P779" s="6">
        <v>0</v>
      </c>
    </row>
    <row r="780" spans="1:16" ht="23.4" x14ac:dyDescent="0.45">
      <c r="A780" s="4" t="s">
        <v>781</v>
      </c>
      <c r="B780" s="5" t="s">
        <v>6</v>
      </c>
      <c r="C780" s="5">
        <v>71851.97</v>
      </c>
      <c r="D780" s="5">
        <v>64</v>
      </c>
      <c r="E780" s="5">
        <v>1</v>
      </c>
      <c r="F780" s="5">
        <v>0.64459999999999995</v>
      </c>
      <c r="G780" s="5">
        <v>4.5400000000000003E-2</v>
      </c>
      <c r="H780" s="5">
        <v>0</v>
      </c>
      <c r="I780" s="5">
        <v>12484.92</v>
      </c>
      <c r="J780" s="5">
        <v>14800.89</v>
      </c>
      <c r="K780" s="5">
        <v>62</v>
      </c>
      <c r="L780" s="5">
        <v>2</v>
      </c>
      <c r="M780" s="5">
        <v>1</v>
      </c>
      <c r="N780" s="5">
        <v>1</v>
      </c>
      <c r="O780" s="5">
        <v>727.22</v>
      </c>
      <c r="P780" s="6">
        <v>0</v>
      </c>
    </row>
    <row r="781" spans="1:16" ht="23.4" x14ac:dyDescent="0.45">
      <c r="A781" s="4" t="s">
        <v>782</v>
      </c>
      <c r="B781" s="5" t="s">
        <v>1</v>
      </c>
      <c r="C781" s="5">
        <v>163922.94</v>
      </c>
      <c r="D781" s="5">
        <v>44</v>
      </c>
      <c r="E781" s="5">
        <v>1</v>
      </c>
      <c r="F781" s="5">
        <v>0.72340000000000004</v>
      </c>
      <c r="G781" s="5">
        <v>0.50409999999999999</v>
      </c>
      <c r="H781" s="5">
        <v>5</v>
      </c>
      <c r="I781" s="5">
        <v>75641.08</v>
      </c>
      <c r="J781" s="5">
        <v>57130.04</v>
      </c>
      <c r="K781" s="5">
        <v>166</v>
      </c>
      <c r="L781" s="5">
        <v>2</v>
      </c>
      <c r="M781" s="5">
        <v>2</v>
      </c>
      <c r="N781" s="5">
        <v>0</v>
      </c>
      <c r="O781" s="5">
        <v>726.61</v>
      </c>
      <c r="P781" s="6">
        <v>0</v>
      </c>
    </row>
    <row r="782" spans="1:16" ht="23.4" x14ac:dyDescent="0.45">
      <c r="A782" s="4" t="s">
        <v>783</v>
      </c>
      <c r="B782" s="5" t="s">
        <v>15</v>
      </c>
      <c r="C782" s="5">
        <v>55167.7</v>
      </c>
      <c r="D782" s="5">
        <v>64</v>
      </c>
      <c r="E782" s="5">
        <v>0</v>
      </c>
      <c r="F782" s="5">
        <v>0.67359999999999998</v>
      </c>
      <c r="G782" s="5">
        <v>0.26950000000000002</v>
      </c>
      <c r="H782" s="5">
        <v>3</v>
      </c>
      <c r="I782" s="5">
        <v>500</v>
      </c>
      <c r="J782" s="5">
        <v>0</v>
      </c>
      <c r="K782" s="5">
        <v>76</v>
      </c>
      <c r="L782" s="5">
        <v>1</v>
      </c>
      <c r="M782" s="5">
        <v>1</v>
      </c>
      <c r="N782" s="5">
        <v>1</v>
      </c>
      <c r="O782" s="5">
        <v>663.58</v>
      </c>
      <c r="P782" s="6">
        <v>0</v>
      </c>
    </row>
    <row r="783" spans="1:16" ht="23.4" x14ac:dyDescent="0.45">
      <c r="A783" s="4" t="s">
        <v>784</v>
      </c>
      <c r="B783" s="5" t="s">
        <v>9</v>
      </c>
      <c r="C783" s="5">
        <v>141614.65</v>
      </c>
      <c r="D783" s="5">
        <v>50</v>
      </c>
      <c r="E783" s="5">
        <v>0</v>
      </c>
      <c r="F783" s="5">
        <v>0.376</v>
      </c>
      <c r="G783" s="5">
        <v>0.21970000000000001</v>
      </c>
      <c r="H783" s="5">
        <v>1</v>
      </c>
      <c r="I783" s="5">
        <v>37051.51</v>
      </c>
      <c r="J783" s="5">
        <v>38681.89</v>
      </c>
      <c r="K783" s="5">
        <v>43</v>
      </c>
      <c r="L783" s="5">
        <v>2</v>
      </c>
      <c r="M783" s="5">
        <v>1</v>
      </c>
      <c r="N783" s="5">
        <v>3</v>
      </c>
      <c r="O783" s="5">
        <v>684.73</v>
      </c>
      <c r="P783" s="6">
        <v>0</v>
      </c>
    </row>
    <row r="784" spans="1:16" ht="23.4" x14ac:dyDescent="0.45">
      <c r="A784" s="4" t="s">
        <v>785</v>
      </c>
      <c r="B784" s="5" t="s">
        <v>15</v>
      </c>
      <c r="C784" s="5">
        <v>70371.199999999997</v>
      </c>
      <c r="D784" s="5">
        <v>39</v>
      </c>
      <c r="E784" s="5">
        <v>1</v>
      </c>
      <c r="F784" s="5">
        <v>0.55389999999999995</v>
      </c>
      <c r="G784" s="5">
        <v>0.59189999999999998</v>
      </c>
      <c r="H784" s="5">
        <v>4</v>
      </c>
      <c r="I784" s="5">
        <v>31592.5</v>
      </c>
      <c r="J784" s="5">
        <v>21237.83</v>
      </c>
      <c r="K784" s="5">
        <v>157</v>
      </c>
      <c r="L784" s="5">
        <v>1</v>
      </c>
      <c r="M784" s="5">
        <v>1</v>
      </c>
      <c r="N784" s="5">
        <v>0</v>
      </c>
      <c r="O784" s="5">
        <v>600.97</v>
      </c>
      <c r="P784" s="6">
        <v>1</v>
      </c>
    </row>
    <row r="785" spans="1:16" ht="23.4" x14ac:dyDescent="0.45">
      <c r="A785" s="4" t="s">
        <v>786</v>
      </c>
      <c r="B785" s="5" t="s">
        <v>15</v>
      </c>
      <c r="C785" s="5">
        <v>158289.13</v>
      </c>
      <c r="D785" s="5">
        <v>29</v>
      </c>
      <c r="E785" s="5">
        <v>0</v>
      </c>
      <c r="F785" s="5">
        <v>0.60389999999999999</v>
      </c>
      <c r="G785" s="5">
        <v>0.56489999999999996</v>
      </c>
      <c r="H785" s="5">
        <v>5</v>
      </c>
      <c r="I785" s="5">
        <v>72230.02</v>
      </c>
      <c r="J785" s="5">
        <v>46888.89</v>
      </c>
      <c r="K785" s="5">
        <v>28</v>
      </c>
      <c r="L785" s="5">
        <v>2</v>
      </c>
      <c r="M785" s="5">
        <v>1</v>
      </c>
      <c r="N785" s="5">
        <v>1</v>
      </c>
      <c r="O785" s="5">
        <v>642.69000000000005</v>
      </c>
      <c r="P785" s="6">
        <v>0</v>
      </c>
    </row>
    <row r="786" spans="1:16" ht="23.4" x14ac:dyDescent="0.45">
      <c r="A786" s="4" t="s">
        <v>787</v>
      </c>
      <c r="B786" s="5" t="s">
        <v>6</v>
      </c>
      <c r="C786" s="5">
        <v>122492.17</v>
      </c>
      <c r="D786" s="5">
        <v>23</v>
      </c>
      <c r="E786" s="5">
        <v>1</v>
      </c>
      <c r="F786" s="5">
        <v>0.61850000000000005</v>
      </c>
      <c r="G786" s="5">
        <v>0.16930000000000001</v>
      </c>
      <c r="H786" s="5">
        <v>2</v>
      </c>
      <c r="I786" s="5">
        <v>28817.74</v>
      </c>
      <c r="J786" s="5">
        <v>8112.86</v>
      </c>
      <c r="K786" s="5">
        <v>114</v>
      </c>
      <c r="L786" s="5">
        <v>2</v>
      </c>
      <c r="M786" s="5">
        <v>3</v>
      </c>
      <c r="N786" s="5">
        <v>2</v>
      </c>
      <c r="O786" s="5">
        <v>781.61</v>
      </c>
      <c r="P786" s="6">
        <v>0</v>
      </c>
    </row>
    <row r="787" spans="1:16" ht="23.4" x14ac:dyDescent="0.45">
      <c r="A787" s="4" t="s">
        <v>788</v>
      </c>
      <c r="B787" s="5" t="s">
        <v>9</v>
      </c>
      <c r="C787" s="5">
        <v>60835.86</v>
      </c>
      <c r="D787" s="5">
        <v>48</v>
      </c>
      <c r="E787" s="5">
        <v>0</v>
      </c>
      <c r="F787" s="5">
        <v>0.62380000000000002</v>
      </c>
      <c r="G787" s="5">
        <v>0.20100000000000001</v>
      </c>
      <c r="H787" s="5">
        <v>0</v>
      </c>
      <c r="I787" s="5">
        <v>1501.77</v>
      </c>
      <c r="J787" s="5">
        <v>2323.2199999999998</v>
      </c>
      <c r="K787" s="5">
        <v>147</v>
      </c>
      <c r="L787" s="5">
        <v>1</v>
      </c>
      <c r="M787" s="5">
        <v>1</v>
      </c>
      <c r="N787" s="5">
        <v>0</v>
      </c>
      <c r="O787" s="5">
        <v>739.56</v>
      </c>
      <c r="P787" s="6">
        <v>0</v>
      </c>
    </row>
    <row r="788" spans="1:16" ht="23.4" x14ac:dyDescent="0.45">
      <c r="A788" s="4" t="s">
        <v>789</v>
      </c>
      <c r="B788" s="5" t="s">
        <v>6</v>
      </c>
      <c r="C788" s="5">
        <v>62206.03</v>
      </c>
      <c r="D788" s="5">
        <v>48</v>
      </c>
      <c r="E788" s="5">
        <v>0</v>
      </c>
      <c r="F788" s="5">
        <v>0.73080000000000001</v>
      </c>
      <c r="G788" s="5">
        <v>0.65169999999999995</v>
      </c>
      <c r="H788" s="5">
        <v>5</v>
      </c>
      <c r="I788" s="5">
        <v>34435.21</v>
      </c>
      <c r="J788" s="5">
        <v>14946.03</v>
      </c>
      <c r="K788" s="5">
        <v>97</v>
      </c>
      <c r="L788" s="5">
        <v>2</v>
      </c>
      <c r="M788" s="5">
        <v>1</v>
      </c>
      <c r="N788" s="5">
        <v>0</v>
      </c>
      <c r="O788" s="5">
        <v>673.54</v>
      </c>
      <c r="P788" s="6">
        <v>0</v>
      </c>
    </row>
    <row r="789" spans="1:16" ht="23.4" x14ac:dyDescent="0.45">
      <c r="A789" s="4" t="s">
        <v>623</v>
      </c>
      <c r="B789" s="5" t="s">
        <v>15</v>
      </c>
      <c r="C789" s="5">
        <v>95697.78</v>
      </c>
      <c r="D789" s="5">
        <v>70</v>
      </c>
      <c r="E789" s="5">
        <v>0</v>
      </c>
      <c r="F789" s="5">
        <v>0.40479999999999999</v>
      </c>
      <c r="G789" s="5">
        <v>0.60009999999999997</v>
      </c>
      <c r="H789" s="5">
        <v>2</v>
      </c>
      <c r="I789" s="5">
        <v>48999.76</v>
      </c>
      <c r="J789" s="5">
        <v>27975.89</v>
      </c>
      <c r="K789" s="5">
        <v>38</v>
      </c>
      <c r="L789" s="5">
        <v>2</v>
      </c>
      <c r="M789" s="5">
        <v>2</v>
      </c>
      <c r="N789" s="5">
        <v>2</v>
      </c>
      <c r="O789" s="5">
        <v>722.38</v>
      </c>
      <c r="P789" s="6">
        <v>1</v>
      </c>
    </row>
    <row r="790" spans="1:16" ht="23.4" x14ac:dyDescent="0.45">
      <c r="A790" s="4" t="s">
        <v>790</v>
      </c>
      <c r="B790" s="5" t="s">
        <v>15</v>
      </c>
      <c r="C790" s="5">
        <v>103136.63</v>
      </c>
      <c r="D790" s="5">
        <v>63</v>
      </c>
      <c r="E790" s="5">
        <v>1</v>
      </c>
      <c r="F790" s="5">
        <v>0.61419999999999997</v>
      </c>
      <c r="G790" s="5">
        <v>0.85350000000000004</v>
      </c>
      <c r="H790" s="5">
        <v>5</v>
      </c>
      <c r="I790" s="5">
        <v>99798.46</v>
      </c>
      <c r="J790" s="5">
        <v>58153.01</v>
      </c>
      <c r="K790" s="5">
        <v>19</v>
      </c>
      <c r="L790" s="5">
        <v>1</v>
      </c>
      <c r="M790" s="5">
        <v>1</v>
      </c>
      <c r="N790" s="5">
        <v>3</v>
      </c>
      <c r="O790" s="5">
        <v>718.47</v>
      </c>
      <c r="P790" s="6">
        <v>0</v>
      </c>
    </row>
    <row r="791" spans="1:16" ht="23.4" x14ac:dyDescent="0.45">
      <c r="A791" s="4" t="s">
        <v>791</v>
      </c>
      <c r="B791" s="5" t="s">
        <v>18</v>
      </c>
      <c r="C791" s="5">
        <v>127661.37</v>
      </c>
      <c r="D791" s="5">
        <v>57</v>
      </c>
      <c r="E791" s="5">
        <v>1</v>
      </c>
      <c r="F791" s="5">
        <v>0.52180000000000004</v>
      </c>
      <c r="G791" s="5">
        <v>0.42609999999999998</v>
      </c>
      <c r="H791" s="5">
        <v>6</v>
      </c>
      <c r="I791" s="5">
        <v>63584.98</v>
      </c>
      <c r="J791" s="5">
        <v>32706.07</v>
      </c>
      <c r="K791" s="5">
        <v>19</v>
      </c>
      <c r="L791" s="5">
        <v>2</v>
      </c>
      <c r="M791" s="5">
        <v>2</v>
      </c>
      <c r="N791" s="5">
        <v>1</v>
      </c>
      <c r="O791" s="5">
        <v>591.03</v>
      </c>
      <c r="P791" s="6">
        <v>0</v>
      </c>
    </row>
    <row r="792" spans="1:16" ht="23.4" x14ac:dyDescent="0.45">
      <c r="A792" s="4" t="s">
        <v>792</v>
      </c>
      <c r="B792" s="5" t="s">
        <v>9</v>
      </c>
      <c r="C792" s="5">
        <v>152554.49</v>
      </c>
      <c r="D792" s="5">
        <v>61</v>
      </c>
      <c r="E792" s="5">
        <v>0</v>
      </c>
      <c r="F792" s="5">
        <v>1</v>
      </c>
      <c r="G792" s="5">
        <v>0.52669999999999995</v>
      </c>
      <c r="H792" s="5">
        <v>2</v>
      </c>
      <c r="I792" s="5">
        <v>63512.39</v>
      </c>
      <c r="J792" s="5">
        <v>73135</v>
      </c>
      <c r="K792" s="5">
        <v>7</v>
      </c>
      <c r="L792" s="5">
        <v>3</v>
      </c>
      <c r="M792" s="5">
        <v>2</v>
      </c>
      <c r="N792" s="5">
        <v>0</v>
      </c>
      <c r="O792" s="5">
        <v>759.41</v>
      </c>
      <c r="P792" s="6">
        <v>0</v>
      </c>
    </row>
    <row r="793" spans="1:16" ht="23.4" x14ac:dyDescent="0.45">
      <c r="A793" s="4" t="s">
        <v>793</v>
      </c>
      <c r="B793" s="5" t="s">
        <v>6</v>
      </c>
      <c r="C793" s="5">
        <v>100619.46</v>
      </c>
      <c r="D793" s="5">
        <v>54</v>
      </c>
      <c r="E793" s="5">
        <v>0</v>
      </c>
      <c r="F793" s="5">
        <v>0.81089999999999995</v>
      </c>
      <c r="G793" s="5">
        <v>0.49659999999999999</v>
      </c>
      <c r="H793" s="5">
        <v>0</v>
      </c>
      <c r="I793" s="5">
        <v>54629.39</v>
      </c>
      <c r="J793" s="5">
        <v>37031.699999999997</v>
      </c>
      <c r="K793" s="5">
        <v>37</v>
      </c>
      <c r="L793" s="5">
        <v>1</v>
      </c>
      <c r="M793" s="5">
        <v>1</v>
      </c>
      <c r="N793" s="5">
        <v>0</v>
      </c>
      <c r="O793" s="5">
        <v>714.6</v>
      </c>
      <c r="P793" s="6">
        <v>0</v>
      </c>
    </row>
    <row r="794" spans="1:16" ht="23.4" x14ac:dyDescent="0.45">
      <c r="A794" s="4" t="s">
        <v>794</v>
      </c>
      <c r="B794" s="5" t="s">
        <v>9</v>
      </c>
      <c r="C794" s="5">
        <v>110132.97</v>
      </c>
      <c r="D794" s="5">
        <v>60</v>
      </c>
      <c r="E794" s="5">
        <v>1</v>
      </c>
      <c r="F794" s="5">
        <v>0.57310000000000005</v>
      </c>
      <c r="G794" s="5">
        <v>0.19289999999999999</v>
      </c>
      <c r="H794" s="5">
        <v>0</v>
      </c>
      <c r="I794" s="5">
        <v>9415.86</v>
      </c>
      <c r="J794" s="5">
        <v>208.51</v>
      </c>
      <c r="K794" s="5">
        <v>168</v>
      </c>
      <c r="L794" s="5">
        <v>1</v>
      </c>
      <c r="M794" s="5">
        <v>1</v>
      </c>
      <c r="N794" s="5">
        <v>1</v>
      </c>
      <c r="O794" s="5">
        <v>707.54</v>
      </c>
      <c r="P794" s="6">
        <v>0</v>
      </c>
    </row>
    <row r="795" spans="1:16" ht="23.4" x14ac:dyDescent="0.45">
      <c r="A795" s="4" t="s">
        <v>795</v>
      </c>
      <c r="B795" s="5" t="s">
        <v>4</v>
      </c>
      <c r="C795" s="5">
        <v>143774.28</v>
      </c>
      <c r="D795" s="5">
        <v>33</v>
      </c>
      <c r="E795" s="5">
        <v>0</v>
      </c>
      <c r="F795" s="5">
        <v>0.5363</v>
      </c>
      <c r="G795" s="5">
        <v>0.43090000000000001</v>
      </c>
      <c r="H795" s="5">
        <v>0</v>
      </c>
      <c r="I795" s="5">
        <v>29001.73</v>
      </c>
      <c r="J795" s="5">
        <v>5958.75</v>
      </c>
      <c r="K795" s="5">
        <v>106</v>
      </c>
      <c r="L795" s="5">
        <v>2</v>
      </c>
      <c r="M795" s="5">
        <v>2</v>
      </c>
      <c r="N795" s="5">
        <v>1</v>
      </c>
      <c r="O795" s="5">
        <v>683.82</v>
      </c>
      <c r="P795" s="6">
        <v>0</v>
      </c>
    </row>
    <row r="796" spans="1:16" ht="23.4" x14ac:dyDescent="0.45">
      <c r="A796" s="4" t="s">
        <v>796</v>
      </c>
      <c r="B796" s="5" t="s">
        <v>18</v>
      </c>
      <c r="C796" s="5">
        <v>111935.47</v>
      </c>
      <c r="D796" s="5">
        <v>28</v>
      </c>
      <c r="E796" s="5">
        <v>0</v>
      </c>
      <c r="F796" s="5">
        <v>0.83099999999999996</v>
      </c>
      <c r="G796" s="5">
        <v>0.36580000000000001</v>
      </c>
      <c r="H796" s="5">
        <v>2</v>
      </c>
      <c r="I796" s="5">
        <v>33915.449999999997</v>
      </c>
      <c r="J796" s="5">
        <v>35727.730000000003</v>
      </c>
      <c r="K796" s="5">
        <v>174</v>
      </c>
      <c r="L796" s="5">
        <v>2</v>
      </c>
      <c r="M796" s="5">
        <v>1</v>
      </c>
      <c r="N796" s="5">
        <v>2</v>
      </c>
      <c r="O796" s="5">
        <v>786.02</v>
      </c>
      <c r="P796" s="6">
        <v>0</v>
      </c>
    </row>
    <row r="797" spans="1:16" ht="23.4" x14ac:dyDescent="0.45">
      <c r="A797" s="4" t="s">
        <v>797</v>
      </c>
      <c r="B797" s="5" t="s">
        <v>1</v>
      </c>
      <c r="C797" s="5">
        <v>78290.95</v>
      </c>
      <c r="D797" s="5">
        <v>38</v>
      </c>
      <c r="E797" s="5">
        <v>1</v>
      </c>
      <c r="F797" s="5">
        <v>0.81720000000000004</v>
      </c>
      <c r="G797" s="5">
        <v>0.40839999999999999</v>
      </c>
      <c r="H797" s="5">
        <v>0</v>
      </c>
      <c r="I797" s="5">
        <v>31854.98</v>
      </c>
      <c r="J797" s="5">
        <v>27366.43</v>
      </c>
      <c r="K797" s="5">
        <v>140</v>
      </c>
      <c r="L797" s="5">
        <v>2</v>
      </c>
      <c r="M797" s="5">
        <v>1</v>
      </c>
      <c r="N797" s="5">
        <v>1</v>
      </c>
      <c r="O797" s="5">
        <v>840.96</v>
      </c>
      <c r="P797" s="6">
        <v>0</v>
      </c>
    </row>
    <row r="798" spans="1:16" ht="23.4" x14ac:dyDescent="0.45">
      <c r="A798" s="4" t="s">
        <v>798</v>
      </c>
      <c r="B798" s="5" t="s">
        <v>4</v>
      </c>
      <c r="C798" s="5">
        <v>82123.22</v>
      </c>
      <c r="D798" s="5">
        <v>66</v>
      </c>
      <c r="E798" s="5">
        <v>0</v>
      </c>
      <c r="F798" s="5">
        <v>0.52129999999999999</v>
      </c>
      <c r="G798" s="5">
        <v>0.48659999999999998</v>
      </c>
      <c r="H798" s="5">
        <v>2</v>
      </c>
      <c r="I798" s="5">
        <v>44755.72</v>
      </c>
      <c r="J798" s="5">
        <v>15790.55</v>
      </c>
      <c r="K798" s="5">
        <v>106</v>
      </c>
      <c r="L798" s="5">
        <v>1</v>
      </c>
      <c r="M798" s="5">
        <v>2</v>
      </c>
      <c r="N798" s="5">
        <v>1</v>
      </c>
      <c r="O798" s="5">
        <v>753.24</v>
      </c>
      <c r="P798" s="6">
        <v>0</v>
      </c>
    </row>
    <row r="799" spans="1:16" ht="23.4" x14ac:dyDescent="0.45">
      <c r="A799" s="4" t="s">
        <v>799</v>
      </c>
      <c r="B799" s="5" t="s">
        <v>18</v>
      </c>
      <c r="C799" s="5">
        <v>75685.95</v>
      </c>
      <c r="D799" s="5">
        <v>66</v>
      </c>
      <c r="E799" s="5">
        <v>1</v>
      </c>
      <c r="F799" s="5">
        <v>1</v>
      </c>
      <c r="G799" s="5">
        <v>0.2097</v>
      </c>
      <c r="H799" s="5">
        <v>1</v>
      </c>
      <c r="I799" s="5">
        <v>14615.02</v>
      </c>
      <c r="J799" s="5">
        <v>2743.9</v>
      </c>
      <c r="K799" s="5">
        <v>95</v>
      </c>
      <c r="L799" s="5">
        <v>2</v>
      </c>
      <c r="M799" s="5">
        <v>2</v>
      </c>
      <c r="N799" s="5">
        <v>0</v>
      </c>
      <c r="O799" s="5">
        <v>850</v>
      </c>
      <c r="P799" s="6">
        <v>0</v>
      </c>
    </row>
    <row r="800" spans="1:16" ht="23.4" x14ac:dyDescent="0.45">
      <c r="A800" s="4" t="s">
        <v>800</v>
      </c>
      <c r="B800" s="5" t="s">
        <v>9</v>
      </c>
      <c r="C800" s="5">
        <v>86491.73</v>
      </c>
      <c r="D800" s="5">
        <v>63</v>
      </c>
      <c r="E800" s="5">
        <v>0</v>
      </c>
      <c r="F800" s="5">
        <v>0.55559999999999998</v>
      </c>
      <c r="G800" s="5">
        <v>0.85809999999999997</v>
      </c>
      <c r="H800" s="5">
        <v>8</v>
      </c>
      <c r="I800" s="5">
        <v>49159.73</v>
      </c>
      <c r="J800" s="5">
        <v>32585.13</v>
      </c>
      <c r="K800" s="5">
        <v>66</v>
      </c>
      <c r="L800" s="5">
        <v>1</v>
      </c>
      <c r="M800" s="5">
        <v>2</v>
      </c>
      <c r="N800" s="5">
        <v>1</v>
      </c>
      <c r="O800" s="5">
        <v>527.48</v>
      </c>
      <c r="P800" s="6">
        <v>0</v>
      </c>
    </row>
    <row r="801" spans="1:16" ht="23.4" x14ac:dyDescent="0.45">
      <c r="A801" s="4" t="s">
        <v>801</v>
      </c>
      <c r="B801" s="5" t="s">
        <v>4</v>
      </c>
      <c r="C801" s="5">
        <v>170637.72</v>
      </c>
      <c r="D801" s="5">
        <v>24</v>
      </c>
      <c r="E801" s="5">
        <v>1</v>
      </c>
      <c r="F801" s="5">
        <v>0.62480000000000002</v>
      </c>
      <c r="G801" s="5">
        <v>0.32029999999999997</v>
      </c>
      <c r="H801" s="5">
        <v>3</v>
      </c>
      <c r="I801" s="5">
        <v>49864.77</v>
      </c>
      <c r="J801" s="5">
        <v>33323.1</v>
      </c>
      <c r="K801" s="5">
        <v>13</v>
      </c>
      <c r="L801" s="5">
        <v>3</v>
      </c>
      <c r="M801" s="5">
        <v>1</v>
      </c>
      <c r="N801" s="5">
        <v>1</v>
      </c>
      <c r="O801" s="5">
        <v>617.69000000000005</v>
      </c>
      <c r="P801" s="6">
        <v>0</v>
      </c>
    </row>
    <row r="802" spans="1:16" ht="23.4" x14ac:dyDescent="0.45">
      <c r="A802" s="4" t="s">
        <v>802</v>
      </c>
      <c r="B802" s="5" t="s">
        <v>18</v>
      </c>
      <c r="C802" s="5">
        <v>148625.72</v>
      </c>
      <c r="D802" s="5">
        <v>33</v>
      </c>
      <c r="E802" s="5">
        <v>0</v>
      </c>
      <c r="F802" s="5">
        <v>0.68179999999999996</v>
      </c>
      <c r="G802" s="5">
        <v>0.49719999999999998</v>
      </c>
      <c r="H802" s="5">
        <v>5</v>
      </c>
      <c r="I802" s="5">
        <v>69260.479999999996</v>
      </c>
      <c r="J802" s="5">
        <v>41434.47</v>
      </c>
      <c r="K802" s="5">
        <v>47</v>
      </c>
      <c r="L802" s="5">
        <v>2</v>
      </c>
      <c r="M802" s="5">
        <v>2</v>
      </c>
      <c r="N802" s="5">
        <v>1</v>
      </c>
      <c r="O802" s="5">
        <v>703.43</v>
      </c>
      <c r="P802" s="6">
        <v>0</v>
      </c>
    </row>
    <row r="803" spans="1:16" ht="23.4" x14ac:dyDescent="0.45">
      <c r="A803" s="4" t="s">
        <v>803</v>
      </c>
      <c r="B803" s="5" t="s">
        <v>4</v>
      </c>
      <c r="C803" s="5">
        <v>95129.77</v>
      </c>
      <c r="D803" s="5">
        <v>27</v>
      </c>
      <c r="E803" s="5">
        <v>0</v>
      </c>
      <c r="F803" s="5">
        <v>0.80489999999999995</v>
      </c>
      <c r="G803" s="5">
        <v>0.83640000000000003</v>
      </c>
      <c r="H803" s="5">
        <v>6</v>
      </c>
      <c r="I803" s="5">
        <v>70763.259999999995</v>
      </c>
      <c r="J803" s="5">
        <v>42660.26</v>
      </c>
      <c r="K803" s="5">
        <v>24</v>
      </c>
      <c r="L803" s="5">
        <v>1</v>
      </c>
      <c r="M803" s="5">
        <v>2</v>
      </c>
      <c r="N803" s="5">
        <v>3</v>
      </c>
      <c r="O803" s="5">
        <v>720.9</v>
      </c>
      <c r="P803" s="6">
        <v>0</v>
      </c>
    </row>
    <row r="804" spans="1:16" ht="23.4" x14ac:dyDescent="0.45">
      <c r="A804" s="4" t="s">
        <v>804</v>
      </c>
      <c r="B804" s="5" t="s">
        <v>4</v>
      </c>
      <c r="C804" s="5">
        <v>61231.02</v>
      </c>
      <c r="D804" s="5">
        <v>34</v>
      </c>
      <c r="E804" s="5">
        <v>1</v>
      </c>
      <c r="F804" s="5">
        <v>0.67710000000000004</v>
      </c>
      <c r="G804" s="5">
        <v>0.14399999999999999</v>
      </c>
      <c r="H804" s="5">
        <v>0</v>
      </c>
      <c r="I804" s="5">
        <v>500</v>
      </c>
      <c r="J804" s="5">
        <v>9233.07</v>
      </c>
      <c r="K804" s="5">
        <v>149</v>
      </c>
      <c r="L804" s="5">
        <v>3</v>
      </c>
      <c r="M804" s="5">
        <v>2</v>
      </c>
      <c r="N804" s="5">
        <v>0</v>
      </c>
      <c r="O804" s="5">
        <v>633.64</v>
      </c>
      <c r="P804" s="6">
        <v>0</v>
      </c>
    </row>
    <row r="805" spans="1:16" ht="23.4" x14ac:dyDescent="0.45">
      <c r="A805" s="4" t="s">
        <v>805</v>
      </c>
      <c r="B805" s="5" t="s">
        <v>15</v>
      </c>
      <c r="C805" s="5">
        <v>25044.85</v>
      </c>
      <c r="D805" s="5">
        <v>29</v>
      </c>
      <c r="E805" s="5">
        <v>1</v>
      </c>
      <c r="F805" s="5">
        <v>0.73399999999999999</v>
      </c>
      <c r="G805" s="5">
        <v>0.19389999999999999</v>
      </c>
      <c r="H805" s="5">
        <v>3</v>
      </c>
      <c r="I805" s="5">
        <v>12188</v>
      </c>
      <c r="J805" s="5">
        <v>2691.15</v>
      </c>
      <c r="K805" s="5">
        <v>63</v>
      </c>
      <c r="L805" s="5">
        <v>3</v>
      </c>
      <c r="M805" s="5">
        <v>1</v>
      </c>
      <c r="N805" s="5">
        <v>2</v>
      </c>
      <c r="O805" s="5">
        <v>690.54</v>
      </c>
      <c r="P805" s="6">
        <v>0</v>
      </c>
    </row>
    <row r="806" spans="1:16" ht="23.4" x14ac:dyDescent="0.45">
      <c r="A806" s="4" t="s">
        <v>806</v>
      </c>
      <c r="B806" s="5" t="s">
        <v>6</v>
      </c>
      <c r="C806" s="5">
        <v>32720.31</v>
      </c>
      <c r="D806" s="5">
        <v>31</v>
      </c>
      <c r="E806" s="5">
        <v>0</v>
      </c>
      <c r="F806" s="5">
        <v>1</v>
      </c>
      <c r="G806" s="5">
        <v>0.49659999999999999</v>
      </c>
      <c r="H806" s="5">
        <v>3</v>
      </c>
      <c r="I806" s="5">
        <v>500</v>
      </c>
      <c r="J806" s="5">
        <v>0</v>
      </c>
      <c r="K806" s="5">
        <v>162</v>
      </c>
      <c r="L806" s="5">
        <v>2</v>
      </c>
      <c r="M806" s="5">
        <v>1</v>
      </c>
      <c r="N806" s="5">
        <v>0</v>
      </c>
      <c r="O806" s="5">
        <v>720.85</v>
      </c>
      <c r="P806" s="6">
        <v>0</v>
      </c>
    </row>
    <row r="807" spans="1:16" ht="23.4" x14ac:dyDescent="0.45">
      <c r="A807" s="4" t="s">
        <v>807</v>
      </c>
      <c r="B807" s="5" t="s">
        <v>18</v>
      </c>
      <c r="C807" s="5">
        <v>69359.289999999994</v>
      </c>
      <c r="D807" s="5">
        <v>37</v>
      </c>
      <c r="E807" s="5">
        <v>1</v>
      </c>
      <c r="F807" s="5">
        <v>0.67069999999999996</v>
      </c>
      <c r="G807" s="5">
        <v>0.34739999999999999</v>
      </c>
      <c r="H807" s="5">
        <v>1</v>
      </c>
      <c r="I807" s="5">
        <v>28854.65</v>
      </c>
      <c r="J807" s="5">
        <v>21418.18</v>
      </c>
      <c r="K807" s="5">
        <v>58</v>
      </c>
      <c r="L807" s="5">
        <v>2</v>
      </c>
      <c r="M807" s="5">
        <v>2</v>
      </c>
      <c r="N807" s="5">
        <v>2</v>
      </c>
      <c r="O807" s="5">
        <v>689.11</v>
      </c>
      <c r="P807" s="6">
        <v>0</v>
      </c>
    </row>
    <row r="808" spans="1:16" ht="23.4" x14ac:dyDescent="0.45">
      <c r="A808" s="4" t="s">
        <v>808</v>
      </c>
      <c r="B808" s="5" t="s">
        <v>4</v>
      </c>
      <c r="C808" s="5">
        <v>113800.06</v>
      </c>
      <c r="D808" s="5">
        <v>25</v>
      </c>
      <c r="E808" s="5">
        <v>0</v>
      </c>
      <c r="F808" s="5">
        <v>0.59850000000000003</v>
      </c>
      <c r="G808" s="5">
        <v>0.51039999999999996</v>
      </c>
      <c r="H808" s="5">
        <v>1</v>
      </c>
      <c r="I808" s="5">
        <v>36138.129999999997</v>
      </c>
      <c r="J808" s="5">
        <v>13426</v>
      </c>
      <c r="K808" s="5">
        <v>15</v>
      </c>
      <c r="L808" s="5">
        <v>1</v>
      </c>
      <c r="M808" s="5">
        <v>1</v>
      </c>
      <c r="N808" s="5">
        <v>0</v>
      </c>
      <c r="O808" s="5">
        <v>671.7</v>
      </c>
      <c r="P808" s="6">
        <v>0</v>
      </c>
    </row>
    <row r="809" spans="1:16" ht="23.4" x14ac:dyDescent="0.45">
      <c r="A809" s="4" t="s">
        <v>809</v>
      </c>
      <c r="B809" s="5" t="s">
        <v>9</v>
      </c>
      <c r="C809" s="5">
        <v>2000</v>
      </c>
      <c r="D809" s="5">
        <v>51</v>
      </c>
      <c r="E809" s="5">
        <v>1</v>
      </c>
      <c r="F809" s="5">
        <v>0.85</v>
      </c>
      <c r="G809" s="5">
        <v>0.33460000000000001</v>
      </c>
      <c r="H809" s="5">
        <v>3</v>
      </c>
      <c r="I809" s="5">
        <v>1716.39</v>
      </c>
      <c r="J809" s="5">
        <v>0</v>
      </c>
      <c r="K809" s="5">
        <v>116</v>
      </c>
      <c r="L809" s="5">
        <v>2</v>
      </c>
      <c r="M809" s="5">
        <v>2</v>
      </c>
      <c r="N809" s="5">
        <v>2</v>
      </c>
      <c r="O809" s="5">
        <v>721.07</v>
      </c>
      <c r="P809" s="6">
        <v>0</v>
      </c>
    </row>
    <row r="810" spans="1:16" ht="23.4" x14ac:dyDescent="0.45">
      <c r="A810" s="4" t="s">
        <v>810</v>
      </c>
      <c r="B810" s="5" t="s">
        <v>4</v>
      </c>
      <c r="C810" s="5">
        <v>99444.79</v>
      </c>
      <c r="D810" s="5">
        <v>33</v>
      </c>
      <c r="E810" s="5">
        <v>0</v>
      </c>
      <c r="F810" s="5">
        <v>0.68059999999999998</v>
      </c>
      <c r="G810" s="5">
        <v>0</v>
      </c>
      <c r="H810" s="5">
        <v>0</v>
      </c>
      <c r="I810" s="5">
        <v>500</v>
      </c>
      <c r="J810" s="5">
        <v>0</v>
      </c>
      <c r="K810" s="5">
        <v>147</v>
      </c>
      <c r="L810" s="5">
        <v>2</v>
      </c>
      <c r="M810" s="5">
        <v>1</v>
      </c>
      <c r="N810" s="5">
        <v>0</v>
      </c>
      <c r="O810" s="5">
        <v>797.54</v>
      </c>
      <c r="P810" s="6">
        <v>0</v>
      </c>
    </row>
    <row r="811" spans="1:16" ht="23.4" x14ac:dyDescent="0.45">
      <c r="A811" s="4" t="s">
        <v>811</v>
      </c>
      <c r="B811" s="5" t="s">
        <v>9</v>
      </c>
      <c r="C811" s="5">
        <v>139541.85</v>
      </c>
      <c r="D811" s="5">
        <v>28</v>
      </c>
      <c r="E811" s="5">
        <v>0</v>
      </c>
      <c r="F811" s="5">
        <v>0.3054</v>
      </c>
      <c r="G811" s="5">
        <v>0.60260000000000002</v>
      </c>
      <c r="H811" s="5">
        <v>5</v>
      </c>
      <c r="I811" s="5">
        <v>82521.350000000006</v>
      </c>
      <c r="J811" s="5">
        <v>46061.9</v>
      </c>
      <c r="K811" s="5">
        <v>20</v>
      </c>
      <c r="L811" s="5">
        <v>1</v>
      </c>
      <c r="M811" s="5">
        <v>1</v>
      </c>
      <c r="N811" s="5">
        <v>0</v>
      </c>
      <c r="O811" s="5">
        <v>698.72</v>
      </c>
      <c r="P811" s="6">
        <v>0</v>
      </c>
    </row>
    <row r="812" spans="1:16" ht="23.4" x14ac:dyDescent="0.45">
      <c r="A812" s="4" t="s">
        <v>812</v>
      </c>
      <c r="B812" s="5" t="s">
        <v>4</v>
      </c>
      <c r="C812" s="5">
        <v>91319.039999999994</v>
      </c>
      <c r="D812" s="5">
        <v>55</v>
      </c>
      <c r="E812" s="5">
        <v>1</v>
      </c>
      <c r="F812" s="5">
        <v>0.33689999999999998</v>
      </c>
      <c r="G812" s="5">
        <v>0</v>
      </c>
      <c r="H812" s="5">
        <v>0</v>
      </c>
      <c r="I812" s="5">
        <v>23823.39</v>
      </c>
      <c r="J812" s="5">
        <v>13932.22</v>
      </c>
      <c r="K812" s="5">
        <v>20</v>
      </c>
      <c r="L812" s="5">
        <v>1</v>
      </c>
      <c r="M812" s="5">
        <v>1</v>
      </c>
      <c r="N812" s="5">
        <v>0</v>
      </c>
      <c r="O812" s="5">
        <v>743.99</v>
      </c>
      <c r="P812" s="6">
        <v>0</v>
      </c>
    </row>
    <row r="813" spans="1:16" ht="23.4" x14ac:dyDescent="0.45">
      <c r="A813" s="4" t="s">
        <v>813</v>
      </c>
      <c r="B813" s="5" t="s">
        <v>6</v>
      </c>
      <c r="C813" s="5">
        <v>101323.42</v>
      </c>
      <c r="D813" s="5">
        <v>36</v>
      </c>
      <c r="E813" s="5">
        <v>1</v>
      </c>
      <c r="F813" s="5">
        <v>0.8054</v>
      </c>
      <c r="G813" s="5">
        <v>0.39839999999999998</v>
      </c>
      <c r="H813" s="5">
        <v>0</v>
      </c>
      <c r="I813" s="5">
        <v>53519.54</v>
      </c>
      <c r="J813" s="5">
        <v>36884.04</v>
      </c>
      <c r="K813" s="5">
        <v>145</v>
      </c>
      <c r="L813" s="5">
        <v>1</v>
      </c>
      <c r="M813" s="5">
        <v>2</v>
      </c>
      <c r="N813" s="5">
        <v>2</v>
      </c>
      <c r="O813" s="5">
        <v>694.86</v>
      </c>
      <c r="P813" s="6">
        <v>0</v>
      </c>
    </row>
    <row r="814" spans="1:16" ht="23.4" x14ac:dyDescent="0.45">
      <c r="A814" s="4" t="s">
        <v>814</v>
      </c>
      <c r="B814" s="5" t="s">
        <v>1</v>
      </c>
      <c r="C814" s="5">
        <v>120764.01</v>
      </c>
      <c r="D814" s="5">
        <v>40</v>
      </c>
      <c r="E814" s="5">
        <v>1</v>
      </c>
      <c r="F814" s="5">
        <v>0.53210000000000002</v>
      </c>
      <c r="G814" s="5">
        <v>0.80600000000000005</v>
      </c>
      <c r="H814" s="5">
        <v>3</v>
      </c>
      <c r="I814" s="5">
        <v>91552.88</v>
      </c>
      <c r="J814" s="5">
        <v>67339.72</v>
      </c>
      <c r="K814" s="5">
        <v>140</v>
      </c>
      <c r="L814" s="5">
        <v>3</v>
      </c>
      <c r="M814" s="5">
        <v>1</v>
      </c>
      <c r="N814" s="5">
        <v>1</v>
      </c>
      <c r="O814" s="5">
        <v>693.24</v>
      </c>
      <c r="P814" s="6">
        <v>0</v>
      </c>
    </row>
    <row r="815" spans="1:16" ht="23.4" x14ac:dyDescent="0.45">
      <c r="A815" s="4" t="s">
        <v>815</v>
      </c>
      <c r="B815" s="5" t="s">
        <v>1</v>
      </c>
      <c r="C815" s="5">
        <v>115318.43</v>
      </c>
      <c r="D815" s="5">
        <v>60</v>
      </c>
      <c r="E815" s="5">
        <v>0</v>
      </c>
      <c r="F815" s="5">
        <v>0.61950000000000005</v>
      </c>
      <c r="G815" s="5">
        <v>0.40870000000000001</v>
      </c>
      <c r="H815" s="5">
        <v>6</v>
      </c>
      <c r="I815" s="5">
        <v>32025.38</v>
      </c>
      <c r="J815" s="5">
        <v>13981.28</v>
      </c>
      <c r="K815" s="5">
        <v>147</v>
      </c>
      <c r="L815" s="5">
        <v>1</v>
      </c>
      <c r="M815" s="5">
        <v>1</v>
      </c>
      <c r="N815" s="5">
        <v>2</v>
      </c>
      <c r="O815" s="5">
        <v>684.9</v>
      </c>
      <c r="P815" s="6">
        <v>0</v>
      </c>
    </row>
    <row r="816" spans="1:16" ht="23.4" x14ac:dyDescent="0.45">
      <c r="A816" s="4" t="s">
        <v>816</v>
      </c>
      <c r="B816" s="5" t="s">
        <v>6</v>
      </c>
      <c r="C816" s="5">
        <v>158998.99</v>
      </c>
      <c r="D816" s="5">
        <v>62</v>
      </c>
      <c r="E816" s="5">
        <v>0</v>
      </c>
      <c r="F816" s="5">
        <v>0.65720000000000001</v>
      </c>
      <c r="G816" s="5">
        <v>0.4551</v>
      </c>
      <c r="H816" s="5">
        <v>0</v>
      </c>
      <c r="I816" s="5">
        <v>100638.08</v>
      </c>
      <c r="J816" s="5">
        <v>68739.320000000007</v>
      </c>
      <c r="K816" s="5">
        <v>75</v>
      </c>
      <c r="L816" s="5">
        <v>1</v>
      </c>
      <c r="M816" s="5">
        <v>1</v>
      </c>
      <c r="N816" s="5">
        <v>2</v>
      </c>
      <c r="O816" s="5">
        <v>734.31</v>
      </c>
      <c r="P816" s="6">
        <v>0</v>
      </c>
    </row>
    <row r="817" spans="1:16" ht="23.4" x14ac:dyDescent="0.45">
      <c r="A817" s="4" t="s">
        <v>817</v>
      </c>
      <c r="B817" s="5" t="s">
        <v>4</v>
      </c>
      <c r="C817" s="5">
        <v>108431.91</v>
      </c>
      <c r="D817" s="5">
        <v>52</v>
      </c>
      <c r="E817" s="5">
        <v>1</v>
      </c>
      <c r="F817" s="5">
        <v>0.89500000000000002</v>
      </c>
      <c r="G817" s="5">
        <v>0.42899999999999999</v>
      </c>
      <c r="H817" s="5">
        <v>1</v>
      </c>
      <c r="I817" s="5">
        <v>50202.84</v>
      </c>
      <c r="J817" s="5">
        <v>29523.27</v>
      </c>
      <c r="K817" s="5">
        <v>142</v>
      </c>
      <c r="L817" s="5">
        <v>1</v>
      </c>
      <c r="M817" s="5">
        <v>1</v>
      </c>
      <c r="N817" s="5">
        <v>1</v>
      </c>
      <c r="O817" s="5">
        <v>783.68</v>
      </c>
      <c r="P817" s="6">
        <v>0</v>
      </c>
    </row>
    <row r="818" spans="1:16" ht="23.4" x14ac:dyDescent="0.45">
      <c r="A818" s="4" t="s">
        <v>818</v>
      </c>
      <c r="B818" s="5" t="s">
        <v>6</v>
      </c>
      <c r="C818" s="5">
        <v>150827.46</v>
      </c>
      <c r="D818" s="5">
        <v>42</v>
      </c>
      <c r="E818" s="5">
        <v>1</v>
      </c>
      <c r="F818" s="5">
        <v>0.74450000000000005</v>
      </c>
      <c r="G818" s="5">
        <v>0.88239999999999996</v>
      </c>
      <c r="H818" s="5">
        <v>3</v>
      </c>
      <c r="I818" s="5">
        <v>140495.38</v>
      </c>
      <c r="J818" s="5">
        <v>88100.64</v>
      </c>
      <c r="K818" s="5">
        <v>13</v>
      </c>
      <c r="L818" s="5">
        <v>1</v>
      </c>
      <c r="M818" s="5">
        <v>2</v>
      </c>
      <c r="N818" s="5">
        <v>0</v>
      </c>
      <c r="O818" s="5">
        <v>581.65</v>
      </c>
      <c r="P818" s="6">
        <v>0</v>
      </c>
    </row>
    <row r="819" spans="1:16" ht="23.4" x14ac:dyDescent="0.45">
      <c r="A819" s="4" t="s">
        <v>819</v>
      </c>
      <c r="B819" s="5" t="s">
        <v>6</v>
      </c>
      <c r="C819" s="5">
        <v>121981.29</v>
      </c>
      <c r="D819" s="5">
        <v>24</v>
      </c>
      <c r="E819" s="5">
        <v>0</v>
      </c>
      <c r="F819" s="5">
        <v>0.78959999999999997</v>
      </c>
      <c r="G819" s="5">
        <v>0.10299999999999999</v>
      </c>
      <c r="H819" s="5">
        <v>5</v>
      </c>
      <c r="I819" s="5">
        <v>2322.37</v>
      </c>
      <c r="J819" s="5">
        <v>0</v>
      </c>
      <c r="K819" s="5">
        <v>142</v>
      </c>
      <c r="L819" s="5">
        <v>2</v>
      </c>
      <c r="M819" s="5">
        <v>2</v>
      </c>
      <c r="N819" s="5">
        <v>1</v>
      </c>
      <c r="O819" s="5">
        <v>850</v>
      </c>
      <c r="P819" s="6">
        <v>0</v>
      </c>
    </row>
    <row r="820" spans="1:16" ht="23.4" x14ac:dyDescent="0.45">
      <c r="A820" s="4" t="s">
        <v>820</v>
      </c>
      <c r="B820" s="5" t="s">
        <v>9</v>
      </c>
      <c r="C820" s="5">
        <v>113028.73</v>
      </c>
      <c r="D820" s="5">
        <v>68</v>
      </c>
      <c r="E820" s="5">
        <v>1</v>
      </c>
      <c r="F820" s="5">
        <v>0.86709999999999998</v>
      </c>
      <c r="G820" s="5">
        <v>0.58420000000000005</v>
      </c>
      <c r="H820" s="5">
        <v>3</v>
      </c>
      <c r="I820" s="5">
        <v>76220.63</v>
      </c>
      <c r="J820" s="5">
        <v>53367.54</v>
      </c>
      <c r="K820" s="5">
        <v>180</v>
      </c>
      <c r="L820" s="5">
        <v>4</v>
      </c>
      <c r="M820" s="5">
        <v>1</v>
      </c>
      <c r="N820" s="5">
        <v>0</v>
      </c>
      <c r="O820" s="5">
        <v>654.83000000000004</v>
      </c>
      <c r="P820" s="6">
        <v>0</v>
      </c>
    </row>
    <row r="821" spans="1:16" ht="23.4" x14ac:dyDescent="0.45">
      <c r="A821" s="4" t="s">
        <v>821</v>
      </c>
      <c r="B821" s="5" t="s">
        <v>1</v>
      </c>
      <c r="C821" s="5">
        <v>79148.66</v>
      </c>
      <c r="D821" s="5">
        <v>60</v>
      </c>
      <c r="E821" s="5">
        <v>0</v>
      </c>
      <c r="F821" s="5">
        <v>0.67600000000000005</v>
      </c>
      <c r="G821" s="5">
        <v>0.59550000000000003</v>
      </c>
      <c r="H821" s="5">
        <v>3</v>
      </c>
      <c r="I821" s="5">
        <v>68958.3</v>
      </c>
      <c r="J821" s="5">
        <v>46398.91</v>
      </c>
      <c r="K821" s="5">
        <v>84</v>
      </c>
      <c r="L821" s="5">
        <v>2</v>
      </c>
      <c r="M821" s="5">
        <v>1</v>
      </c>
      <c r="N821" s="5">
        <v>0</v>
      </c>
      <c r="O821" s="5">
        <v>674.11</v>
      </c>
      <c r="P821" s="6">
        <v>0</v>
      </c>
    </row>
    <row r="822" spans="1:16" ht="23.4" x14ac:dyDescent="0.45">
      <c r="A822" s="4" t="s">
        <v>822</v>
      </c>
      <c r="B822" s="5" t="s">
        <v>1</v>
      </c>
      <c r="C822" s="5">
        <v>42870.71</v>
      </c>
      <c r="D822" s="5">
        <v>50</v>
      </c>
      <c r="E822" s="5">
        <v>0</v>
      </c>
      <c r="F822" s="5">
        <v>0.75</v>
      </c>
      <c r="G822" s="5">
        <v>0.62929999999999997</v>
      </c>
      <c r="H822" s="5">
        <v>4</v>
      </c>
      <c r="I822" s="5">
        <v>14577.27</v>
      </c>
      <c r="J822" s="5">
        <v>2435.36</v>
      </c>
      <c r="K822" s="5">
        <v>110</v>
      </c>
      <c r="L822" s="5">
        <v>1</v>
      </c>
      <c r="M822" s="5">
        <v>3</v>
      </c>
      <c r="N822" s="5">
        <v>0</v>
      </c>
      <c r="O822" s="5">
        <v>649.58000000000004</v>
      </c>
      <c r="P822" s="6">
        <v>0</v>
      </c>
    </row>
    <row r="823" spans="1:16" ht="23.4" x14ac:dyDescent="0.45">
      <c r="A823" s="4" t="s">
        <v>823</v>
      </c>
      <c r="B823" s="5" t="s">
        <v>9</v>
      </c>
      <c r="C823" s="5">
        <v>65033.38</v>
      </c>
      <c r="D823" s="5">
        <v>32</v>
      </c>
      <c r="E823" s="5">
        <v>0</v>
      </c>
      <c r="F823" s="5">
        <v>0.68230000000000002</v>
      </c>
      <c r="G823" s="5">
        <v>0.83889999999999998</v>
      </c>
      <c r="H823" s="5">
        <v>5</v>
      </c>
      <c r="I823" s="5">
        <v>72059.44</v>
      </c>
      <c r="J823" s="5">
        <v>49191.360000000001</v>
      </c>
      <c r="K823" s="5">
        <v>164</v>
      </c>
      <c r="L823" s="5">
        <v>2</v>
      </c>
      <c r="M823" s="5">
        <v>1</v>
      </c>
      <c r="N823" s="5">
        <v>1</v>
      </c>
      <c r="O823" s="5">
        <v>701.55</v>
      </c>
      <c r="P823" s="6">
        <v>0</v>
      </c>
    </row>
    <row r="824" spans="1:16" ht="23.4" x14ac:dyDescent="0.45">
      <c r="A824" s="4" t="s">
        <v>824</v>
      </c>
      <c r="B824" s="5" t="s">
        <v>6</v>
      </c>
      <c r="C824" s="5">
        <v>41561.25</v>
      </c>
      <c r="D824" s="5">
        <v>41</v>
      </c>
      <c r="E824" s="5">
        <v>0</v>
      </c>
      <c r="F824" s="5">
        <v>0.69089999999999996</v>
      </c>
      <c r="G824" s="5">
        <v>0.78369999999999995</v>
      </c>
      <c r="H824" s="5">
        <v>5</v>
      </c>
      <c r="I824" s="5">
        <v>54610.51</v>
      </c>
      <c r="J824" s="5">
        <v>41659.9</v>
      </c>
      <c r="K824" s="5">
        <v>72</v>
      </c>
      <c r="L824" s="5">
        <v>4</v>
      </c>
      <c r="M824" s="5">
        <v>1</v>
      </c>
      <c r="N824" s="5">
        <v>2</v>
      </c>
      <c r="O824" s="5">
        <v>713.96</v>
      </c>
      <c r="P824" s="6">
        <v>1</v>
      </c>
    </row>
    <row r="825" spans="1:16" ht="23.4" x14ac:dyDescent="0.45">
      <c r="A825" s="4" t="s">
        <v>825</v>
      </c>
      <c r="B825" s="5" t="s">
        <v>18</v>
      </c>
      <c r="C825" s="5">
        <v>44479.96</v>
      </c>
      <c r="D825" s="5">
        <v>36</v>
      </c>
      <c r="E825" s="5">
        <v>0</v>
      </c>
      <c r="F825" s="5">
        <v>0.65290000000000004</v>
      </c>
      <c r="G825" s="5">
        <v>0.48130000000000001</v>
      </c>
      <c r="H825" s="5">
        <v>1</v>
      </c>
      <c r="I825" s="5">
        <v>27613.25</v>
      </c>
      <c r="J825" s="5">
        <v>18837.28</v>
      </c>
      <c r="K825" s="5">
        <v>101</v>
      </c>
      <c r="L825" s="5">
        <v>3</v>
      </c>
      <c r="M825" s="5">
        <v>2</v>
      </c>
      <c r="N825" s="5">
        <v>0</v>
      </c>
      <c r="O825" s="5">
        <v>742.94</v>
      </c>
      <c r="P825" s="6">
        <v>0</v>
      </c>
    </row>
    <row r="826" spans="1:16" ht="23.4" x14ac:dyDescent="0.45">
      <c r="A826" s="4" t="s">
        <v>826</v>
      </c>
      <c r="B826" s="5" t="s">
        <v>4</v>
      </c>
      <c r="C826" s="5">
        <v>87923.13</v>
      </c>
      <c r="D826" s="5">
        <v>59</v>
      </c>
      <c r="E826" s="5">
        <v>1</v>
      </c>
      <c r="F826" s="5">
        <v>0.74380000000000002</v>
      </c>
      <c r="G826" s="5">
        <v>0.4536</v>
      </c>
      <c r="H826" s="5">
        <v>1</v>
      </c>
      <c r="I826" s="5">
        <v>21621.55</v>
      </c>
      <c r="J826" s="5">
        <v>21423.67</v>
      </c>
      <c r="K826" s="5">
        <v>126</v>
      </c>
      <c r="L826" s="5">
        <v>3</v>
      </c>
      <c r="M826" s="5">
        <v>1</v>
      </c>
      <c r="N826" s="5">
        <v>0</v>
      </c>
      <c r="O826" s="5">
        <v>669.3</v>
      </c>
      <c r="P826" s="6">
        <v>0</v>
      </c>
    </row>
    <row r="827" spans="1:16" ht="23.4" x14ac:dyDescent="0.45">
      <c r="A827" s="4" t="s">
        <v>827</v>
      </c>
      <c r="B827" s="5" t="s">
        <v>18</v>
      </c>
      <c r="C827" s="5">
        <v>117469.07</v>
      </c>
      <c r="D827" s="5">
        <v>58</v>
      </c>
      <c r="E827" s="5">
        <v>0</v>
      </c>
      <c r="F827" s="5">
        <v>0.97060000000000002</v>
      </c>
      <c r="G827" s="5">
        <v>0.45469999999999999</v>
      </c>
      <c r="H827" s="5">
        <v>4</v>
      </c>
      <c r="I827" s="5">
        <v>36659.71</v>
      </c>
      <c r="J827" s="5">
        <v>30733.62</v>
      </c>
      <c r="K827" s="5">
        <v>154</v>
      </c>
      <c r="L827" s="5">
        <v>2</v>
      </c>
      <c r="M827" s="5">
        <v>3</v>
      </c>
      <c r="N827" s="5">
        <v>0</v>
      </c>
      <c r="O827" s="5">
        <v>659.95</v>
      </c>
      <c r="P827" s="6">
        <v>0</v>
      </c>
    </row>
    <row r="828" spans="1:16" ht="23.4" x14ac:dyDescent="0.45">
      <c r="A828" s="4" t="s">
        <v>828</v>
      </c>
      <c r="B828" s="5" t="s">
        <v>15</v>
      </c>
      <c r="C828" s="5">
        <v>75851.44</v>
      </c>
      <c r="D828" s="5">
        <v>69</v>
      </c>
      <c r="E828" s="5">
        <v>1</v>
      </c>
      <c r="F828" s="5">
        <v>0.6048</v>
      </c>
      <c r="G828" s="5">
        <v>0.501</v>
      </c>
      <c r="H828" s="5">
        <v>3</v>
      </c>
      <c r="I828" s="5">
        <v>69064.66</v>
      </c>
      <c r="J828" s="5">
        <v>53080.98</v>
      </c>
      <c r="K828" s="5">
        <v>63</v>
      </c>
      <c r="L828" s="5">
        <v>2</v>
      </c>
      <c r="M828" s="5">
        <v>3</v>
      </c>
      <c r="N828" s="5">
        <v>1</v>
      </c>
      <c r="O828" s="5">
        <v>674.98</v>
      </c>
      <c r="P828" s="6">
        <v>0</v>
      </c>
    </row>
    <row r="829" spans="1:16" ht="23.4" x14ac:dyDescent="0.45">
      <c r="A829" s="4" t="s">
        <v>829</v>
      </c>
      <c r="B829" s="5" t="s">
        <v>6</v>
      </c>
      <c r="C829" s="5">
        <v>34285.71</v>
      </c>
      <c r="D829" s="5">
        <v>54</v>
      </c>
      <c r="E829" s="5">
        <v>0</v>
      </c>
      <c r="F829" s="5">
        <v>0.78149999999999997</v>
      </c>
      <c r="G829" s="5">
        <v>7.3800000000000004E-2</v>
      </c>
      <c r="H829" s="5">
        <v>0</v>
      </c>
      <c r="I829" s="5">
        <v>500</v>
      </c>
      <c r="J829" s="5">
        <v>0</v>
      </c>
      <c r="K829" s="5">
        <v>153</v>
      </c>
      <c r="L829" s="5">
        <v>1</v>
      </c>
      <c r="M829" s="5">
        <v>1</v>
      </c>
      <c r="N829" s="5">
        <v>0</v>
      </c>
      <c r="O829" s="5">
        <v>773.96</v>
      </c>
      <c r="P829" s="6">
        <v>0</v>
      </c>
    </row>
    <row r="830" spans="1:16" ht="23.4" x14ac:dyDescent="0.45">
      <c r="A830" s="4" t="s">
        <v>830</v>
      </c>
      <c r="B830" s="5" t="s">
        <v>15</v>
      </c>
      <c r="C830" s="5">
        <v>57887.15</v>
      </c>
      <c r="D830" s="5">
        <v>68</v>
      </c>
      <c r="E830" s="5">
        <v>1</v>
      </c>
      <c r="F830" s="5">
        <v>0.86829999999999996</v>
      </c>
      <c r="G830" s="5">
        <v>0.77849999999999997</v>
      </c>
      <c r="H830" s="5">
        <v>4</v>
      </c>
      <c r="I830" s="5">
        <v>9578.74</v>
      </c>
      <c r="J830" s="5">
        <v>13970.76</v>
      </c>
      <c r="K830" s="5">
        <v>110</v>
      </c>
      <c r="L830" s="5">
        <v>2</v>
      </c>
      <c r="M830" s="5">
        <v>1</v>
      </c>
      <c r="N830" s="5">
        <v>1</v>
      </c>
      <c r="O830" s="5">
        <v>766.98</v>
      </c>
      <c r="P830" s="6">
        <v>0</v>
      </c>
    </row>
    <row r="831" spans="1:16" ht="23.4" x14ac:dyDescent="0.45">
      <c r="A831" s="4" t="s">
        <v>831</v>
      </c>
      <c r="B831" s="5" t="s">
        <v>9</v>
      </c>
      <c r="C831" s="5">
        <v>56527.8</v>
      </c>
      <c r="D831" s="5">
        <v>49</v>
      </c>
      <c r="E831" s="5">
        <v>1</v>
      </c>
      <c r="F831" s="5">
        <v>0.73270000000000002</v>
      </c>
      <c r="G831" s="5">
        <v>0.224</v>
      </c>
      <c r="H831" s="5">
        <v>4</v>
      </c>
      <c r="I831" s="5">
        <v>500</v>
      </c>
      <c r="J831" s="5">
        <v>5702.06</v>
      </c>
      <c r="K831" s="5">
        <v>110</v>
      </c>
      <c r="L831" s="5">
        <v>2</v>
      </c>
      <c r="M831" s="5">
        <v>2</v>
      </c>
      <c r="N831" s="5">
        <v>1</v>
      </c>
      <c r="O831" s="5">
        <v>699.76</v>
      </c>
      <c r="P831" s="6">
        <v>0</v>
      </c>
    </row>
    <row r="832" spans="1:16" ht="23.4" x14ac:dyDescent="0.45">
      <c r="A832" s="4" t="s">
        <v>832</v>
      </c>
      <c r="B832" s="5" t="s">
        <v>1</v>
      </c>
      <c r="C832" s="5">
        <v>77731.31</v>
      </c>
      <c r="D832" s="5">
        <v>47</v>
      </c>
      <c r="E832" s="5">
        <v>1</v>
      </c>
      <c r="F832" s="5">
        <v>0.78410000000000002</v>
      </c>
      <c r="G832" s="5">
        <v>0</v>
      </c>
      <c r="H832" s="5">
        <v>3</v>
      </c>
      <c r="I832" s="5">
        <v>500</v>
      </c>
      <c r="J832" s="5">
        <v>0</v>
      </c>
      <c r="K832" s="5">
        <v>56</v>
      </c>
      <c r="L832" s="5">
        <v>3</v>
      </c>
      <c r="M832" s="5">
        <v>2</v>
      </c>
      <c r="N832" s="5">
        <v>0</v>
      </c>
      <c r="O832" s="5">
        <v>778.13</v>
      </c>
      <c r="P832" s="6">
        <v>0</v>
      </c>
    </row>
    <row r="833" spans="1:16" ht="23.4" x14ac:dyDescent="0.45">
      <c r="A833" s="4" t="s">
        <v>833</v>
      </c>
      <c r="B833" s="5" t="s">
        <v>1</v>
      </c>
      <c r="C833" s="5">
        <v>114212.73</v>
      </c>
      <c r="D833" s="5">
        <v>51</v>
      </c>
      <c r="E833" s="5">
        <v>1</v>
      </c>
      <c r="F833" s="5">
        <v>0.69530000000000003</v>
      </c>
      <c r="G833" s="5">
        <v>0.2702</v>
      </c>
      <c r="H833" s="5">
        <v>4</v>
      </c>
      <c r="I833" s="5">
        <v>34242.97</v>
      </c>
      <c r="J833" s="5">
        <v>14296.7</v>
      </c>
      <c r="K833" s="5">
        <v>39</v>
      </c>
      <c r="L833" s="5">
        <v>2</v>
      </c>
      <c r="M833" s="5">
        <v>2</v>
      </c>
      <c r="N833" s="5">
        <v>0</v>
      </c>
      <c r="O833" s="5">
        <v>542.62</v>
      </c>
      <c r="P833" s="6">
        <v>0</v>
      </c>
    </row>
    <row r="834" spans="1:16" ht="23.4" x14ac:dyDescent="0.45">
      <c r="A834" s="4" t="s">
        <v>834</v>
      </c>
      <c r="B834" s="5" t="s">
        <v>6</v>
      </c>
      <c r="C834" s="5">
        <v>138403.65</v>
      </c>
      <c r="D834" s="5">
        <v>36</v>
      </c>
      <c r="E834" s="5">
        <v>0</v>
      </c>
      <c r="F834" s="5">
        <v>0.92190000000000005</v>
      </c>
      <c r="G834" s="5">
        <v>0.37019999999999997</v>
      </c>
      <c r="H834" s="5">
        <v>1</v>
      </c>
      <c r="I834" s="5">
        <v>76881.03</v>
      </c>
      <c r="J834" s="5">
        <v>48824.35</v>
      </c>
      <c r="K834" s="5">
        <v>157</v>
      </c>
      <c r="L834" s="5">
        <v>2</v>
      </c>
      <c r="M834" s="5">
        <v>1</v>
      </c>
      <c r="N834" s="5">
        <v>1</v>
      </c>
      <c r="O834" s="5">
        <v>850</v>
      </c>
      <c r="P834" s="6">
        <v>0</v>
      </c>
    </row>
    <row r="835" spans="1:16" ht="23.4" x14ac:dyDescent="0.45">
      <c r="A835" s="4" t="s">
        <v>835</v>
      </c>
      <c r="B835" s="5" t="s">
        <v>6</v>
      </c>
      <c r="C835" s="5">
        <v>135289.9</v>
      </c>
      <c r="D835" s="5">
        <v>47</v>
      </c>
      <c r="E835" s="5">
        <v>0</v>
      </c>
      <c r="F835" s="5">
        <v>0.4763</v>
      </c>
      <c r="G835" s="5">
        <v>9.9099999999999994E-2</v>
      </c>
      <c r="H835" s="5">
        <v>0</v>
      </c>
      <c r="I835" s="5">
        <v>23337.63</v>
      </c>
      <c r="J835" s="5">
        <v>9770.23</v>
      </c>
      <c r="K835" s="5">
        <v>156</v>
      </c>
      <c r="L835" s="5">
        <v>3</v>
      </c>
      <c r="M835" s="5">
        <v>3</v>
      </c>
      <c r="N835" s="5">
        <v>0</v>
      </c>
      <c r="O835" s="5">
        <v>606.41</v>
      </c>
      <c r="P835" s="6">
        <v>0</v>
      </c>
    </row>
    <row r="836" spans="1:16" ht="23.4" x14ac:dyDescent="0.45">
      <c r="A836" s="4" t="s">
        <v>836</v>
      </c>
      <c r="B836" s="5" t="s">
        <v>9</v>
      </c>
      <c r="C836" s="5">
        <v>54010.51</v>
      </c>
      <c r="D836" s="5">
        <v>62</v>
      </c>
      <c r="E836" s="5">
        <v>1</v>
      </c>
      <c r="F836" s="5">
        <v>0.59340000000000004</v>
      </c>
      <c r="G836" s="5">
        <v>0.18959999999999999</v>
      </c>
      <c r="H836" s="5">
        <v>2</v>
      </c>
      <c r="I836" s="5">
        <v>20910.3</v>
      </c>
      <c r="J836" s="5">
        <v>24803.759999999998</v>
      </c>
      <c r="K836" s="5">
        <v>77</v>
      </c>
      <c r="L836" s="5">
        <v>3</v>
      </c>
      <c r="M836" s="5">
        <v>1</v>
      </c>
      <c r="N836" s="5">
        <v>0</v>
      </c>
      <c r="O836" s="5">
        <v>664.16</v>
      </c>
      <c r="P836" s="6">
        <v>0</v>
      </c>
    </row>
    <row r="837" spans="1:16" ht="23.4" x14ac:dyDescent="0.45">
      <c r="A837" s="4" t="s">
        <v>837</v>
      </c>
      <c r="B837" s="5" t="s">
        <v>9</v>
      </c>
      <c r="C837" s="5">
        <v>138745.70000000001</v>
      </c>
      <c r="D837" s="5">
        <v>58</v>
      </c>
      <c r="E837" s="5">
        <v>0</v>
      </c>
      <c r="F837" s="5">
        <v>0.24179999999999999</v>
      </c>
      <c r="G837" s="5">
        <v>0.37040000000000001</v>
      </c>
      <c r="H837" s="5">
        <v>2</v>
      </c>
      <c r="I837" s="5">
        <v>65792.75</v>
      </c>
      <c r="J837" s="5">
        <v>33588.559999999998</v>
      </c>
      <c r="K837" s="5">
        <v>16</v>
      </c>
      <c r="L837" s="5">
        <v>3</v>
      </c>
      <c r="M837" s="5">
        <v>2</v>
      </c>
      <c r="N837" s="5">
        <v>3</v>
      </c>
      <c r="O837" s="5">
        <v>500.9</v>
      </c>
      <c r="P837" s="6">
        <v>0</v>
      </c>
    </row>
    <row r="838" spans="1:16" ht="23.4" x14ac:dyDescent="0.45">
      <c r="A838" s="4" t="s">
        <v>838</v>
      </c>
      <c r="B838" s="5" t="s">
        <v>1</v>
      </c>
      <c r="C838" s="5">
        <v>31545.82</v>
      </c>
      <c r="D838" s="5">
        <v>60</v>
      </c>
      <c r="E838" s="5">
        <v>0</v>
      </c>
      <c r="F838" s="5">
        <v>0.66859999999999997</v>
      </c>
      <c r="G838" s="5">
        <v>0.30909999999999999</v>
      </c>
      <c r="H838" s="5">
        <v>4</v>
      </c>
      <c r="I838" s="5">
        <v>16003.31</v>
      </c>
      <c r="J838" s="5">
        <v>16367.54</v>
      </c>
      <c r="K838" s="5">
        <v>130</v>
      </c>
      <c r="L838" s="5">
        <v>2</v>
      </c>
      <c r="M838" s="5">
        <v>2</v>
      </c>
      <c r="N838" s="5">
        <v>0</v>
      </c>
      <c r="O838" s="5">
        <v>850</v>
      </c>
      <c r="P838" s="6">
        <v>0</v>
      </c>
    </row>
    <row r="839" spans="1:16" ht="23.4" x14ac:dyDescent="0.45">
      <c r="A839" s="4" t="s">
        <v>839</v>
      </c>
      <c r="B839" s="5" t="s">
        <v>4</v>
      </c>
      <c r="C839" s="5">
        <v>23312.22</v>
      </c>
      <c r="D839" s="5">
        <v>35</v>
      </c>
      <c r="E839" s="5">
        <v>1</v>
      </c>
      <c r="F839" s="5">
        <v>0.64470000000000005</v>
      </c>
      <c r="G839" s="5">
        <v>0.28070000000000001</v>
      </c>
      <c r="H839" s="5">
        <v>3</v>
      </c>
      <c r="I839" s="5">
        <v>34155.15</v>
      </c>
      <c r="J839" s="5">
        <v>22527.919999999998</v>
      </c>
      <c r="K839" s="5">
        <v>16</v>
      </c>
      <c r="L839" s="5">
        <v>4</v>
      </c>
      <c r="M839" s="5">
        <v>2</v>
      </c>
      <c r="N839" s="5">
        <v>1</v>
      </c>
      <c r="O839" s="5">
        <v>690.78</v>
      </c>
      <c r="P839" s="6">
        <v>1</v>
      </c>
    </row>
    <row r="840" spans="1:16" ht="23.4" x14ac:dyDescent="0.45">
      <c r="A840" s="4" t="s">
        <v>840</v>
      </c>
      <c r="B840" s="5" t="s">
        <v>4</v>
      </c>
      <c r="C840" s="5">
        <v>95095.71</v>
      </c>
      <c r="D840" s="5">
        <v>34</v>
      </c>
      <c r="E840" s="5">
        <v>1</v>
      </c>
      <c r="F840" s="5">
        <v>0.6603</v>
      </c>
      <c r="G840" s="5">
        <v>0.2792</v>
      </c>
      <c r="H840" s="5">
        <v>7</v>
      </c>
      <c r="I840" s="5">
        <v>11986.81</v>
      </c>
      <c r="J840" s="5">
        <v>11827.65</v>
      </c>
      <c r="K840" s="5">
        <v>38</v>
      </c>
      <c r="L840" s="5">
        <v>3</v>
      </c>
      <c r="M840" s="5">
        <v>1</v>
      </c>
      <c r="N840" s="5">
        <v>0</v>
      </c>
      <c r="O840" s="5">
        <v>675.51</v>
      </c>
      <c r="P840" s="6">
        <v>0</v>
      </c>
    </row>
    <row r="841" spans="1:16" ht="23.4" x14ac:dyDescent="0.45">
      <c r="A841" s="4" t="s">
        <v>841</v>
      </c>
      <c r="B841" s="5" t="s">
        <v>6</v>
      </c>
      <c r="C841" s="5">
        <v>6394.9</v>
      </c>
      <c r="D841" s="5">
        <v>48</v>
      </c>
      <c r="E841" s="5">
        <v>0</v>
      </c>
      <c r="F841" s="5">
        <v>0.61480000000000001</v>
      </c>
      <c r="G841" s="5">
        <v>0.40450000000000003</v>
      </c>
      <c r="H841" s="5">
        <v>4</v>
      </c>
      <c r="I841" s="5">
        <v>11768.1</v>
      </c>
      <c r="J841" s="5">
        <v>0</v>
      </c>
      <c r="K841" s="5">
        <v>26</v>
      </c>
      <c r="L841" s="5">
        <v>2</v>
      </c>
      <c r="M841" s="5">
        <v>1</v>
      </c>
      <c r="N841" s="5">
        <v>0</v>
      </c>
      <c r="O841" s="5">
        <v>553.80999999999995</v>
      </c>
      <c r="P841" s="6">
        <v>0</v>
      </c>
    </row>
    <row r="842" spans="1:16" ht="23.4" x14ac:dyDescent="0.45">
      <c r="A842" s="4" t="s">
        <v>842</v>
      </c>
      <c r="B842" s="5" t="s">
        <v>18</v>
      </c>
      <c r="C842" s="5">
        <v>64729.91</v>
      </c>
      <c r="D842" s="5">
        <v>68</v>
      </c>
      <c r="E842" s="5">
        <v>0</v>
      </c>
      <c r="F842" s="5">
        <v>0.88900000000000001</v>
      </c>
      <c r="G842" s="5">
        <v>0</v>
      </c>
      <c r="H842" s="5">
        <v>0</v>
      </c>
      <c r="I842" s="5">
        <v>500</v>
      </c>
      <c r="J842" s="5">
        <v>0</v>
      </c>
      <c r="K842" s="5">
        <v>15</v>
      </c>
      <c r="L842" s="5">
        <v>2</v>
      </c>
      <c r="M842" s="5">
        <v>3</v>
      </c>
      <c r="N842" s="5">
        <v>1</v>
      </c>
      <c r="O842" s="5">
        <v>709.28</v>
      </c>
      <c r="P842" s="6">
        <v>0</v>
      </c>
    </row>
    <row r="843" spans="1:16" ht="23.4" x14ac:dyDescent="0.45">
      <c r="A843" s="4" t="s">
        <v>843</v>
      </c>
      <c r="B843" s="5" t="s">
        <v>1</v>
      </c>
      <c r="C843" s="5">
        <v>168704.25</v>
      </c>
      <c r="D843" s="5">
        <v>61</v>
      </c>
      <c r="E843" s="5">
        <v>0</v>
      </c>
      <c r="F843" s="5">
        <v>0.97670000000000001</v>
      </c>
      <c r="G843" s="5">
        <v>0.4788</v>
      </c>
      <c r="H843" s="5">
        <v>4</v>
      </c>
      <c r="I843" s="5">
        <v>81175.91</v>
      </c>
      <c r="J843" s="5">
        <v>50533.72</v>
      </c>
      <c r="K843" s="5">
        <v>178</v>
      </c>
      <c r="L843" s="5">
        <v>1</v>
      </c>
      <c r="M843" s="5">
        <v>1</v>
      </c>
      <c r="N843" s="5">
        <v>1</v>
      </c>
      <c r="O843" s="5">
        <v>829.73</v>
      </c>
      <c r="P843" s="6">
        <v>0</v>
      </c>
    </row>
    <row r="844" spans="1:16" ht="23.4" x14ac:dyDescent="0.45">
      <c r="A844" s="4" t="s">
        <v>844</v>
      </c>
      <c r="B844" s="5" t="s">
        <v>1</v>
      </c>
      <c r="C844" s="5">
        <v>66080.98</v>
      </c>
      <c r="D844" s="5">
        <v>61</v>
      </c>
      <c r="E844" s="5">
        <v>1</v>
      </c>
      <c r="F844" s="5">
        <v>0.70220000000000005</v>
      </c>
      <c r="G844" s="5">
        <v>0.83630000000000004</v>
      </c>
      <c r="H844" s="5">
        <v>1</v>
      </c>
      <c r="I844" s="5">
        <v>70823.149999999994</v>
      </c>
      <c r="J844" s="5">
        <v>37816.06</v>
      </c>
      <c r="K844" s="5">
        <v>6</v>
      </c>
      <c r="L844" s="5">
        <v>2</v>
      </c>
      <c r="M844" s="5">
        <v>1</v>
      </c>
      <c r="N844" s="5">
        <v>1</v>
      </c>
      <c r="O844" s="5">
        <v>663.16</v>
      </c>
      <c r="P844" s="6">
        <v>0</v>
      </c>
    </row>
    <row r="845" spans="1:16" ht="23.4" x14ac:dyDescent="0.45">
      <c r="A845" s="4" t="s">
        <v>845</v>
      </c>
      <c r="B845" s="5" t="s">
        <v>15</v>
      </c>
      <c r="C845" s="5">
        <v>77736.100000000006</v>
      </c>
      <c r="D845" s="5">
        <v>60</v>
      </c>
      <c r="E845" s="5">
        <v>1</v>
      </c>
      <c r="F845" s="5">
        <v>0.50660000000000005</v>
      </c>
      <c r="G845" s="5">
        <v>0.62619999999999998</v>
      </c>
      <c r="H845" s="5">
        <v>2</v>
      </c>
      <c r="I845" s="5">
        <v>35536.910000000003</v>
      </c>
      <c r="J845" s="5">
        <v>18633.57</v>
      </c>
      <c r="K845" s="5">
        <v>82</v>
      </c>
      <c r="L845" s="5">
        <v>3</v>
      </c>
      <c r="M845" s="5">
        <v>2</v>
      </c>
      <c r="N845" s="5">
        <v>1</v>
      </c>
      <c r="O845" s="5">
        <v>629.16999999999996</v>
      </c>
      <c r="P845" s="6">
        <v>0</v>
      </c>
    </row>
    <row r="846" spans="1:16" ht="23.4" x14ac:dyDescent="0.45">
      <c r="A846" s="4" t="s">
        <v>846</v>
      </c>
      <c r="B846" s="5" t="s">
        <v>18</v>
      </c>
      <c r="C846" s="5">
        <v>48429.16</v>
      </c>
      <c r="D846" s="5">
        <v>55</v>
      </c>
      <c r="E846" s="5">
        <v>1</v>
      </c>
      <c r="F846" s="5">
        <v>0.50319999999999998</v>
      </c>
      <c r="G846" s="5">
        <v>0.28820000000000001</v>
      </c>
      <c r="H846" s="5">
        <v>2</v>
      </c>
      <c r="I846" s="5">
        <v>37501.43</v>
      </c>
      <c r="J846" s="5">
        <v>33256.06</v>
      </c>
      <c r="K846" s="5">
        <v>79</v>
      </c>
      <c r="L846" s="5">
        <v>2</v>
      </c>
      <c r="M846" s="5">
        <v>1</v>
      </c>
      <c r="N846" s="5">
        <v>0</v>
      </c>
      <c r="O846" s="5">
        <v>654.05999999999995</v>
      </c>
      <c r="P846" s="6">
        <v>0</v>
      </c>
    </row>
    <row r="847" spans="1:16" ht="23.4" x14ac:dyDescent="0.45">
      <c r="A847" s="4" t="s">
        <v>847</v>
      </c>
      <c r="B847" s="5" t="s">
        <v>6</v>
      </c>
      <c r="C847" s="5">
        <v>102740.75</v>
      </c>
      <c r="D847" s="5">
        <v>63</v>
      </c>
      <c r="E847" s="5">
        <v>0</v>
      </c>
      <c r="F847" s="5">
        <v>0.93369999999999997</v>
      </c>
      <c r="G847" s="5">
        <v>0.65280000000000005</v>
      </c>
      <c r="H847" s="5">
        <v>3</v>
      </c>
      <c r="I847" s="5">
        <v>42246.43</v>
      </c>
      <c r="J847" s="5">
        <v>18292.95</v>
      </c>
      <c r="K847" s="5">
        <v>131</v>
      </c>
      <c r="L847" s="5">
        <v>2</v>
      </c>
      <c r="M847" s="5">
        <v>2</v>
      </c>
      <c r="N847" s="5">
        <v>0</v>
      </c>
      <c r="O847" s="5">
        <v>720.88</v>
      </c>
      <c r="P847" s="6">
        <v>0</v>
      </c>
    </row>
    <row r="848" spans="1:16" ht="23.4" x14ac:dyDescent="0.45">
      <c r="A848" s="4" t="s">
        <v>848</v>
      </c>
      <c r="B848" s="5" t="s">
        <v>9</v>
      </c>
      <c r="C848" s="5">
        <v>109097.38</v>
      </c>
      <c r="D848" s="5">
        <v>47</v>
      </c>
      <c r="E848" s="5">
        <v>0</v>
      </c>
      <c r="F848" s="5">
        <v>1</v>
      </c>
      <c r="G848" s="5">
        <v>0.79879999999999995</v>
      </c>
      <c r="H848" s="5">
        <v>6</v>
      </c>
      <c r="I848" s="5">
        <v>86188.78</v>
      </c>
      <c r="J848" s="5">
        <v>75926.53</v>
      </c>
      <c r="K848" s="5">
        <v>106</v>
      </c>
      <c r="L848" s="5">
        <v>3</v>
      </c>
      <c r="M848" s="5">
        <v>1</v>
      </c>
      <c r="N848" s="5">
        <v>0</v>
      </c>
      <c r="O848" s="5">
        <v>771.24</v>
      </c>
      <c r="P848" s="6">
        <v>0</v>
      </c>
    </row>
    <row r="849" spans="1:16" ht="23.4" x14ac:dyDescent="0.45">
      <c r="A849" s="4" t="s">
        <v>849</v>
      </c>
      <c r="B849" s="5" t="s">
        <v>6</v>
      </c>
      <c r="C849" s="5">
        <v>107461.15</v>
      </c>
      <c r="D849" s="5">
        <v>61</v>
      </c>
      <c r="E849" s="5">
        <v>1</v>
      </c>
      <c r="F849" s="5">
        <v>0.77170000000000005</v>
      </c>
      <c r="G849" s="5">
        <v>0.2049</v>
      </c>
      <c r="H849" s="5">
        <v>0</v>
      </c>
      <c r="I849" s="5">
        <v>32512.15</v>
      </c>
      <c r="J849" s="5">
        <v>25763</v>
      </c>
      <c r="K849" s="5">
        <v>166</v>
      </c>
      <c r="L849" s="5">
        <v>1</v>
      </c>
      <c r="M849" s="5">
        <v>3</v>
      </c>
      <c r="N849" s="5">
        <v>1</v>
      </c>
      <c r="O849" s="5">
        <v>761.51</v>
      </c>
      <c r="P849" s="6">
        <v>0</v>
      </c>
    </row>
    <row r="850" spans="1:16" ht="23.4" x14ac:dyDescent="0.45">
      <c r="A850" s="4" t="s">
        <v>850</v>
      </c>
      <c r="B850" s="5" t="s">
        <v>1</v>
      </c>
      <c r="C850" s="5">
        <v>2000</v>
      </c>
      <c r="D850" s="5">
        <v>22</v>
      </c>
      <c r="E850" s="5">
        <v>1</v>
      </c>
      <c r="F850" s="5">
        <v>0.57879999999999998</v>
      </c>
      <c r="G850" s="5">
        <v>0.43519999999999998</v>
      </c>
      <c r="H850" s="5">
        <v>2</v>
      </c>
      <c r="I850" s="5">
        <v>500</v>
      </c>
      <c r="J850" s="5">
        <v>0</v>
      </c>
      <c r="K850" s="5">
        <v>147</v>
      </c>
      <c r="L850" s="5">
        <v>1</v>
      </c>
      <c r="M850" s="5">
        <v>1</v>
      </c>
      <c r="N850" s="5">
        <v>0</v>
      </c>
      <c r="O850" s="5">
        <v>514.76</v>
      </c>
      <c r="P850" s="6">
        <v>0</v>
      </c>
    </row>
    <row r="851" spans="1:16" ht="23.4" x14ac:dyDescent="0.45">
      <c r="A851" s="4" t="s">
        <v>851</v>
      </c>
      <c r="B851" s="5" t="s">
        <v>1</v>
      </c>
      <c r="C851" s="5">
        <v>61122.33</v>
      </c>
      <c r="D851" s="5">
        <v>46</v>
      </c>
      <c r="E851" s="5">
        <v>0</v>
      </c>
      <c r="F851" s="5">
        <v>0.79179999999999995</v>
      </c>
      <c r="G851" s="5">
        <v>0.26079999999999998</v>
      </c>
      <c r="H851" s="5">
        <v>3</v>
      </c>
      <c r="I851" s="5">
        <v>500</v>
      </c>
      <c r="J851" s="5">
        <v>0</v>
      </c>
      <c r="K851" s="5">
        <v>69</v>
      </c>
      <c r="L851" s="5">
        <v>3</v>
      </c>
      <c r="M851" s="5">
        <v>1</v>
      </c>
      <c r="N851" s="5">
        <v>0</v>
      </c>
      <c r="O851" s="5">
        <v>760.61</v>
      </c>
      <c r="P851" s="6">
        <v>0</v>
      </c>
    </row>
    <row r="852" spans="1:16" ht="23.4" x14ac:dyDescent="0.45">
      <c r="A852" s="4" t="s">
        <v>852</v>
      </c>
      <c r="B852" s="5" t="s">
        <v>18</v>
      </c>
      <c r="C852" s="5">
        <v>126247.36</v>
      </c>
      <c r="D852" s="5">
        <v>52</v>
      </c>
      <c r="E852" s="5">
        <v>0</v>
      </c>
      <c r="F852" s="5">
        <v>0.82099999999999995</v>
      </c>
      <c r="G852" s="5">
        <v>0.5968</v>
      </c>
      <c r="H852" s="5">
        <v>4</v>
      </c>
      <c r="I852" s="5">
        <v>96296.6</v>
      </c>
      <c r="J852" s="5">
        <v>71857.509999999995</v>
      </c>
      <c r="K852" s="5">
        <v>69</v>
      </c>
      <c r="L852" s="5">
        <v>1</v>
      </c>
      <c r="M852" s="5">
        <v>2</v>
      </c>
      <c r="N852" s="5">
        <v>2</v>
      </c>
      <c r="O852" s="5">
        <v>657.07</v>
      </c>
      <c r="P852" s="6">
        <v>0</v>
      </c>
    </row>
    <row r="853" spans="1:16" ht="23.4" x14ac:dyDescent="0.45">
      <c r="A853" s="4" t="s">
        <v>853</v>
      </c>
      <c r="B853" s="5" t="s">
        <v>6</v>
      </c>
      <c r="C853" s="5">
        <v>121618.67</v>
      </c>
      <c r="D853" s="5">
        <v>38</v>
      </c>
      <c r="E853" s="5">
        <v>0</v>
      </c>
      <c r="F853" s="5">
        <v>0.75160000000000005</v>
      </c>
      <c r="G853" s="5">
        <v>0.32390000000000002</v>
      </c>
      <c r="H853" s="5">
        <v>0</v>
      </c>
      <c r="I853" s="5">
        <v>38733.699999999997</v>
      </c>
      <c r="J853" s="5">
        <v>26963.15</v>
      </c>
      <c r="K853" s="5">
        <v>144</v>
      </c>
      <c r="L853" s="5">
        <v>2</v>
      </c>
      <c r="M853" s="5">
        <v>1</v>
      </c>
      <c r="N853" s="5">
        <v>1</v>
      </c>
      <c r="O853" s="5">
        <v>702.25</v>
      </c>
      <c r="P853" s="6">
        <v>0</v>
      </c>
    </row>
    <row r="854" spans="1:16" ht="23.4" x14ac:dyDescent="0.45">
      <c r="A854" s="4" t="s">
        <v>854</v>
      </c>
      <c r="B854" s="5" t="s">
        <v>9</v>
      </c>
      <c r="C854" s="5">
        <v>111055.53</v>
      </c>
      <c r="D854" s="5">
        <v>40</v>
      </c>
      <c r="E854" s="5">
        <v>0</v>
      </c>
      <c r="F854" s="5">
        <v>0.95630000000000004</v>
      </c>
      <c r="G854" s="5">
        <v>0.45700000000000002</v>
      </c>
      <c r="H854" s="5">
        <v>1</v>
      </c>
      <c r="I854" s="5">
        <v>50233.65</v>
      </c>
      <c r="J854" s="5">
        <v>32528.7</v>
      </c>
      <c r="K854" s="5">
        <v>123</v>
      </c>
      <c r="L854" s="5">
        <v>1</v>
      </c>
      <c r="M854" s="5">
        <v>1</v>
      </c>
      <c r="N854" s="5">
        <v>1</v>
      </c>
      <c r="O854" s="5">
        <v>679.21</v>
      </c>
      <c r="P854" s="6">
        <v>0</v>
      </c>
    </row>
    <row r="855" spans="1:16" ht="23.4" x14ac:dyDescent="0.45">
      <c r="A855" s="4" t="s">
        <v>855</v>
      </c>
      <c r="B855" s="5" t="s">
        <v>18</v>
      </c>
      <c r="C855" s="5">
        <v>96673.55</v>
      </c>
      <c r="D855" s="5">
        <v>47</v>
      </c>
      <c r="E855" s="5">
        <v>1</v>
      </c>
      <c r="F855" s="5">
        <v>0.48680000000000001</v>
      </c>
      <c r="G855" s="5">
        <v>0.29260000000000003</v>
      </c>
      <c r="H855" s="5">
        <v>4</v>
      </c>
      <c r="I855" s="5">
        <v>18133.580000000002</v>
      </c>
      <c r="J855" s="5">
        <v>10835.02</v>
      </c>
      <c r="K855" s="5">
        <v>133</v>
      </c>
      <c r="L855" s="5">
        <v>2</v>
      </c>
      <c r="M855" s="5">
        <v>3</v>
      </c>
      <c r="N855" s="5">
        <v>1</v>
      </c>
      <c r="O855" s="5">
        <v>696.19</v>
      </c>
      <c r="P855" s="6">
        <v>0</v>
      </c>
    </row>
    <row r="856" spans="1:16" ht="23.4" x14ac:dyDescent="0.45">
      <c r="A856" s="4" t="s">
        <v>856</v>
      </c>
      <c r="B856" s="5" t="s">
        <v>6</v>
      </c>
      <c r="C856" s="5">
        <v>33536.379999999997</v>
      </c>
      <c r="D856" s="5">
        <v>22</v>
      </c>
      <c r="E856" s="5">
        <v>0</v>
      </c>
      <c r="F856" s="5">
        <v>0.77759999999999996</v>
      </c>
      <c r="G856" s="5">
        <v>0.25480000000000003</v>
      </c>
      <c r="H856" s="5">
        <v>3</v>
      </c>
      <c r="I856" s="5">
        <v>500</v>
      </c>
      <c r="J856" s="5">
        <v>7868.82</v>
      </c>
      <c r="K856" s="5">
        <v>170</v>
      </c>
      <c r="L856" s="5">
        <v>1</v>
      </c>
      <c r="M856" s="5">
        <v>1</v>
      </c>
      <c r="N856" s="5">
        <v>1</v>
      </c>
      <c r="O856" s="5">
        <v>789.52</v>
      </c>
      <c r="P856" s="6">
        <v>0</v>
      </c>
    </row>
    <row r="857" spans="1:16" ht="23.4" x14ac:dyDescent="0.45">
      <c r="A857" s="4" t="s">
        <v>857</v>
      </c>
      <c r="B857" s="5" t="s">
        <v>6</v>
      </c>
      <c r="C857" s="5">
        <v>118961.2</v>
      </c>
      <c r="D857" s="5">
        <v>52</v>
      </c>
      <c r="E857" s="5">
        <v>0</v>
      </c>
      <c r="F857" s="5">
        <v>0.63029999999999997</v>
      </c>
      <c r="G857" s="5">
        <v>0.34200000000000003</v>
      </c>
      <c r="H857" s="5">
        <v>0</v>
      </c>
      <c r="I857" s="5">
        <v>57045.86</v>
      </c>
      <c r="J857" s="5">
        <v>22059.14</v>
      </c>
      <c r="K857" s="5">
        <v>65</v>
      </c>
      <c r="L857" s="5">
        <v>1</v>
      </c>
      <c r="M857" s="5">
        <v>1</v>
      </c>
      <c r="N857" s="5">
        <v>0</v>
      </c>
      <c r="O857" s="5">
        <v>681.45</v>
      </c>
      <c r="P857" s="6">
        <v>0</v>
      </c>
    </row>
    <row r="858" spans="1:16" ht="23.4" x14ac:dyDescent="0.45">
      <c r="A858" s="4" t="s">
        <v>858</v>
      </c>
      <c r="B858" s="5" t="s">
        <v>9</v>
      </c>
      <c r="C858" s="5">
        <v>96202.6</v>
      </c>
      <c r="D858" s="5">
        <v>65</v>
      </c>
      <c r="E858" s="5">
        <v>0</v>
      </c>
      <c r="F858" s="5">
        <v>0.65290000000000004</v>
      </c>
      <c r="G858" s="5">
        <v>0.1658</v>
      </c>
      <c r="H858" s="5">
        <v>1</v>
      </c>
      <c r="I858" s="5">
        <v>38907.79</v>
      </c>
      <c r="J858" s="5">
        <v>26153.54</v>
      </c>
      <c r="K858" s="5">
        <v>149</v>
      </c>
      <c r="L858" s="5">
        <v>3</v>
      </c>
      <c r="M858" s="5">
        <v>2</v>
      </c>
      <c r="N858" s="5">
        <v>0</v>
      </c>
      <c r="O858" s="5">
        <v>684.55</v>
      </c>
      <c r="P858" s="6">
        <v>0</v>
      </c>
    </row>
    <row r="859" spans="1:16" ht="23.4" x14ac:dyDescent="0.45">
      <c r="A859" s="4" t="s">
        <v>859</v>
      </c>
      <c r="B859" s="5" t="s">
        <v>4</v>
      </c>
      <c r="C859" s="5">
        <v>57622.96</v>
      </c>
      <c r="D859" s="5">
        <v>53</v>
      </c>
      <c r="E859" s="5">
        <v>1</v>
      </c>
      <c r="F859" s="5">
        <v>0.3911</v>
      </c>
      <c r="G859" s="5">
        <v>0.26150000000000001</v>
      </c>
      <c r="H859" s="5">
        <v>1</v>
      </c>
      <c r="I859" s="5">
        <v>500</v>
      </c>
      <c r="J859" s="5">
        <v>0</v>
      </c>
      <c r="K859" s="5">
        <v>38</v>
      </c>
      <c r="L859" s="5">
        <v>3</v>
      </c>
      <c r="M859" s="5">
        <v>1</v>
      </c>
      <c r="N859" s="5">
        <v>1</v>
      </c>
      <c r="O859" s="5">
        <v>686.86</v>
      </c>
      <c r="P859" s="6">
        <v>0</v>
      </c>
    </row>
    <row r="860" spans="1:16" ht="23.4" x14ac:dyDescent="0.45">
      <c r="A860" s="4" t="s">
        <v>860</v>
      </c>
      <c r="B860" s="5" t="s">
        <v>4</v>
      </c>
      <c r="C860" s="5">
        <v>2000</v>
      </c>
      <c r="D860" s="5">
        <v>23</v>
      </c>
      <c r="E860" s="5">
        <v>1</v>
      </c>
      <c r="F860" s="5">
        <v>0.90429999999999999</v>
      </c>
      <c r="G860" s="5">
        <v>0.61990000000000001</v>
      </c>
      <c r="H860" s="5">
        <v>2</v>
      </c>
      <c r="I860" s="5">
        <v>500</v>
      </c>
      <c r="J860" s="5">
        <v>0</v>
      </c>
      <c r="K860" s="5">
        <v>41</v>
      </c>
      <c r="L860" s="5">
        <v>2</v>
      </c>
      <c r="M860" s="5">
        <v>2</v>
      </c>
      <c r="N860" s="5">
        <v>0</v>
      </c>
      <c r="O860" s="5">
        <v>690.35</v>
      </c>
      <c r="P860" s="6">
        <v>0</v>
      </c>
    </row>
    <row r="861" spans="1:16" ht="23.4" x14ac:dyDescent="0.45">
      <c r="A861" s="4" t="s">
        <v>861</v>
      </c>
      <c r="B861" s="5" t="s">
        <v>4</v>
      </c>
      <c r="C861" s="5">
        <v>136060.51</v>
      </c>
      <c r="D861" s="5">
        <v>64</v>
      </c>
      <c r="E861" s="5">
        <v>0</v>
      </c>
      <c r="F861" s="5">
        <v>0.67669999999999997</v>
      </c>
      <c r="G861" s="5">
        <v>0.61860000000000004</v>
      </c>
      <c r="H861" s="5">
        <v>6</v>
      </c>
      <c r="I861" s="5">
        <v>71811.259999999995</v>
      </c>
      <c r="J861" s="5">
        <v>51499.27</v>
      </c>
      <c r="K861" s="5">
        <v>58</v>
      </c>
      <c r="L861" s="5">
        <v>3</v>
      </c>
      <c r="M861" s="5">
        <v>3</v>
      </c>
      <c r="N861" s="5">
        <v>0</v>
      </c>
      <c r="O861" s="5">
        <v>724.62</v>
      </c>
      <c r="P861" s="6">
        <v>0</v>
      </c>
    </row>
    <row r="862" spans="1:16" ht="23.4" x14ac:dyDescent="0.45">
      <c r="A862" s="4" t="s">
        <v>862</v>
      </c>
      <c r="B862" s="5" t="s">
        <v>4</v>
      </c>
      <c r="C862" s="5">
        <v>59524.98</v>
      </c>
      <c r="D862" s="5">
        <v>42</v>
      </c>
      <c r="E862" s="5">
        <v>0</v>
      </c>
      <c r="F862" s="5">
        <v>0.72399999999999998</v>
      </c>
      <c r="G862" s="5">
        <v>0.75780000000000003</v>
      </c>
      <c r="H862" s="5">
        <v>3</v>
      </c>
      <c r="I862" s="5">
        <v>49962.22</v>
      </c>
      <c r="J862" s="5">
        <v>31001.77</v>
      </c>
      <c r="K862" s="5">
        <v>140</v>
      </c>
      <c r="L862" s="5">
        <v>2</v>
      </c>
      <c r="M862" s="5">
        <v>1</v>
      </c>
      <c r="N862" s="5">
        <v>0</v>
      </c>
      <c r="O862" s="5">
        <v>705.36</v>
      </c>
      <c r="P862" s="6">
        <v>0</v>
      </c>
    </row>
    <row r="863" spans="1:16" ht="23.4" x14ac:dyDescent="0.45">
      <c r="A863" s="4" t="s">
        <v>863</v>
      </c>
      <c r="B863" s="5" t="s">
        <v>18</v>
      </c>
      <c r="C863" s="5">
        <v>135809.57</v>
      </c>
      <c r="D863" s="5">
        <v>21</v>
      </c>
      <c r="E863" s="5">
        <v>1</v>
      </c>
      <c r="F863" s="5">
        <v>0.65110000000000001</v>
      </c>
      <c r="G863" s="5">
        <v>0.54920000000000002</v>
      </c>
      <c r="H863" s="5">
        <v>2</v>
      </c>
      <c r="I863" s="5">
        <v>57088.83</v>
      </c>
      <c r="J863" s="5">
        <v>36320.01</v>
      </c>
      <c r="K863" s="5">
        <v>125</v>
      </c>
      <c r="L863" s="5">
        <v>2</v>
      </c>
      <c r="M863" s="5">
        <v>1</v>
      </c>
      <c r="N863" s="5">
        <v>1</v>
      </c>
      <c r="O863" s="5">
        <v>702.81</v>
      </c>
      <c r="P863" s="6">
        <v>0</v>
      </c>
    </row>
    <row r="864" spans="1:16" ht="23.4" x14ac:dyDescent="0.45">
      <c r="A864" s="4" t="s">
        <v>864</v>
      </c>
      <c r="B864" s="5" t="s">
        <v>15</v>
      </c>
      <c r="C864" s="5">
        <v>85734.56</v>
      </c>
      <c r="D864" s="5">
        <v>33</v>
      </c>
      <c r="E864" s="5">
        <v>1</v>
      </c>
      <c r="F864" s="5">
        <v>0.72789999999999999</v>
      </c>
      <c r="G864" s="5">
        <v>0.32869999999999999</v>
      </c>
      <c r="H864" s="5">
        <v>6</v>
      </c>
      <c r="I864" s="5">
        <v>41614.03</v>
      </c>
      <c r="J864" s="5">
        <v>20946.98</v>
      </c>
      <c r="K864" s="5">
        <v>84</v>
      </c>
      <c r="L864" s="5">
        <v>2</v>
      </c>
      <c r="M864" s="5">
        <v>2</v>
      </c>
      <c r="N864" s="5">
        <v>2</v>
      </c>
      <c r="O864" s="5">
        <v>631.36</v>
      </c>
      <c r="P864" s="6">
        <v>0</v>
      </c>
    </row>
    <row r="865" spans="1:16" ht="23.4" x14ac:dyDescent="0.45">
      <c r="A865" s="4" t="s">
        <v>865</v>
      </c>
      <c r="B865" s="5" t="s">
        <v>9</v>
      </c>
      <c r="C865" s="5">
        <v>65850.59</v>
      </c>
      <c r="D865" s="5">
        <v>58</v>
      </c>
      <c r="E865" s="5">
        <v>0</v>
      </c>
      <c r="F865" s="5">
        <v>0.88639999999999997</v>
      </c>
      <c r="G865" s="5">
        <v>0.73119999999999996</v>
      </c>
      <c r="H865" s="5">
        <v>4</v>
      </c>
      <c r="I865" s="5">
        <v>59658.41</v>
      </c>
      <c r="J865" s="5">
        <v>56448.07</v>
      </c>
      <c r="K865" s="5">
        <v>156</v>
      </c>
      <c r="L865" s="5">
        <v>2</v>
      </c>
      <c r="M865" s="5">
        <v>1</v>
      </c>
      <c r="N865" s="5">
        <v>1</v>
      </c>
      <c r="O865" s="5">
        <v>762.1</v>
      </c>
      <c r="P865" s="6">
        <v>0</v>
      </c>
    </row>
    <row r="866" spans="1:16" ht="23.4" x14ac:dyDescent="0.45">
      <c r="A866" s="4" t="s">
        <v>866</v>
      </c>
      <c r="B866" s="5" t="s">
        <v>15</v>
      </c>
      <c r="C866" s="5">
        <v>2000</v>
      </c>
      <c r="D866" s="5">
        <v>68</v>
      </c>
      <c r="E866" s="5">
        <v>0</v>
      </c>
      <c r="F866" s="5">
        <v>0.38090000000000002</v>
      </c>
      <c r="G866" s="5">
        <v>0.65659999999999996</v>
      </c>
      <c r="H866" s="5">
        <v>2</v>
      </c>
      <c r="I866" s="5">
        <v>500</v>
      </c>
      <c r="J866" s="5">
        <v>1083.3900000000001</v>
      </c>
      <c r="K866" s="5">
        <v>65</v>
      </c>
      <c r="L866" s="5">
        <v>4</v>
      </c>
      <c r="M866" s="5">
        <v>1</v>
      </c>
      <c r="N866" s="5">
        <v>2</v>
      </c>
      <c r="O866" s="5">
        <v>664.98</v>
      </c>
      <c r="P866" s="6">
        <v>0</v>
      </c>
    </row>
    <row r="867" spans="1:16" ht="23.4" x14ac:dyDescent="0.45">
      <c r="A867" s="4" t="s">
        <v>867</v>
      </c>
      <c r="B867" s="5" t="s">
        <v>15</v>
      </c>
      <c r="C867" s="5">
        <v>111494.68</v>
      </c>
      <c r="D867" s="5">
        <v>41</v>
      </c>
      <c r="E867" s="5">
        <v>1</v>
      </c>
      <c r="F867" s="5">
        <v>1</v>
      </c>
      <c r="G867" s="5">
        <v>0.71060000000000001</v>
      </c>
      <c r="H867" s="5">
        <v>6</v>
      </c>
      <c r="I867" s="5">
        <v>99868.7</v>
      </c>
      <c r="J867" s="5">
        <v>71832.22</v>
      </c>
      <c r="K867" s="5">
        <v>83</v>
      </c>
      <c r="L867" s="5">
        <v>2</v>
      </c>
      <c r="M867" s="5">
        <v>1</v>
      </c>
      <c r="N867" s="5">
        <v>1</v>
      </c>
      <c r="O867" s="5">
        <v>743.77</v>
      </c>
      <c r="P867" s="6">
        <v>0</v>
      </c>
    </row>
    <row r="868" spans="1:16" ht="23.4" x14ac:dyDescent="0.45">
      <c r="A868" s="4" t="s">
        <v>868</v>
      </c>
      <c r="B868" s="5" t="s">
        <v>18</v>
      </c>
      <c r="C868" s="5">
        <v>51598.2</v>
      </c>
      <c r="D868" s="5">
        <v>40</v>
      </c>
      <c r="E868" s="5">
        <v>0</v>
      </c>
      <c r="F868" s="5">
        <v>0.84950000000000003</v>
      </c>
      <c r="G868" s="5">
        <v>0.51539999999999997</v>
      </c>
      <c r="H868" s="5">
        <v>2</v>
      </c>
      <c r="I868" s="5">
        <v>44629.27</v>
      </c>
      <c r="J868" s="5">
        <v>38163.32</v>
      </c>
      <c r="K868" s="5">
        <v>60</v>
      </c>
      <c r="L868" s="5">
        <v>4</v>
      </c>
      <c r="M868" s="5">
        <v>3</v>
      </c>
      <c r="N868" s="5">
        <v>2</v>
      </c>
      <c r="O868" s="5">
        <v>683.09</v>
      </c>
      <c r="P868" s="6">
        <v>0</v>
      </c>
    </row>
    <row r="869" spans="1:16" ht="23.4" x14ac:dyDescent="0.45">
      <c r="A869" s="4" t="s">
        <v>629</v>
      </c>
      <c r="B869" s="5" t="s">
        <v>6</v>
      </c>
      <c r="C869" s="5">
        <v>6395.05</v>
      </c>
      <c r="D869" s="5">
        <v>52</v>
      </c>
      <c r="E869" s="5">
        <v>1</v>
      </c>
      <c r="F869" s="5">
        <v>0.64859999999999995</v>
      </c>
      <c r="G869" s="5">
        <v>0.2213</v>
      </c>
      <c r="H869" s="5">
        <v>5</v>
      </c>
      <c r="I869" s="5">
        <v>23474.49</v>
      </c>
      <c r="J869" s="5">
        <v>12589.57</v>
      </c>
      <c r="K869" s="5">
        <v>99</v>
      </c>
      <c r="L869" s="5">
        <v>3</v>
      </c>
      <c r="M869" s="5">
        <v>2</v>
      </c>
      <c r="N869" s="5">
        <v>0</v>
      </c>
      <c r="O869" s="5">
        <v>679.45</v>
      </c>
      <c r="P869" s="6">
        <v>0</v>
      </c>
    </row>
    <row r="870" spans="1:16" ht="23.4" x14ac:dyDescent="0.45">
      <c r="A870" s="4" t="s">
        <v>869</v>
      </c>
      <c r="B870" s="5" t="s">
        <v>9</v>
      </c>
      <c r="C870" s="5">
        <v>21750.12</v>
      </c>
      <c r="D870" s="5">
        <v>33</v>
      </c>
      <c r="E870" s="5">
        <v>1</v>
      </c>
      <c r="F870" s="5">
        <v>0.42580000000000001</v>
      </c>
      <c r="G870" s="5">
        <v>0.28389999999999999</v>
      </c>
      <c r="H870" s="5">
        <v>3</v>
      </c>
      <c r="I870" s="5">
        <v>6141.95</v>
      </c>
      <c r="J870" s="5">
        <v>2331.12</v>
      </c>
      <c r="K870" s="5">
        <v>119</v>
      </c>
      <c r="L870" s="5">
        <v>2</v>
      </c>
      <c r="M870" s="5">
        <v>1</v>
      </c>
      <c r="N870" s="5">
        <v>1</v>
      </c>
      <c r="O870" s="5">
        <v>615.92999999999995</v>
      </c>
      <c r="P870" s="6">
        <v>0</v>
      </c>
    </row>
    <row r="871" spans="1:16" ht="23.4" x14ac:dyDescent="0.45">
      <c r="A871" s="4" t="s">
        <v>870</v>
      </c>
      <c r="B871" s="5" t="s">
        <v>1</v>
      </c>
      <c r="C871" s="5">
        <v>177206.65</v>
      </c>
      <c r="D871" s="5">
        <v>53</v>
      </c>
      <c r="E871" s="5">
        <v>1</v>
      </c>
      <c r="F871" s="5">
        <v>0.94069999999999998</v>
      </c>
      <c r="G871" s="5">
        <v>0.2384</v>
      </c>
      <c r="H871" s="5">
        <v>3</v>
      </c>
      <c r="I871" s="5">
        <v>44760.54</v>
      </c>
      <c r="J871" s="5">
        <v>32371.16</v>
      </c>
      <c r="K871" s="5">
        <v>70</v>
      </c>
      <c r="L871" s="5">
        <v>1</v>
      </c>
      <c r="M871" s="5">
        <v>1</v>
      </c>
      <c r="N871" s="5">
        <v>1</v>
      </c>
      <c r="O871" s="5">
        <v>746.21</v>
      </c>
      <c r="P871" s="6">
        <v>0</v>
      </c>
    </row>
    <row r="872" spans="1:16" ht="23.4" x14ac:dyDescent="0.45">
      <c r="A872" s="4" t="s">
        <v>871</v>
      </c>
      <c r="B872" s="5" t="s">
        <v>15</v>
      </c>
      <c r="C872" s="5">
        <v>79870.240000000005</v>
      </c>
      <c r="D872" s="5">
        <v>59</v>
      </c>
      <c r="E872" s="5">
        <v>0</v>
      </c>
      <c r="F872" s="5">
        <v>0.47889999999999999</v>
      </c>
      <c r="G872" s="5">
        <v>0.20430000000000001</v>
      </c>
      <c r="H872" s="5">
        <v>0</v>
      </c>
      <c r="I872" s="5">
        <v>500</v>
      </c>
      <c r="J872" s="5">
        <v>3004.6</v>
      </c>
      <c r="K872" s="5">
        <v>145</v>
      </c>
      <c r="L872" s="5">
        <v>3</v>
      </c>
      <c r="M872" s="5">
        <v>1</v>
      </c>
      <c r="N872" s="5">
        <v>0</v>
      </c>
      <c r="O872" s="5">
        <v>718.36</v>
      </c>
      <c r="P872" s="6">
        <v>0</v>
      </c>
    </row>
    <row r="873" spans="1:16" ht="23.4" x14ac:dyDescent="0.45">
      <c r="A873" s="4" t="s">
        <v>872</v>
      </c>
      <c r="B873" s="5" t="s">
        <v>9</v>
      </c>
      <c r="C873" s="5">
        <v>74000.13</v>
      </c>
      <c r="D873" s="5">
        <v>29</v>
      </c>
      <c r="E873" s="5">
        <v>1</v>
      </c>
      <c r="F873" s="5">
        <v>1</v>
      </c>
      <c r="G873" s="5">
        <v>0.63560000000000005</v>
      </c>
      <c r="H873" s="5">
        <v>5</v>
      </c>
      <c r="I873" s="5">
        <v>58107.13</v>
      </c>
      <c r="J873" s="5">
        <v>44782.63</v>
      </c>
      <c r="K873" s="5">
        <v>145</v>
      </c>
      <c r="L873" s="5">
        <v>1</v>
      </c>
      <c r="M873" s="5">
        <v>2</v>
      </c>
      <c r="N873" s="5">
        <v>1</v>
      </c>
      <c r="O873" s="5">
        <v>668.63</v>
      </c>
      <c r="P873" s="6">
        <v>0</v>
      </c>
    </row>
    <row r="874" spans="1:16" ht="23.4" x14ac:dyDescent="0.45">
      <c r="A874" s="4" t="s">
        <v>873</v>
      </c>
      <c r="B874" s="5" t="s">
        <v>18</v>
      </c>
      <c r="C874" s="5">
        <v>56649.29</v>
      </c>
      <c r="D874" s="5">
        <v>41</v>
      </c>
      <c r="E874" s="5">
        <v>1</v>
      </c>
      <c r="F874" s="5">
        <v>0.95920000000000005</v>
      </c>
      <c r="G874" s="5">
        <v>0.52190000000000003</v>
      </c>
      <c r="H874" s="5">
        <v>2</v>
      </c>
      <c r="I874" s="5">
        <v>53480.05</v>
      </c>
      <c r="J874" s="5">
        <v>40809.03</v>
      </c>
      <c r="K874" s="5">
        <v>99</v>
      </c>
      <c r="L874" s="5">
        <v>2</v>
      </c>
      <c r="M874" s="5">
        <v>3</v>
      </c>
      <c r="N874" s="5">
        <v>0</v>
      </c>
      <c r="O874" s="5">
        <v>770.12</v>
      </c>
      <c r="P874" s="6">
        <v>0</v>
      </c>
    </row>
    <row r="875" spans="1:16" ht="23.4" x14ac:dyDescent="0.45">
      <c r="A875" s="4" t="s">
        <v>874</v>
      </c>
      <c r="B875" s="5" t="s">
        <v>6</v>
      </c>
      <c r="C875" s="5">
        <v>32941.919999999998</v>
      </c>
      <c r="D875" s="5">
        <v>69</v>
      </c>
      <c r="E875" s="5">
        <v>0</v>
      </c>
      <c r="F875" s="5">
        <v>0.37680000000000002</v>
      </c>
      <c r="G875" s="5">
        <v>0.39610000000000001</v>
      </c>
      <c r="H875" s="5">
        <v>4</v>
      </c>
      <c r="I875" s="5">
        <v>21224.05</v>
      </c>
      <c r="J875" s="5">
        <v>10838.58</v>
      </c>
      <c r="K875" s="5">
        <v>135</v>
      </c>
      <c r="L875" s="5">
        <v>2</v>
      </c>
      <c r="M875" s="5">
        <v>2</v>
      </c>
      <c r="N875" s="5">
        <v>2</v>
      </c>
      <c r="O875" s="5">
        <v>702.95</v>
      </c>
      <c r="P875" s="6">
        <v>0</v>
      </c>
    </row>
    <row r="876" spans="1:16" ht="23.4" x14ac:dyDescent="0.45">
      <c r="A876" s="4" t="s">
        <v>875</v>
      </c>
      <c r="B876" s="5" t="s">
        <v>4</v>
      </c>
      <c r="C876" s="5">
        <v>68364.539999999994</v>
      </c>
      <c r="D876" s="5">
        <v>28</v>
      </c>
      <c r="E876" s="5">
        <v>0</v>
      </c>
      <c r="F876" s="5">
        <v>0.93779999999999997</v>
      </c>
      <c r="G876" s="5">
        <v>0.22389999999999999</v>
      </c>
      <c r="H876" s="5">
        <v>4</v>
      </c>
      <c r="I876" s="5">
        <v>8889.1</v>
      </c>
      <c r="J876" s="5">
        <v>0</v>
      </c>
      <c r="K876" s="5">
        <v>124</v>
      </c>
      <c r="L876" s="5">
        <v>1</v>
      </c>
      <c r="M876" s="5">
        <v>3</v>
      </c>
      <c r="N876" s="5">
        <v>0</v>
      </c>
      <c r="O876" s="5">
        <v>789.52</v>
      </c>
      <c r="P876" s="6">
        <v>0</v>
      </c>
    </row>
    <row r="877" spans="1:16" ht="23.4" x14ac:dyDescent="0.45">
      <c r="A877" s="4" t="s">
        <v>876</v>
      </c>
      <c r="B877" s="5" t="s">
        <v>18</v>
      </c>
      <c r="C877" s="5">
        <v>110322.85</v>
      </c>
      <c r="D877" s="5">
        <v>22</v>
      </c>
      <c r="E877" s="5">
        <v>1</v>
      </c>
      <c r="F877" s="5">
        <v>0.73699999999999999</v>
      </c>
      <c r="G877" s="5">
        <v>0</v>
      </c>
      <c r="H877" s="5">
        <v>1</v>
      </c>
      <c r="I877" s="5">
        <v>14230.01</v>
      </c>
      <c r="J877" s="5">
        <v>21090.3</v>
      </c>
      <c r="K877" s="5">
        <v>69</v>
      </c>
      <c r="L877" s="5">
        <v>1</v>
      </c>
      <c r="M877" s="5">
        <v>2</v>
      </c>
      <c r="N877" s="5">
        <v>2</v>
      </c>
      <c r="O877" s="5">
        <v>785.51</v>
      </c>
      <c r="P877" s="6">
        <v>0</v>
      </c>
    </row>
    <row r="878" spans="1:16" ht="23.4" x14ac:dyDescent="0.45">
      <c r="A878" s="4" t="s">
        <v>877</v>
      </c>
      <c r="B878" s="5" t="s">
        <v>18</v>
      </c>
      <c r="C878" s="5">
        <v>88800.57</v>
      </c>
      <c r="D878" s="5">
        <v>40</v>
      </c>
      <c r="E878" s="5">
        <v>0</v>
      </c>
      <c r="F878" s="5">
        <v>0.37259999999999999</v>
      </c>
      <c r="G878" s="5">
        <v>0.76939999999999997</v>
      </c>
      <c r="H878" s="5">
        <v>5</v>
      </c>
      <c r="I878" s="5">
        <v>71927.820000000007</v>
      </c>
      <c r="J878" s="5">
        <v>43451.01</v>
      </c>
      <c r="K878" s="5">
        <v>86</v>
      </c>
      <c r="L878" s="5">
        <v>2</v>
      </c>
      <c r="M878" s="5">
        <v>2</v>
      </c>
      <c r="N878" s="5">
        <v>0</v>
      </c>
      <c r="O878" s="5">
        <v>685.57</v>
      </c>
      <c r="P878" s="6">
        <v>0</v>
      </c>
    </row>
    <row r="879" spans="1:16" ht="23.4" x14ac:dyDescent="0.45">
      <c r="A879" s="4" t="s">
        <v>878</v>
      </c>
      <c r="B879" s="5" t="s">
        <v>4</v>
      </c>
      <c r="C879" s="5">
        <v>208977.4</v>
      </c>
      <c r="D879" s="5">
        <v>49</v>
      </c>
      <c r="E879" s="5">
        <v>1</v>
      </c>
      <c r="F879" s="5">
        <v>0.67879999999999996</v>
      </c>
      <c r="G879" s="5">
        <v>0.68889999999999996</v>
      </c>
      <c r="H879" s="5">
        <v>2</v>
      </c>
      <c r="I879" s="5">
        <v>137362.01</v>
      </c>
      <c r="J879" s="5">
        <v>86746.94</v>
      </c>
      <c r="K879" s="5">
        <v>167</v>
      </c>
      <c r="L879" s="5">
        <v>2</v>
      </c>
      <c r="M879" s="5">
        <v>1</v>
      </c>
      <c r="N879" s="5">
        <v>2</v>
      </c>
      <c r="O879" s="5">
        <v>625.35</v>
      </c>
      <c r="P879" s="6">
        <v>0</v>
      </c>
    </row>
    <row r="880" spans="1:16" ht="23.4" x14ac:dyDescent="0.45">
      <c r="A880" s="4" t="s">
        <v>879</v>
      </c>
      <c r="B880" s="5" t="s">
        <v>6</v>
      </c>
      <c r="C880" s="5">
        <v>122589.62</v>
      </c>
      <c r="D880" s="5">
        <v>65</v>
      </c>
      <c r="E880" s="5">
        <v>0</v>
      </c>
      <c r="F880" s="5">
        <v>0.91520000000000001</v>
      </c>
      <c r="G880" s="5">
        <v>7.0400000000000004E-2</v>
      </c>
      <c r="H880" s="5">
        <v>2</v>
      </c>
      <c r="I880" s="5">
        <v>3498.71</v>
      </c>
      <c r="J880" s="5">
        <v>0</v>
      </c>
      <c r="K880" s="5">
        <v>93</v>
      </c>
      <c r="L880" s="5">
        <v>2</v>
      </c>
      <c r="M880" s="5">
        <v>2</v>
      </c>
      <c r="N880" s="5">
        <v>2</v>
      </c>
      <c r="O880" s="5">
        <v>761.38</v>
      </c>
      <c r="P880" s="6">
        <v>0</v>
      </c>
    </row>
    <row r="881" spans="1:16" ht="23.4" x14ac:dyDescent="0.45">
      <c r="A881" s="4" t="s">
        <v>880</v>
      </c>
      <c r="B881" s="5" t="s">
        <v>9</v>
      </c>
      <c r="C881" s="5">
        <v>71125.509999999995</v>
      </c>
      <c r="D881" s="5">
        <v>37</v>
      </c>
      <c r="E881" s="5">
        <v>1</v>
      </c>
      <c r="F881" s="5">
        <v>0.73080000000000001</v>
      </c>
      <c r="G881" s="5">
        <v>0.59050000000000002</v>
      </c>
      <c r="H881" s="5">
        <v>6</v>
      </c>
      <c r="I881" s="5">
        <v>33474.5</v>
      </c>
      <c r="J881" s="5">
        <v>17002.900000000001</v>
      </c>
      <c r="K881" s="5">
        <v>125</v>
      </c>
      <c r="L881" s="5">
        <v>2</v>
      </c>
      <c r="M881" s="5">
        <v>1</v>
      </c>
      <c r="N881" s="5">
        <v>0</v>
      </c>
      <c r="O881" s="5">
        <v>640.46</v>
      </c>
      <c r="P881" s="6">
        <v>0</v>
      </c>
    </row>
    <row r="882" spans="1:16" ht="23.4" x14ac:dyDescent="0.45">
      <c r="A882" s="4" t="s">
        <v>881</v>
      </c>
      <c r="B882" s="5" t="s">
        <v>6</v>
      </c>
      <c r="C882" s="5">
        <v>158377.48000000001</v>
      </c>
      <c r="D882" s="5">
        <v>61</v>
      </c>
      <c r="E882" s="5">
        <v>1</v>
      </c>
      <c r="F882" s="5">
        <v>0.76559999999999995</v>
      </c>
      <c r="G882" s="5">
        <v>6.0199999999999997E-2</v>
      </c>
      <c r="H882" s="5">
        <v>4</v>
      </c>
      <c r="I882" s="5">
        <v>18774.23</v>
      </c>
      <c r="J882" s="5">
        <v>20894.419999999998</v>
      </c>
      <c r="K882" s="5">
        <v>92</v>
      </c>
      <c r="L882" s="5">
        <v>2</v>
      </c>
      <c r="M882" s="5">
        <v>1</v>
      </c>
      <c r="N882" s="5">
        <v>2</v>
      </c>
      <c r="O882" s="5">
        <v>713.76</v>
      </c>
      <c r="P882" s="6">
        <v>0</v>
      </c>
    </row>
    <row r="883" spans="1:16" ht="23.4" x14ac:dyDescent="0.45">
      <c r="A883" s="4" t="s">
        <v>882</v>
      </c>
      <c r="B883" s="5" t="s">
        <v>6</v>
      </c>
      <c r="C883" s="5">
        <v>137347.42000000001</v>
      </c>
      <c r="D883" s="5">
        <v>22</v>
      </c>
      <c r="E883" s="5">
        <v>0</v>
      </c>
      <c r="F883" s="5">
        <v>0.44309999999999999</v>
      </c>
      <c r="G883" s="5">
        <v>0.52939999999999998</v>
      </c>
      <c r="H883" s="5">
        <v>1</v>
      </c>
      <c r="I883" s="5">
        <v>59904.5</v>
      </c>
      <c r="J883" s="5">
        <v>33498.5</v>
      </c>
      <c r="K883" s="5">
        <v>68</v>
      </c>
      <c r="L883" s="5">
        <v>1</v>
      </c>
      <c r="M883" s="5">
        <v>1</v>
      </c>
      <c r="N883" s="5">
        <v>0</v>
      </c>
      <c r="O883" s="5">
        <v>593.34</v>
      </c>
      <c r="P883" s="6">
        <v>0</v>
      </c>
    </row>
    <row r="884" spans="1:16" ht="23.4" x14ac:dyDescent="0.45">
      <c r="A884" s="4" t="s">
        <v>883</v>
      </c>
      <c r="B884" s="5" t="s">
        <v>15</v>
      </c>
      <c r="C884" s="5">
        <v>52915</v>
      </c>
      <c r="D884" s="5">
        <v>35</v>
      </c>
      <c r="E884" s="5">
        <v>0</v>
      </c>
      <c r="F884" s="5">
        <v>1</v>
      </c>
      <c r="G884" s="5">
        <v>0.44440000000000002</v>
      </c>
      <c r="H884" s="5">
        <v>0</v>
      </c>
      <c r="I884" s="5">
        <v>7851.43</v>
      </c>
      <c r="J884" s="5">
        <v>5915.49</v>
      </c>
      <c r="K884" s="5">
        <v>74</v>
      </c>
      <c r="L884" s="5">
        <v>4</v>
      </c>
      <c r="M884" s="5">
        <v>1</v>
      </c>
      <c r="N884" s="5">
        <v>0</v>
      </c>
      <c r="O884" s="5">
        <v>599.20000000000005</v>
      </c>
      <c r="P884" s="6">
        <v>0</v>
      </c>
    </row>
    <row r="885" spans="1:16" ht="23.4" x14ac:dyDescent="0.45">
      <c r="A885" s="4" t="s">
        <v>884</v>
      </c>
      <c r="B885" s="5" t="s">
        <v>15</v>
      </c>
      <c r="C885" s="5">
        <v>82206.33</v>
      </c>
      <c r="D885" s="5">
        <v>65</v>
      </c>
      <c r="E885" s="5">
        <v>1</v>
      </c>
      <c r="F885" s="5">
        <v>0.82450000000000001</v>
      </c>
      <c r="G885" s="5">
        <v>0.34160000000000001</v>
      </c>
      <c r="H885" s="5">
        <v>5</v>
      </c>
      <c r="I885" s="5">
        <v>23761.39</v>
      </c>
      <c r="J885" s="5">
        <v>22274.98</v>
      </c>
      <c r="K885" s="5">
        <v>19</v>
      </c>
      <c r="L885" s="5">
        <v>4</v>
      </c>
      <c r="M885" s="5">
        <v>1</v>
      </c>
      <c r="N885" s="5">
        <v>1</v>
      </c>
      <c r="O885" s="5">
        <v>760.97</v>
      </c>
      <c r="P885" s="6">
        <v>0</v>
      </c>
    </row>
    <row r="886" spans="1:16" ht="23.4" x14ac:dyDescent="0.45">
      <c r="A886" s="4" t="s">
        <v>885</v>
      </c>
      <c r="B886" s="5" t="s">
        <v>9</v>
      </c>
      <c r="C886" s="5">
        <v>63850.28</v>
      </c>
      <c r="D886" s="5">
        <v>21</v>
      </c>
      <c r="E886" s="5">
        <v>0</v>
      </c>
      <c r="F886" s="5">
        <v>0.73080000000000001</v>
      </c>
      <c r="G886" s="5">
        <v>0.30919999999999997</v>
      </c>
      <c r="H886" s="5">
        <v>1</v>
      </c>
      <c r="I886" s="5">
        <v>25789.27</v>
      </c>
      <c r="J886" s="5">
        <v>23907.41</v>
      </c>
      <c r="K886" s="5">
        <v>53</v>
      </c>
      <c r="L886" s="5">
        <v>1</v>
      </c>
      <c r="M886" s="5">
        <v>1</v>
      </c>
      <c r="N886" s="5">
        <v>0</v>
      </c>
      <c r="O886" s="5">
        <v>715.98</v>
      </c>
      <c r="P886" s="6">
        <v>0</v>
      </c>
    </row>
    <row r="887" spans="1:16" ht="23.4" x14ac:dyDescent="0.45">
      <c r="A887" s="4" t="s">
        <v>886</v>
      </c>
      <c r="B887" s="5" t="s">
        <v>4</v>
      </c>
      <c r="C887" s="5">
        <v>158335.13</v>
      </c>
      <c r="D887" s="5">
        <v>44</v>
      </c>
      <c r="E887" s="5">
        <v>1</v>
      </c>
      <c r="F887" s="5">
        <v>0.81779999999999997</v>
      </c>
      <c r="G887" s="5">
        <v>0.40460000000000002</v>
      </c>
      <c r="H887" s="5">
        <v>5</v>
      </c>
      <c r="I887" s="5">
        <v>75189.55</v>
      </c>
      <c r="J887" s="5">
        <v>50322.19</v>
      </c>
      <c r="K887" s="5">
        <v>126</v>
      </c>
      <c r="L887" s="5">
        <v>2</v>
      </c>
      <c r="M887" s="5">
        <v>2</v>
      </c>
      <c r="N887" s="5">
        <v>1</v>
      </c>
      <c r="O887" s="5">
        <v>741.38</v>
      </c>
      <c r="P887" s="6">
        <v>0</v>
      </c>
    </row>
    <row r="888" spans="1:16" ht="23.4" x14ac:dyDescent="0.45">
      <c r="A888" s="4" t="s">
        <v>887</v>
      </c>
      <c r="B888" s="5" t="s">
        <v>6</v>
      </c>
      <c r="C888" s="5">
        <v>109451.59</v>
      </c>
      <c r="D888" s="5">
        <v>69</v>
      </c>
      <c r="E888" s="5">
        <v>1</v>
      </c>
      <c r="F888" s="5">
        <v>0.75939999999999996</v>
      </c>
      <c r="G888" s="5">
        <v>0.63200000000000001</v>
      </c>
      <c r="H888" s="5">
        <v>3</v>
      </c>
      <c r="I888" s="5">
        <v>63475.45</v>
      </c>
      <c r="J888" s="5">
        <v>50448.58</v>
      </c>
      <c r="K888" s="5">
        <v>178</v>
      </c>
      <c r="L888" s="5">
        <v>2</v>
      </c>
      <c r="M888" s="5">
        <v>1</v>
      </c>
      <c r="N888" s="5">
        <v>0</v>
      </c>
      <c r="O888" s="5">
        <v>753.1</v>
      </c>
      <c r="P888" s="6">
        <v>0</v>
      </c>
    </row>
    <row r="889" spans="1:16" ht="23.4" x14ac:dyDescent="0.45">
      <c r="A889" s="4" t="s">
        <v>888</v>
      </c>
      <c r="B889" s="5" t="s">
        <v>1</v>
      </c>
      <c r="C889" s="5">
        <v>112669.42</v>
      </c>
      <c r="D889" s="5">
        <v>58</v>
      </c>
      <c r="E889" s="5">
        <v>0</v>
      </c>
      <c r="F889" s="5">
        <v>1</v>
      </c>
      <c r="G889" s="5">
        <v>0.48759999999999998</v>
      </c>
      <c r="H889" s="5">
        <v>4</v>
      </c>
      <c r="I889" s="5">
        <v>64816.06</v>
      </c>
      <c r="J889" s="5">
        <v>45732.57</v>
      </c>
      <c r="K889" s="5">
        <v>6</v>
      </c>
      <c r="L889" s="5">
        <v>2</v>
      </c>
      <c r="M889" s="5">
        <v>2</v>
      </c>
      <c r="N889" s="5">
        <v>2</v>
      </c>
      <c r="O889" s="5">
        <v>784.89</v>
      </c>
      <c r="P889" s="6">
        <v>0</v>
      </c>
    </row>
    <row r="890" spans="1:16" ht="23.4" x14ac:dyDescent="0.45">
      <c r="A890" s="4" t="s">
        <v>889</v>
      </c>
      <c r="B890" s="5" t="s">
        <v>18</v>
      </c>
      <c r="C890" s="5">
        <v>108778.99</v>
      </c>
      <c r="D890" s="5">
        <v>34</v>
      </c>
      <c r="E890" s="5">
        <v>1</v>
      </c>
      <c r="F890" s="5">
        <v>0.7984</v>
      </c>
      <c r="G890" s="5">
        <v>0.36459999999999998</v>
      </c>
      <c r="H890" s="5">
        <v>3</v>
      </c>
      <c r="I890" s="5">
        <v>32613.79</v>
      </c>
      <c r="J890" s="5">
        <v>26815.51</v>
      </c>
      <c r="K890" s="5">
        <v>44</v>
      </c>
      <c r="L890" s="5">
        <v>1</v>
      </c>
      <c r="M890" s="5">
        <v>1</v>
      </c>
      <c r="N890" s="5">
        <v>2</v>
      </c>
      <c r="O890" s="5">
        <v>850</v>
      </c>
      <c r="P890" s="6">
        <v>0</v>
      </c>
    </row>
    <row r="891" spans="1:16" ht="23.4" x14ac:dyDescent="0.45">
      <c r="A891" s="4" t="s">
        <v>890</v>
      </c>
      <c r="B891" s="5" t="s">
        <v>4</v>
      </c>
      <c r="C891" s="5">
        <v>114644.67</v>
      </c>
      <c r="D891" s="5">
        <v>31</v>
      </c>
      <c r="E891" s="5">
        <v>1</v>
      </c>
      <c r="F891" s="5">
        <v>0.50629999999999997</v>
      </c>
      <c r="G891" s="5">
        <v>0.58009999999999995</v>
      </c>
      <c r="H891" s="5">
        <v>6</v>
      </c>
      <c r="I891" s="5">
        <v>83352.77</v>
      </c>
      <c r="J891" s="5">
        <v>42830.879999999997</v>
      </c>
      <c r="K891" s="5">
        <v>173</v>
      </c>
      <c r="L891" s="5">
        <v>3</v>
      </c>
      <c r="M891" s="5">
        <v>2</v>
      </c>
      <c r="N891" s="5">
        <v>0</v>
      </c>
      <c r="O891" s="5">
        <v>744.51</v>
      </c>
      <c r="P891" s="6">
        <v>0</v>
      </c>
    </row>
    <row r="892" spans="1:16" ht="23.4" x14ac:dyDescent="0.45">
      <c r="A892" s="4" t="s">
        <v>891</v>
      </c>
      <c r="B892" s="5" t="s">
        <v>4</v>
      </c>
      <c r="C892" s="5">
        <v>50491.3</v>
      </c>
      <c r="D892" s="5">
        <v>50</v>
      </c>
      <c r="E892" s="5">
        <v>1</v>
      </c>
      <c r="F892" s="5">
        <v>0.61099999999999999</v>
      </c>
      <c r="G892" s="5">
        <v>0.76319999999999999</v>
      </c>
      <c r="H892" s="5">
        <v>5</v>
      </c>
      <c r="I892" s="5">
        <v>30978.69</v>
      </c>
      <c r="J892" s="5">
        <v>12611.62</v>
      </c>
      <c r="K892" s="5">
        <v>19</v>
      </c>
      <c r="L892" s="5">
        <v>1</v>
      </c>
      <c r="M892" s="5">
        <v>1</v>
      </c>
      <c r="N892" s="5">
        <v>1</v>
      </c>
      <c r="O892" s="5">
        <v>576.32000000000005</v>
      </c>
      <c r="P892" s="6">
        <v>0</v>
      </c>
    </row>
    <row r="893" spans="1:16" ht="23.4" x14ac:dyDescent="0.45">
      <c r="A893" s="4" t="s">
        <v>892</v>
      </c>
      <c r="B893" s="5" t="s">
        <v>6</v>
      </c>
      <c r="C893" s="5">
        <v>40880.550000000003</v>
      </c>
      <c r="D893" s="5">
        <v>44</v>
      </c>
      <c r="E893" s="5">
        <v>1</v>
      </c>
      <c r="F893" s="5">
        <v>0.7611</v>
      </c>
      <c r="G893" s="5">
        <v>1.2999999999999999E-2</v>
      </c>
      <c r="H893" s="5">
        <v>4</v>
      </c>
      <c r="I893" s="5">
        <v>500</v>
      </c>
      <c r="J893" s="5">
        <v>4187.91</v>
      </c>
      <c r="K893" s="5">
        <v>114</v>
      </c>
      <c r="L893" s="5">
        <v>2</v>
      </c>
      <c r="M893" s="5">
        <v>1</v>
      </c>
      <c r="N893" s="5">
        <v>1</v>
      </c>
      <c r="O893" s="5">
        <v>764.6</v>
      </c>
      <c r="P893" s="6">
        <v>0</v>
      </c>
    </row>
    <row r="894" spans="1:16" ht="23.4" x14ac:dyDescent="0.45">
      <c r="A894" s="4" t="s">
        <v>893</v>
      </c>
      <c r="B894" s="5" t="s">
        <v>15</v>
      </c>
      <c r="C894" s="5">
        <v>35368.400000000001</v>
      </c>
      <c r="D894" s="5">
        <v>58</v>
      </c>
      <c r="E894" s="5">
        <v>1</v>
      </c>
      <c r="F894" s="5">
        <v>1</v>
      </c>
      <c r="G894" s="5">
        <v>0.38519999999999999</v>
      </c>
      <c r="H894" s="5">
        <v>5</v>
      </c>
      <c r="I894" s="5">
        <v>500</v>
      </c>
      <c r="J894" s="5">
        <v>0</v>
      </c>
      <c r="K894" s="5">
        <v>117</v>
      </c>
      <c r="L894" s="5">
        <v>1</v>
      </c>
      <c r="M894" s="5">
        <v>1</v>
      </c>
      <c r="N894" s="5">
        <v>0</v>
      </c>
      <c r="O894" s="5">
        <v>681.92</v>
      </c>
      <c r="P894" s="6">
        <v>0</v>
      </c>
    </row>
    <row r="895" spans="1:16" ht="23.4" x14ac:dyDescent="0.45">
      <c r="A895" s="4" t="s">
        <v>894</v>
      </c>
      <c r="B895" s="5" t="s">
        <v>18</v>
      </c>
      <c r="C895" s="5">
        <v>92804.85</v>
      </c>
      <c r="D895" s="5">
        <v>64</v>
      </c>
      <c r="E895" s="5">
        <v>1</v>
      </c>
      <c r="F895" s="5">
        <v>0.55649999999999999</v>
      </c>
      <c r="G895" s="5">
        <v>0.5927</v>
      </c>
      <c r="H895" s="5">
        <v>2</v>
      </c>
      <c r="I895" s="5">
        <v>32201.58</v>
      </c>
      <c r="J895" s="5">
        <v>26288.39</v>
      </c>
      <c r="K895" s="5">
        <v>81</v>
      </c>
      <c r="L895" s="5">
        <v>2</v>
      </c>
      <c r="M895" s="5">
        <v>1</v>
      </c>
      <c r="N895" s="5">
        <v>0</v>
      </c>
      <c r="O895" s="5">
        <v>676.33</v>
      </c>
      <c r="P895" s="6">
        <v>0</v>
      </c>
    </row>
    <row r="896" spans="1:16" ht="23.4" x14ac:dyDescent="0.45">
      <c r="A896" s="4" t="s">
        <v>895</v>
      </c>
      <c r="B896" s="5" t="s">
        <v>9</v>
      </c>
      <c r="C896" s="5">
        <v>55123.74</v>
      </c>
      <c r="D896" s="5">
        <v>23</v>
      </c>
      <c r="E896" s="5">
        <v>0</v>
      </c>
      <c r="F896" s="5">
        <v>0.59350000000000003</v>
      </c>
      <c r="G896" s="5">
        <v>0.1537</v>
      </c>
      <c r="H896" s="5">
        <v>1</v>
      </c>
      <c r="I896" s="5">
        <v>16875.310000000001</v>
      </c>
      <c r="J896" s="5">
        <v>19584.09</v>
      </c>
      <c r="K896" s="5">
        <v>38</v>
      </c>
      <c r="L896" s="5">
        <v>2</v>
      </c>
      <c r="M896" s="5">
        <v>2</v>
      </c>
      <c r="N896" s="5">
        <v>0</v>
      </c>
      <c r="O896" s="5">
        <v>684.15</v>
      </c>
      <c r="P896" s="6">
        <v>0</v>
      </c>
    </row>
    <row r="897" spans="1:16" ht="23.4" x14ac:dyDescent="0.45">
      <c r="A897" s="4" t="s">
        <v>896</v>
      </c>
      <c r="B897" s="5" t="s">
        <v>9</v>
      </c>
      <c r="C897" s="5">
        <v>208803.89</v>
      </c>
      <c r="D897" s="5">
        <v>36</v>
      </c>
      <c r="E897" s="5">
        <v>0</v>
      </c>
      <c r="F897" s="5">
        <v>1</v>
      </c>
      <c r="G897" s="5">
        <v>0.13589999999999999</v>
      </c>
      <c r="H897" s="5">
        <v>5</v>
      </c>
      <c r="I897" s="5">
        <v>16891.8</v>
      </c>
      <c r="J897" s="5">
        <v>11422.56</v>
      </c>
      <c r="K897" s="5">
        <v>89</v>
      </c>
      <c r="L897" s="5">
        <v>2</v>
      </c>
      <c r="M897" s="5">
        <v>1</v>
      </c>
      <c r="N897" s="5">
        <v>3</v>
      </c>
      <c r="O897" s="5">
        <v>751.86</v>
      </c>
      <c r="P897" s="6">
        <v>0</v>
      </c>
    </row>
    <row r="898" spans="1:16" ht="23.4" x14ac:dyDescent="0.45">
      <c r="A898" s="4" t="s">
        <v>897</v>
      </c>
      <c r="B898" s="5" t="s">
        <v>15</v>
      </c>
      <c r="C898" s="5">
        <v>122562.58</v>
      </c>
      <c r="D898" s="5">
        <v>67</v>
      </c>
      <c r="E898" s="5">
        <v>0</v>
      </c>
      <c r="F898" s="5">
        <v>0.5675</v>
      </c>
      <c r="G898" s="5">
        <v>0.90390000000000004</v>
      </c>
      <c r="H898" s="5">
        <v>7</v>
      </c>
      <c r="I898" s="5">
        <v>110716.29</v>
      </c>
      <c r="J898" s="5">
        <v>61037.41</v>
      </c>
      <c r="K898" s="5">
        <v>11</v>
      </c>
      <c r="L898" s="5">
        <v>1</v>
      </c>
      <c r="M898" s="5">
        <v>2</v>
      </c>
      <c r="N898" s="5">
        <v>1</v>
      </c>
      <c r="O898" s="5">
        <v>644.66999999999996</v>
      </c>
      <c r="P898" s="6">
        <v>0</v>
      </c>
    </row>
    <row r="899" spans="1:16" ht="23.4" x14ac:dyDescent="0.45">
      <c r="A899" s="4" t="s">
        <v>898</v>
      </c>
      <c r="B899" s="5" t="s">
        <v>1</v>
      </c>
      <c r="C899" s="5">
        <v>71728.84</v>
      </c>
      <c r="D899" s="5">
        <v>28</v>
      </c>
      <c r="E899" s="5">
        <v>1</v>
      </c>
      <c r="F899" s="5">
        <v>0.77049999999999996</v>
      </c>
      <c r="G899" s="5">
        <v>8.6900000000000005E-2</v>
      </c>
      <c r="H899" s="5">
        <v>4</v>
      </c>
      <c r="I899" s="5">
        <v>5574.6</v>
      </c>
      <c r="J899" s="5">
        <v>0</v>
      </c>
      <c r="K899" s="5">
        <v>18</v>
      </c>
      <c r="L899" s="5">
        <v>2</v>
      </c>
      <c r="M899" s="5">
        <v>1</v>
      </c>
      <c r="N899" s="5">
        <v>1</v>
      </c>
      <c r="O899" s="5">
        <v>709.53</v>
      </c>
      <c r="P899" s="6">
        <v>0</v>
      </c>
    </row>
    <row r="900" spans="1:16" ht="23.4" x14ac:dyDescent="0.45">
      <c r="A900" s="4" t="s">
        <v>899</v>
      </c>
      <c r="B900" s="5" t="s">
        <v>15</v>
      </c>
      <c r="C900" s="5">
        <v>88463.85</v>
      </c>
      <c r="D900" s="5">
        <v>38</v>
      </c>
      <c r="E900" s="5">
        <v>1</v>
      </c>
      <c r="F900" s="5">
        <v>0.35289999999999999</v>
      </c>
      <c r="G900" s="5">
        <v>0.32350000000000001</v>
      </c>
      <c r="H900" s="5">
        <v>2</v>
      </c>
      <c r="I900" s="5">
        <v>20990.18</v>
      </c>
      <c r="J900" s="5">
        <v>14367.12</v>
      </c>
      <c r="K900" s="5">
        <v>78</v>
      </c>
      <c r="L900" s="5">
        <v>1</v>
      </c>
      <c r="M900" s="5">
        <v>1</v>
      </c>
      <c r="N900" s="5">
        <v>0</v>
      </c>
      <c r="O900" s="5">
        <v>639.30999999999995</v>
      </c>
      <c r="P900" s="6">
        <v>0</v>
      </c>
    </row>
    <row r="901" spans="1:16" ht="23.4" x14ac:dyDescent="0.45">
      <c r="A901" s="4" t="s">
        <v>900</v>
      </c>
      <c r="B901" s="5" t="s">
        <v>9</v>
      </c>
      <c r="C901" s="5">
        <v>102164.08</v>
      </c>
      <c r="D901" s="5">
        <v>59</v>
      </c>
      <c r="E901" s="5">
        <v>1</v>
      </c>
      <c r="F901" s="5">
        <v>0.77100000000000002</v>
      </c>
      <c r="G901" s="5">
        <v>5.6399999999999999E-2</v>
      </c>
      <c r="H901" s="5">
        <v>2</v>
      </c>
      <c r="I901" s="5">
        <v>11900.4</v>
      </c>
      <c r="J901" s="5">
        <v>6990.09</v>
      </c>
      <c r="K901" s="5">
        <v>162</v>
      </c>
      <c r="L901" s="5">
        <v>1</v>
      </c>
      <c r="M901" s="5">
        <v>2</v>
      </c>
      <c r="N901" s="5">
        <v>2</v>
      </c>
      <c r="O901" s="5">
        <v>697</v>
      </c>
      <c r="P901" s="6">
        <v>0</v>
      </c>
    </row>
    <row r="902" spans="1:16" ht="23.4" x14ac:dyDescent="0.45">
      <c r="A902" s="4" t="s">
        <v>901</v>
      </c>
      <c r="B902" s="5" t="s">
        <v>9</v>
      </c>
      <c r="C902" s="5">
        <v>63385.75</v>
      </c>
      <c r="D902" s="5">
        <v>45</v>
      </c>
      <c r="E902" s="5">
        <v>0</v>
      </c>
      <c r="F902" s="5">
        <v>0.56620000000000004</v>
      </c>
      <c r="G902" s="5">
        <v>8.4400000000000003E-2</v>
      </c>
      <c r="H902" s="5">
        <v>1</v>
      </c>
      <c r="I902" s="5">
        <v>500</v>
      </c>
      <c r="J902" s="5">
        <v>6170.69</v>
      </c>
      <c r="K902" s="5">
        <v>119</v>
      </c>
      <c r="L902" s="5">
        <v>1</v>
      </c>
      <c r="M902" s="5">
        <v>2</v>
      </c>
      <c r="N902" s="5">
        <v>1</v>
      </c>
      <c r="O902" s="5">
        <v>675.31</v>
      </c>
      <c r="P902" s="6">
        <v>0</v>
      </c>
    </row>
    <row r="903" spans="1:16" ht="23.4" x14ac:dyDescent="0.45">
      <c r="A903" s="4" t="s">
        <v>902</v>
      </c>
      <c r="B903" s="5" t="s">
        <v>15</v>
      </c>
      <c r="C903" s="5">
        <v>84472.960000000006</v>
      </c>
      <c r="D903" s="5">
        <v>46</v>
      </c>
      <c r="E903" s="5">
        <v>1</v>
      </c>
      <c r="F903" s="5">
        <v>1</v>
      </c>
      <c r="G903" s="5">
        <v>0.49840000000000001</v>
      </c>
      <c r="H903" s="5">
        <v>6</v>
      </c>
      <c r="I903" s="5">
        <v>37837.14</v>
      </c>
      <c r="J903" s="5">
        <v>23446.32</v>
      </c>
      <c r="K903" s="5">
        <v>59</v>
      </c>
      <c r="L903" s="5">
        <v>2</v>
      </c>
      <c r="M903" s="5">
        <v>2</v>
      </c>
      <c r="N903" s="5">
        <v>0</v>
      </c>
      <c r="O903" s="5">
        <v>709.37</v>
      </c>
      <c r="P903" s="6">
        <v>0</v>
      </c>
    </row>
    <row r="904" spans="1:16" ht="23.4" x14ac:dyDescent="0.45">
      <c r="A904" s="4" t="s">
        <v>903</v>
      </c>
      <c r="B904" s="5" t="s">
        <v>9</v>
      </c>
      <c r="C904" s="5">
        <v>41816.99</v>
      </c>
      <c r="D904" s="5">
        <v>30</v>
      </c>
      <c r="E904" s="5">
        <v>0</v>
      </c>
      <c r="F904" s="5">
        <v>0.76739999999999997</v>
      </c>
      <c r="G904" s="5">
        <v>0.29310000000000003</v>
      </c>
      <c r="H904" s="5">
        <v>1</v>
      </c>
      <c r="I904" s="5">
        <v>2756</v>
      </c>
      <c r="J904" s="5">
        <v>8775.7099999999991</v>
      </c>
      <c r="K904" s="5">
        <v>11</v>
      </c>
      <c r="L904" s="5">
        <v>3</v>
      </c>
      <c r="M904" s="5">
        <v>1</v>
      </c>
      <c r="N904" s="5">
        <v>1</v>
      </c>
      <c r="O904" s="5">
        <v>776.71</v>
      </c>
      <c r="P904" s="6">
        <v>0</v>
      </c>
    </row>
    <row r="905" spans="1:16" ht="23.4" x14ac:dyDescent="0.45">
      <c r="A905" s="4" t="s">
        <v>904</v>
      </c>
      <c r="B905" s="5" t="s">
        <v>9</v>
      </c>
      <c r="C905" s="5">
        <v>87171.65</v>
      </c>
      <c r="D905" s="5">
        <v>45</v>
      </c>
      <c r="E905" s="5">
        <v>0</v>
      </c>
      <c r="F905" s="5">
        <v>0.39560000000000001</v>
      </c>
      <c r="G905" s="5">
        <v>9.6600000000000005E-2</v>
      </c>
      <c r="H905" s="5">
        <v>2</v>
      </c>
      <c r="I905" s="5">
        <v>14446.6</v>
      </c>
      <c r="J905" s="5">
        <v>18456.07</v>
      </c>
      <c r="K905" s="5">
        <v>51</v>
      </c>
      <c r="L905" s="5">
        <v>3</v>
      </c>
      <c r="M905" s="5">
        <v>2</v>
      </c>
      <c r="N905" s="5">
        <v>3</v>
      </c>
      <c r="O905" s="5">
        <v>685.88</v>
      </c>
      <c r="P905" s="6">
        <v>0</v>
      </c>
    </row>
    <row r="906" spans="1:16" ht="23.4" x14ac:dyDescent="0.45">
      <c r="A906" s="4" t="s">
        <v>905</v>
      </c>
      <c r="B906" s="5" t="s">
        <v>4</v>
      </c>
      <c r="C906" s="5">
        <v>50137.23</v>
      </c>
      <c r="D906" s="5">
        <v>34</v>
      </c>
      <c r="E906" s="5">
        <v>1</v>
      </c>
      <c r="F906" s="5">
        <v>0.64229999999999998</v>
      </c>
      <c r="G906" s="5">
        <v>0.1056</v>
      </c>
      <c r="H906" s="5">
        <v>2</v>
      </c>
      <c r="I906" s="5">
        <v>500</v>
      </c>
      <c r="J906" s="5">
        <v>7217.31</v>
      </c>
      <c r="K906" s="5">
        <v>33</v>
      </c>
      <c r="L906" s="5">
        <v>2</v>
      </c>
      <c r="M906" s="5">
        <v>2</v>
      </c>
      <c r="N906" s="5">
        <v>1</v>
      </c>
      <c r="O906" s="5">
        <v>672.17</v>
      </c>
      <c r="P906" s="6">
        <v>0</v>
      </c>
    </row>
    <row r="907" spans="1:16" ht="23.4" x14ac:dyDescent="0.45">
      <c r="A907" s="4" t="s">
        <v>906</v>
      </c>
      <c r="B907" s="5" t="s">
        <v>18</v>
      </c>
      <c r="C907" s="5">
        <v>49857.64</v>
      </c>
      <c r="D907" s="5">
        <v>35</v>
      </c>
      <c r="E907" s="5">
        <v>1</v>
      </c>
      <c r="F907" s="5">
        <v>0.84789999999999999</v>
      </c>
      <c r="G907" s="5">
        <v>0.17380000000000001</v>
      </c>
      <c r="H907" s="5">
        <v>0</v>
      </c>
      <c r="I907" s="5">
        <v>14972.01</v>
      </c>
      <c r="J907" s="5">
        <v>0</v>
      </c>
      <c r="K907" s="5">
        <v>51</v>
      </c>
      <c r="L907" s="5">
        <v>2</v>
      </c>
      <c r="M907" s="5">
        <v>1</v>
      </c>
      <c r="N907" s="5">
        <v>2</v>
      </c>
      <c r="O907" s="5">
        <v>780.37</v>
      </c>
      <c r="P907" s="6">
        <v>0</v>
      </c>
    </row>
    <row r="908" spans="1:16" ht="23.4" x14ac:dyDescent="0.45">
      <c r="A908" s="4" t="s">
        <v>907</v>
      </c>
      <c r="B908" s="5" t="s">
        <v>1</v>
      </c>
      <c r="C908" s="5">
        <v>52064.05</v>
      </c>
      <c r="D908" s="5">
        <v>27</v>
      </c>
      <c r="E908" s="5">
        <v>1</v>
      </c>
      <c r="F908" s="5">
        <v>0.44790000000000002</v>
      </c>
      <c r="G908" s="5">
        <v>0.12959999999999999</v>
      </c>
      <c r="H908" s="5">
        <v>3</v>
      </c>
      <c r="I908" s="5">
        <v>21963.49</v>
      </c>
      <c r="J908" s="5">
        <v>11395.52</v>
      </c>
      <c r="K908" s="5">
        <v>168</v>
      </c>
      <c r="L908" s="5">
        <v>1</v>
      </c>
      <c r="M908" s="5">
        <v>1</v>
      </c>
      <c r="N908" s="5">
        <v>1</v>
      </c>
      <c r="O908" s="5">
        <v>668.8</v>
      </c>
      <c r="P908" s="6">
        <v>0</v>
      </c>
    </row>
    <row r="909" spans="1:16" ht="23.4" x14ac:dyDescent="0.45">
      <c r="A909" s="4" t="s">
        <v>908</v>
      </c>
      <c r="B909" s="5" t="s">
        <v>18</v>
      </c>
      <c r="C909" s="5">
        <v>89610.65</v>
      </c>
      <c r="D909" s="5">
        <v>47</v>
      </c>
      <c r="E909" s="5">
        <v>1</v>
      </c>
      <c r="F909" s="5">
        <v>0.86699999999999999</v>
      </c>
      <c r="G909" s="5">
        <v>0.3256</v>
      </c>
      <c r="H909" s="5">
        <v>2</v>
      </c>
      <c r="I909" s="5">
        <v>48642.76</v>
      </c>
      <c r="J909" s="5">
        <v>32887.29</v>
      </c>
      <c r="K909" s="5">
        <v>100</v>
      </c>
      <c r="L909" s="5">
        <v>1</v>
      </c>
      <c r="M909" s="5">
        <v>2</v>
      </c>
      <c r="N909" s="5">
        <v>1</v>
      </c>
      <c r="O909" s="5">
        <v>732.6</v>
      </c>
      <c r="P909" s="6">
        <v>0</v>
      </c>
    </row>
    <row r="910" spans="1:16" ht="23.4" x14ac:dyDescent="0.45">
      <c r="A910" s="4" t="s">
        <v>909</v>
      </c>
      <c r="B910" s="5" t="s">
        <v>9</v>
      </c>
      <c r="C910" s="5">
        <v>60602.59</v>
      </c>
      <c r="D910" s="5">
        <v>31</v>
      </c>
      <c r="E910" s="5">
        <v>0</v>
      </c>
      <c r="F910" s="5">
        <v>0.69069999999999998</v>
      </c>
      <c r="G910" s="5">
        <v>1.34E-2</v>
      </c>
      <c r="H910" s="5">
        <v>1</v>
      </c>
      <c r="I910" s="5">
        <v>1949.82</v>
      </c>
      <c r="J910" s="5">
        <v>10341.98</v>
      </c>
      <c r="K910" s="5">
        <v>57</v>
      </c>
      <c r="L910" s="5">
        <v>1</v>
      </c>
      <c r="M910" s="5">
        <v>1</v>
      </c>
      <c r="N910" s="5">
        <v>2</v>
      </c>
      <c r="O910" s="5">
        <v>749.62</v>
      </c>
      <c r="P910" s="6">
        <v>0</v>
      </c>
    </row>
    <row r="911" spans="1:16" ht="23.4" x14ac:dyDescent="0.45">
      <c r="A911" s="4" t="s">
        <v>910</v>
      </c>
      <c r="B911" s="5" t="s">
        <v>6</v>
      </c>
      <c r="C911" s="5">
        <v>138229.28</v>
      </c>
      <c r="D911" s="5">
        <v>59</v>
      </c>
      <c r="E911" s="5">
        <v>1</v>
      </c>
      <c r="F911" s="5">
        <v>0.56040000000000001</v>
      </c>
      <c r="G911" s="5">
        <v>0.46450000000000002</v>
      </c>
      <c r="H911" s="5">
        <v>4</v>
      </c>
      <c r="I911" s="5">
        <v>79164.3</v>
      </c>
      <c r="J911" s="5">
        <v>40305.96</v>
      </c>
      <c r="K911" s="5">
        <v>90</v>
      </c>
      <c r="L911" s="5">
        <v>3</v>
      </c>
      <c r="M911" s="5">
        <v>3</v>
      </c>
      <c r="N911" s="5">
        <v>0</v>
      </c>
      <c r="O911" s="5">
        <v>596.07000000000005</v>
      </c>
      <c r="P911" s="6">
        <v>0</v>
      </c>
    </row>
    <row r="912" spans="1:16" ht="23.4" x14ac:dyDescent="0.45">
      <c r="A912" s="4" t="s">
        <v>911</v>
      </c>
      <c r="B912" s="5" t="s">
        <v>1</v>
      </c>
      <c r="C912" s="5">
        <v>157694.28</v>
      </c>
      <c r="D912" s="5">
        <v>64</v>
      </c>
      <c r="E912" s="5">
        <v>0</v>
      </c>
      <c r="F912" s="5">
        <v>0.84119999999999995</v>
      </c>
      <c r="G912" s="5">
        <v>0.17730000000000001</v>
      </c>
      <c r="H912" s="5">
        <v>0</v>
      </c>
      <c r="I912" s="5">
        <v>57805.760000000002</v>
      </c>
      <c r="J912" s="5">
        <v>42126.25</v>
      </c>
      <c r="K912" s="5">
        <v>24</v>
      </c>
      <c r="L912" s="5">
        <v>3</v>
      </c>
      <c r="M912" s="5">
        <v>3</v>
      </c>
      <c r="N912" s="5">
        <v>2</v>
      </c>
      <c r="O912" s="5">
        <v>644.20000000000005</v>
      </c>
      <c r="P912" s="6">
        <v>0</v>
      </c>
    </row>
    <row r="913" spans="1:16" ht="23.4" x14ac:dyDescent="0.45">
      <c r="A913" s="4" t="s">
        <v>912</v>
      </c>
      <c r="B913" s="5" t="s">
        <v>9</v>
      </c>
      <c r="C913" s="5">
        <v>73405.77</v>
      </c>
      <c r="D913" s="5">
        <v>55</v>
      </c>
      <c r="E913" s="5">
        <v>1</v>
      </c>
      <c r="F913" s="5">
        <v>0.65280000000000005</v>
      </c>
      <c r="G913" s="5">
        <v>0.13800000000000001</v>
      </c>
      <c r="H913" s="5">
        <v>2</v>
      </c>
      <c r="I913" s="5">
        <v>5475.65</v>
      </c>
      <c r="J913" s="5">
        <v>9294.16</v>
      </c>
      <c r="K913" s="5">
        <v>16</v>
      </c>
      <c r="L913" s="5">
        <v>2</v>
      </c>
      <c r="M913" s="5">
        <v>2</v>
      </c>
      <c r="N913" s="5">
        <v>1</v>
      </c>
      <c r="O913" s="5">
        <v>613.01</v>
      </c>
      <c r="P913" s="6">
        <v>0</v>
      </c>
    </row>
    <row r="914" spans="1:16" ht="23.4" x14ac:dyDescent="0.45">
      <c r="A914" s="4" t="s">
        <v>913</v>
      </c>
      <c r="B914" s="5" t="s">
        <v>15</v>
      </c>
      <c r="C914" s="5">
        <v>69131.44</v>
      </c>
      <c r="D914" s="5">
        <v>30</v>
      </c>
      <c r="E914" s="5">
        <v>1</v>
      </c>
      <c r="F914" s="5">
        <v>0.74470000000000003</v>
      </c>
      <c r="G914" s="5">
        <v>0.64119999999999999</v>
      </c>
      <c r="H914" s="5">
        <v>1</v>
      </c>
      <c r="I914" s="5">
        <v>21031.759999999998</v>
      </c>
      <c r="J914" s="5">
        <v>7866.08</v>
      </c>
      <c r="K914" s="5">
        <v>49</v>
      </c>
      <c r="L914" s="5">
        <v>2</v>
      </c>
      <c r="M914" s="5">
        <v>2</v>
      </c>
      <c r="N914" s="5">
        <v>0</v>
      </c>
      <c r="O914" s="5">
        <v>691.06</v>
      </c>
      <c r="P914" s="6">
        <v>0</v>
      </c>
    </row>
    <row r="915" spans="1:16" ht="23.4" x14ac:dyDescent="0.45">
      <c r="A915" s="4" t="s">
        <v>914</v>
      </c>
      <c r="B915" s="5" t="s">
        <v>4</v>
      </c>
      <c r="C915" s="5">
        <v>141609.82999999999</v>
      </c>
      <c r="D915" s="5">
        <v>42</v>
      </c>
      <c r="E915" s="5">
        <v>0</v>
      </c>
      <c r="F915" s="5">
        <v>0.65080000000000005</v>
      </c>
      <c r="G915" s="5">
        <v>0.3236</v>
      </c>
      <c r="H915" s="5">
        <v>4</v>
      </c>
      <c r="I915" s="5">
        <v>35503.599999999999</v>
      </c>
      <c r="J915" s="5">
        <v>23648.799999999999</v>
      </c>
      <c r="K915" s="5">
        <v>81</v>
      </c>
      <c r="L915" s="5">
        <v>2</v>
      </c>
      <c r="M915" s="5">
        <v>1</v>
      </c>
      <c r="N915" s="5">
        <v>1</v>
      </c>
      <c r="O915" s="5">
        <v>748.74</v>
      </c>
      <c r="P915" s="6">
        <v>0</v>
      </c>
    </row>
    <row r="916" spans="1:16" ht="23.4" x14ac:dyDescent="0.45">
      <c r="A916" s="4" t="s">
        <v>915</v>
      </c>
      <c r="B916" s="5" t="s">
        <v>18</v>
      </c>
      <c r="C916" s="5">
        <v>88078.12</v>
      </c>
      <c r="D916" s="5">
        <v>29</v>
      </c>
      <c r="E916" s="5">
        <v>1</v>
      </c>
      <c r="F916" s="5">
        <v>0.75329999999999997</v>
      </c>
      <c r="G916" s="5">
        <v>0.52329999999999999</v>
      </c>
      <c r="H916" s="5">
        <v>4</v>
      </c>
      <c r="I916" s="5">
        <v>48704.94</v>
      </c>
      <c r="J916" s="5">
        <v>41731.620000000003</v>
      </c>
      <c r="K916" s="5">
        <v>98</v>
      </c>
      <c r="L916" s="5">
        <v>2</v>
      </c>
      <c r="M916" s="5">
        <v>1</v>
      </c>
      <c r="N916" s="5">
        <v>1</v>
      </c>
      <c r="O916" s="5">
        <v>651.92999999999995</v>
      </c>
      <c r="P916" s="6">
        <v>0</v>
      </c>
    </row>
    <row r="917" spans="1:16" ht="23.4" x14ac:dyDescent="0.45">
      <c r="A917" s="4" t="s">
        <v>916</v>
      </c>
      <c r="B917" s="5" t="s">
        <v>6</v>
      </c>
      <c r="C917" s="5">
        <v>74180.52</v>
      </c>
      <c r="D917" s="5">
        <v>64</v>
      </c>
      <c r="E917" s="5">
        <v>1</v>
      </c>
      <c r="F917" s="5">
        <v>0.60819999999999996</v>
      </c>
      <c r="G917" s="5">
        <v>0.79620000000000002</v>
      </c>
      <c r="H917" s="5">
        <v>4</v>
      </c>
      <c r="I917" s="5">
        <v>51120.1</v>
      </c>
      <c r="J917" s="5">
        <v>30812.95</v>
      </c>
      <c r="K917" s="5">
        <v>169</v>
      </c>
      <c r="L917" s="5">
        <v>1</v>
      </c>
      <c r="M917" s="5">
        <v>2</v>
      </c>
      <c r="N917" s="5">
        <v>1</v>
      </c>
      <c r="O917" s="5">
        <v>716.29</v>
      </c>
      <c r="P917" s="6">
        <v>0</v>
      </c>
    </row>
    <row r="918" spans="1:16" ht="23.4" x14ac:dyDescent="0.45">
      <c r="A918" s="4" t="s">
        <v>917</v>
      </c>
      <c r="B918" s="5" t="s">
        <v>4</v>
      </c>
      <c r="C918" s="5">
        <v>132700.85999999999</v>
      </c>
      <c r="D918" s="5">
        <v>53</v>
      </c>
      <c r="E918" s="5">
        <v>0</v>
      </c>
      <c r="F918" s="5">
        <v>0.71440000000000003</v>
      </c>
      <c r="G918" s="5">
        <v>0.37619999999999998</v>
      </c>
      <c r="H918" s="5">
        <v>0</v>
      </c>
      <c r="I918" s="5">
        <v>32641.51</v>
      </c>
      <c r="J918" s="5">
        <v>28577.86</v>
      </c>
      <c r="K918" s="5">
        <v>49</v>
      </c>
      <c r="L918" s="5">
        <v>4</v>
      </c>
      <c r="M918" s="5">
        <v>2</v>
      </c>
      <c r="N918" s="5">
        <v>1</v>
      </c>
      <c r="O918" s="5">
        <v>632.59</v>
      </c>
      <c r="P918" s="6">
        <v>0</v>
      </c>
    </row>
    <row r="919" spans="1:16" ht="23.4" x14ac:dyDescent="0.45">
      <c r="A919" s="4" t="s">
        <v>918</v>
      </c>
      <c r="B919" s="5" t="s">
        <v>18</v>
      </c>
      <c r="C919" s="5">
        <v>89623.01</v>
      </c>
      <c r="D919" s="5">
        <v>52</v>
      </c>
      <c r="E919" s="5">
        <v>0</v>
      </c>
      <c r="F919" s="5">
        <v>0.45889999999999997</v>
      </c>
      <c r="G919" s="5">
        <v>0</v>
      </c>
      <c r="H919" s="5">
        <v>0</v>
      </c>
      <c r="I919" s="5">
        <v>1941.7</v>
      </c>
      <c r="J919" s="5">
        <v>0</v>
      </c>
      <c r="K919" s="5">
        <v>22</v>
      </c>
      <c r="L919" s="5">
        <v>1</v>
      </c>
      <c r="M919" s="5">
        <v>1</v>
      </c>
      <c r="N919" s="5">
        <v>0</v>
      </c>
      <c r="O919" s="5">
        <v>766.17</v>
      </c>
      <c r="P919" s="6">
        <v>0</v>
      </c>
    </row>
    <row r="920" spans="1:16" ht="23.4" x14ac:dyDescent="0.45">
      <c r="A920" s="4" t="s">
        <v>919</v>
      </c>
      <c r="B920" s="5" t="s">
        <v>1</v>
      </c>
      <c r="C920" s="5">
        <v>103906.41</v>
      </c>
      <c r="D920" s="5">
        <v>62</v>
      </c>
      <c r="E920" s="5">
        <v>0</v>
      </c>
      <c r="F920" s="5">
        <v>0.35249999999999998</v>
      </c>
      <c r="G920" s="5">
        <v>0.49619999999999997</v>
      </c>
      <c r="H920" s="5">
        <v>5</v>
      </c>
      <c r="I920" s="5">
        <v>32154.71</v>
      </c>
      <c r="J920" s="5">
        <v>12574.16</v>
      </c>
      <c r="K920" s="5">
        <v>9</v>
      </c>
      <c r="L920" s="5">
        <v>3</v>
      </c>
      <c r="M920" s="5">
        <v>2</v>
      </c>
      <c r="N920" s="5">
        <v>1</v>
      </c>
      <c r="O920" s="5">
        <v>609.9</v>
      </c>
      <c r="P920" s="6">
        <v>0</v>
      </c>
    </row>
    <row r="921" spans="1:16" ht="23.4" x14ac:dyDescent="0.45">
      <c r="A921" s="4" t="s">
        <v>920</v>
      </c>
      <c r="B921" s="5" t="s">
        <v>6</v>
      </c>
      <c r="C921" s="5">
        <v>85108.39</v>
      </c>
      <c r="D921" s="5">
        <v>63</v>
      </c>
      <c r="E921" s="5">
        <v>1</v>
      </c>
      <c r="F921" s="5">
        <v>0.97470000000000001</v>
      </c>
      <c r="G921" s="5">
        <v>0.47189999999999999</v>
      </c>
      <c r="H921" s="5">
        <v>5</v>
      </c>
      <c r="I921" s="5">
        <v>34861.279999999999</v>
      </c>
      <c r="J921" s="5">
        <v>24787.96</v>
      </c>
      <c r="K921" s="5">
        <v>143</v>
      </c>
      <c r="L921" s="5">
        <v>3</v>
      </c>
      <c r="M921" s="5">
        <v>3</v>
      </c>
      <c r="N921" s="5">
        <v>0</v>
      </c>
      <c r="O921" s="5">
        <v>850</v>
      </c>
      <c r="P921" s="6">
        <v>0</v>
      </c>
    </row>
    <row r="922" spans="1:16" ht="23.4" x14ac:dyDescent="0.45">
      <c r="A922" s="4" t="s">
        <v>921</v>
      </c>
      <c r="B922" s="5" t="s">
        <v>18</v>
      </c>
      <c r="C922" s="5">
        <v>90441.04</v>
      </c>
      <c r="D922" s="5">
        <v>68</v>
      </c>
      <c r="E922" s="5">
        <v>1</v>
      </c>
      <c r="F922" s="5">
        <v>0.8538</v>
      </c>
      <c r="G922" s="5">
        <v>0.64080000000000004</v>
      </c>
      <c r="H922" s="5">
        <v>8</v>
      </c>
      <c r="I922" s="5">
        <v>64711.360000000001</v>
      </c>
      <c r="J922" s="5">
        <v>43490.46</v>
      </c>
      <c r="K922" s="5">
        <v>122</v>
      </c>
      <c r="L922" s="5">
        <v>1</v>
      </c>
      <c r="M922" s="5">
        <v>3</v>
      </c>
      <c r="N922" s="5">
        <v>0</v>
      </c>
      <c r="O922" s="5">
        <v>684.2</v>
      </c>
      <c r="P922" s="6">
        <v>0</v>
      </c>
    </row>
    <row r="923" spans="1:16" ht="23.4" x14ac:dyDescent="0.45">
      <c r="A923" s="4" t="s">
        <v>922</v>
      </c>
      <c r="B923" s="5" t="s">
        <v>4</v>
      </c>
      <c r="C923" s="5">
        <v>163088.70000000001</v>
      </c>
      <c r="D923" s="5">
        <v>25</v>
      </c>
      <c r="E923" s="5">
        <v>1</v>
      </c>
      <c r="F923" s="5">
        <v>0.78859999999999997</v>
      </c>
      <c r="G923" s="5">
        <v>0.32590000000000002</v>
      </c>
      <c r="H923" s="5">
        <v>2</v>
      </c>
      <c r="I923" s="5">
        <v>62822.35</v>
      </c>
      <c r="J923" s="5">
        <v>45462.38</v>
      </c>
      <c r="K923" s="5">
        <v>128</v>
      </c>
      <c r="L923" s="5">
        <v>2</v>
      </c>
      <c r="M923" s="5">
        <v>2</v>
      </c>
      <c r="N923" s="5">
        <v>1</v>
      </c>
      <c r="O923" s="5">
        <v>820.11</v>
      </c>
      <c r="P923" s="6">
        <v>0</v>
      </c>
    </row>
    <row r="924" spans="1:16" ht="23.4" x14ac:dyDescent="0.45">
      <c r="A924" s="4" t="s">
        <v>923</v>
      </c>
      <c r="B924" s="5" t="s">
        <v>4</v>
      </c>
      <c r="C924" s="5">
        <v>70166.12</v>
      </c>
      <c r="D924" s="5">
        <v>28</v>
      </c>
      <c r="E924" s="5">
        <v>1</v>
      </c>
      <c r="F924" s="5">
        <v>0.60140000000000005</v>
      </c>
      <c r="G924" s="5">
        <v>0.13450000000000001</v>
      </c>
      <c r="H924" s="5">
        <v>2</v>
      </c>
      <c r="I924" s="5">
        <v>25637.15</v>
      </c>
      <c r="J924" s="5">
        <v>22689.17</v>
      </c>
      <c r="K924" s="5">
        <v>159</v>
      </c>
      <c r="L924" s="5">
        <v>2</v>
      </c>
      <c r="M924" s="5">
        <v>2</v>
      </c>
      <c r="N924" s="5">
        <v>1</v>
      </c>
      <c r="O924" s="5">
        <v>730.17</v>
      </c>
      <c r="P924" s="6">
        <v>0</v>
      </c>
    </row>
    <row r="925" spans="1:16" ht="23.4" x14ac:dyDescent="0.45">
      <c r="A925" s="4" t="s">
        <v>924</v>
      </c>
      <c r="B925" s="5" t="s">
        <v>9</v>
      </c>
      <c r="C925" s="5">
        <v>73238.48</v>
      </c>
      <c r="D925" s="5">
        <v>70</v>
      </c>
      <c r="E925" s="5">
        <v>0</v>
      </c>
      <c r="F925" s="5">
        <v>0.53339999999999999</v>
      </c>
      <c r="G925" s="5">
        <v>0.13969999999999999</v>
      </c>
      <c r="H925" s="5">
        <v>0</v>
      </c>
      <c r="I925" s="5">
        <v>500</v>
      </c>
      <c r="J925" s="5">
        <v>6392.22</v>
      </c>
      <c r="K925" s="5">
        <v>110</v>
      </c>
      <c r="L925" s="5">
        <v>2</v>
      </c>
      <c r="M925" s="5">
        <v>1</v>
      </c>
      <c r="N925" s="5">
        <v>0</v>
      </c>
      <c r="O925" s="5">
        <v>700.61</v>
      </c>
      <c r="P925" s="6">
        <v>0</v>
      </c>
    </row>
    <row r="926" spans="1:16" ht="23.4" x14ac:dyDescent="0.45">
      <c r="A926" s="4" t="s">
        <v>925</v>
      </c>
      <c r="B926" s="5" t="s">
        <v>1</v>
      </c>
      <c r="C926" s="5">
        <v>2000</v>
      </c>
      <c r="D926" s="5">
        <v>40</v>
      </c>
      <c r="E926" s="5">
        <v>1</v>
      </c>
      <c r="F926" s="5">
        <v>0.65620000000000001</v>
      </c>
      <c r="G926" s="5">
        <v>0.3725</v>
      </c>
      <c r="H926" s="5">
        <v>5</v>
      </c>
      <c r="I926" s="5">
        <v>500</v>
      </c>
      <c r="J926" s="5">
        <v>10451.280000000001</v>
      </c>
      <c r="K926" s="5">
        <v>134</v>
      </c>
      <c r="L926" s="5">
        <v>1</v>
      </c>
      <c r="M926" s="5">
        <v>1</v>
      </c>
      <c r="N926" s="5">
        <v>3</v>
      </c>
      <c r="O926" s="5">
        <v>764.32</v>
      </c>
      <c r="P926" s="6">
        <v>0</v>
      </c>
    </row>
    <row r="927" spans="1:16" ht="23.4" x14ac:dyDescent="0.45">
      <c r="A927" s="4" t="s">
        <v>926</v>
      </c>
      <c r="B927" s="5" t="s">
        <v>4</v>
      </c>
      <c r="C927" s="5">
        <v>72587.600000000006</v>
      </c>
      <c r="D927" s="5">
        <v>53</v>
      </c>
      <c r="E927" s="5">
        <v>1</v>
      </c>
      <c r="F927" s="5">
        <v>0.5827</v>
      </c>
      <c r="G927" s="5">
        <v>0.42749999999999999</v>
      </c>
      <c r="H927" s="5">
        <v>5</v>
      </c>
      <c r="I927" s="5">
        <v>37418.29</v>
      </c>
      <c r="J927" s="5">
        <v>17554.560000000001</v>
      </c>
      <c r="K927" s="5">
        <v>119</v>
      </c>
      <c r="L927" s="5">
        <v>1</v>
      </c>
      <c r="M927" s="5">
        <v>2</v>
      </c>
      <c r="N927" s="5">
        <v>2</v>
      </c>
      <c r="O927" s="5">
        <v>814.42</v>
      </c>
      <c r="P927" s="6">
        <v>0</v>
      </c>
    </row>
    <row r="928" spans="1:16" ht="23.4" x14ac:dyDescent="0.45">
      <c r="A928" s="4" t="s">
        <v>927</v>
      </c>
      <c r="B928" s="5" t="s">
        <v>4</v>
      </c>
      <c r="C928" s="5">
        <v>115348.62</v>
      </c>
      <c r="D928" s="5">
        <v>40</v>
      </c>
      <c r="E928" s="5">
        <v>1</v>
      </c>
      <c r="F928" s="5">
        <v>0.79169999999999996</v>
      </c>
      <c r="G928" s="5">
        <v>0.1804</v>
      </c>
      <c r="H928" s="5">
        <v>1</v>
      </c>
      <c r="I928" s="5">
        <v>13950.21</v>
      </c>
      <c r="J928" s="5">
        <v>9289.85</v>
      </c>
      <c r="K928" s="5">
        <v>82</v>
      </c>
      <c r="L928" s="5">
        <v>3</v>
      </c>
      <c r="M928" s="5">
        <v>1</v>
      </c>
      <c r="N928" s="5">
        <v>1</v>
      </c>
      <c r="O928" s="5">
        <v>713.05</v>
      </c>
      <c r="P928" s="6">
        <v>0</v>
      </c>
    </row>
    <row r="929" spans="1:16" ht="23.4" x14ac:dyDescent="0.45">
      <c r="A929" s="4" t="s">
        <v>928</v>
      </c>
      <c r="B929" s="5" t="s">
        <v>9</v>
      </c>
      <c r="C929" s="5">
        <v>116276.91</v>
      </c>
      <c r="D929" s="5">
        <v>31</v>
      </c>
      <c r="E929" s="5">
        <v>1</v>
      </c>
      <c r="F929" s="5">
        <v>0.86460000000000004</v>
      </c>
      <c r="G929" s="5">
        <v>0.12540000000000001</v>
      </c>
      <c r="H929" s="5">
        <v>4</v>
      </c>
      <c r="I929" s="5">
        <v>45952.09</v>
      </c>
      <c r="J929" s="5">
        <v>45839.09</v>
      </c>
      <c r="K929" s="5">
        <v>112</v>
      </c>
      <c r="L929" s="5">
        <v>3</v>
      </c>
      <c r="M929" s="5">
        <v>1</v>
      </c>
      <c r="N929" s="5">
        <v>2</v>
      </c>
      <c r="O929" s="5">
        <v>733.4</v>
      </c>
      <c r="P929" s="6">
        <v>0</v>
      </c>
    </row>
    <row r="930" spans="1:16" ht="23.4" x14ac:dyDescent="0.45">
      <c r="A930" s="4" t="s">
        <v>929</v>
      </c>
      <c r="B930" s="5" t="s">
        <v>1</v>
      </c>
      <c r="C930" s="5">
        <v>113697.88</v>
      </c>
      <c r="D930" s="5">
        <v>30</v>
      </c>
      <c r="E930" s="5">
        <v>0</v>
      </c>
      <c r="F930" s="5">
        <v>0.56640000000000001</v>
      </c>
      <c r="G930" s="5">
        <v>0.26069999999999999</v>
      </c>
      <c r="H930" s="5">
        <v>5</v>
      </c>
      <c r="I930" s="5">
        <v>35872.07</v>
      </c>
      <c r="J930" s="5">
        <v>16357.27</v>
      </c>
      <c r="K930" s="5">
        <v>84</v>
      </c>
      <c r="L930" s="5">
        <v>2</v>
      </c>
      <c r="M930" s="5">
        <v>1</v>
      </c>
      <c r="N930" s="5">
        <v>0</v>
      </c>
      <c r="O930" s="5">
        <v>701.8</v>
      </c>
      <c r="P930" s="6">
        <v>0</v>
      </c>
    </row>
    <row r="931" spans="1:16" ht="23.4" x14ac:dyDescent="0.45">
      <c r="A931" s="4" t="s">
        <v>930</v>
      </c>
      <c r="B931" s="5" t="s">
        <v>9</v>
      </c>
      <c r="C931" s="5">
        <v>44347.57</v>
      </c>
      <c r="D931" s="5">
        <v>43</v>
      </c>
      <c r="E931" s="5">
        <v>0</v>
      </c>
      <c r="F931" s="5">
        <v>0.6331</v>
      </c>
      <c r="G931" s="5">
        <v>0.29110000000000003</v>
      </c>
      <c r="H931" s="5">
        <v>0</v>
      </c>
      <c r="I931" s="5">
        <v>16123.7</v>
      </c>
      <c r="J931" s="5">
        <v>12777.48</v>
      </c>
      <c r="K931" s="5">
        <v>175</v>
      </c>
      <c r="L931" s="5">
        <v>2</v>
      </c>
      <c r="M931" s="5">
        <v>1</v>
      </c>
      <c r="N931" s="5">
        <v>0</v>
      </c>
      <c r="O931" s="5">
        <v>666.04</v>
      </c>
      <c r="P931" s="6">
        <v>0</v>
      </c>
    </row>
    <row r="932" spans="1:16" ht="23.4" x14ac:dyDescent="0.45">
      <c r="A932" s="4" t="s">
        <v>931</v>
      </c>
      <c r="B932" s="5" t="s">
        <v>18</v>
      </c>
      <c r="C932" s="5">
        <v>100158.45</v>
      </c>
      <c r="D932" s="5">
        <v>56</v>
      </c>
      <c r="E932" s="5">
        <v>0</v>
      </c>
      <c r="F932" s="5">
        <v>0.52829999999999999</v>
      </c>
      <c r="G932" s="5">
        <v>0.36919999999999997</v>
      </c>
      <c r="H932" s="5">
        <v>0</v>
      </c>
      <c r="I932" s="5">
        <v>25032.47</v>
      </c>
      <c r="J932" s="5">
        <v>9501.59</v>
      </c>
      <c r="K932" s="5">
        <v>76</v>
      </c>
      <c r="L932" s="5">
        <v>1</v>
      </c>
      <c r="M932" s="5">
        <v>1</v>
      </c>
      <c r="N932" s="5">
        <v>0</v>
      </c>
      <c r="O932" s="5">
        <v>588.73</v>
      </c>
      <c r="P932" s="6">
        <v>0</v>
      </c>
    </row>
    <row r="933" spans="1:16" ht="23.4" x14ac:dyDescent="0.45">
      <c r="A933" s="4" t="s">
        <v>932</v>
      </c>
      <c r="B933" s="5" t="s">
        <v>9</v>
      </c>
      <c r="C933" s="5">
        <v>99157.4</v>
      </c>
      <c r="D933" s="5">
        <v>23</v>
      </c>
      <c r="E933" s="5">
        <v>1</v>
      </c>
      <c r="F933" s="5">
        <v>0.73880000000000001</v>
      </c>
      <c r="G933" s="5">
        <v>0.15620000000000001</v>
      </c>
      <c r="H933" s="5">
        <v>4</v>
      </c>
      <c r="I933" s="5">
        <v>9606.5499999999993</v>
      </c>
      <c r="J933" s="5">
        <v>6704.22</v>
      </c>
      <c r="K933" s="5">
        <v>156</v>
      </c>
      <c r="L933" s="5">
        <v>2</v>
      </c>
      <c r="M933" s="5">
        <v>1</v>
      </c>
      <c r="N933" s="5">
        <v>1</v>
      </c>
      <c r="O933" s="5">
        <v>850</v>
      </c>
      <c r="P933" s="6">
        <v>0</v>
      </c>
    </row>
    <row r="934" spans="1:16" ht="23.4" x14ac:dyDescent="0.45">
      <c r="A934" s="4" t="s">
        <v>933</v>
      </c>
      <c r="B934" s="5" t="s">
        <v>4</v>
      </c>
      <c r="C934" s="5">
        <v>20394</v>
      </c>
      <c r="D934" s="5">
        <v>28</v>
      </c>
      <c r="E934" s="5">
        <v>1</v>
      </c>
      <c r="F934" s="5">
        <v>1</v>
      </c>
      <c r="G934" s="5">
        <v>0</v>
      </c>
      <c r="H934" s="5">
        <v>1</v>
      </c>
      <c r="I934" s="5">
        <v>36866.480000000003</v>
      </c>
      <c r="J934" s="5">
        <v>39354.68</v>
      </c>
      <c r="K934" s="5">
        <v>111</v>
      </c>
      <c r="L934" s="5">
        <v>3</v>
      </c>
      <c r="M934" s="5">
        <v>2</v>
      </c>
      <c r="N934" s="5">
        <v>1</v>
      </c>
      <c r="O934" s="5">
        <v>701.12</v>
      </c>
      <c r="P934" s="6">
        <v>0</v>
      </c>
    </row>
    <row r="935" spans="1:16" ht="23.4" x14ac:dyDescent="0.45">
      <c r="A935" s="4" t="s">
        <v>934</v>
      </c>
      <c r="B935" s="5" t="s">
        <v>4</v>
      </c>
      <c r="C935" s="5">
        <v>64050.7</v>
      </c>
      <c r="D935" s="5">
        <v>41</v>
      </c>
      <c r="E935" s="5">
        <v>1</v>
      </c>
      <c r="F935" s="5">
        <v>0.39550000000000002</v>
      </c>
      <c r="G935" s="5">
        <v>0.21290000000000001</v>
      </c>
      <c r="H935" s="5">
        <v>1</v>
      </c>
      <c r="I935" s="5">
        <v>32051.89</v>
      </c>
      <c r="J935" s="5">
        <v>17459.22</v>
      </c>
      <c r="K935" s="5">
        <v>23</v>
      </c>
      <c r="L935" s="5">
        <v>3</v>
      </c>
      <c r="M935" s="5">
        <v>2</v>
      </c>
      <c r="N935" s="5">
        <v>1</v>
      </c>
      <c r="O935" s="5">
        <v>692.62</v>
      </c>
      <c r="P935" s="6">
        <v>0</v>
      </c>
    </row>
    <row r="936" spans="1:16" ht="23.4" x14ac:dyDescent="0.45">
      <c r="A936" s="4" t="s">
        <v>935</v>
      </c>
      <c r="B936" s="5" t="s">
        <v>4</v>
      </c>
      <c r="C936" s="5">
        <v>40165.449999999997</v>
      </c>
      <c r="D936" s="5">
        <v>68</v>
      </c>
      <c r="E936" s="5">
        <v>1</v>
      </c>
      <c r="F936" s="5">
        <v>0.96360000000000001</v>
      </c>
      <c r="G936" s="5">
        <v>0.51939999999999997</v>
      </c>
      <c r="H936" s="5">
        <v>2</v>
      </c>
      <c r="I936" s="5">
        <v>4517.62</v>
      </c>
      <c r="J936" s="5">
        <v>5306.14</v>
      </c>
      <c r="K936" s="5">
        <v>91</v>
      </c>
      <c r="L936" s="5">
        <v>1</v>
      </c>
      <c r="M936" s="5">
        <v>3</v>
      </c>
      <c r="N936" s="5">
        <v>0</v>
      </c>
      <c r="O936" s="5">
        <v>613.20000000000005</v>
      </c>
      <c r="P936" s="6">
        <v>0</v>
      </c>
    </row>
    <row r="937" spans="1:16" ht="23.4" x14ac:dyDescent="0.45">
      <c r="A937" s="4" t="s">
        <v>936</v>
      </c>
      <c r="B937" s="5" t="s">
        <v>6</v>
      </c>
      <c r="C937" s="5">
        <v>26648.2</v>
      </c>
      <c r="D937" s="5">
        <v>62</v>
      </c>
      <c r="E937" s="5">
        <v>0</v>
      </c>
      <c r="F937" s="5">
        <v>0.52980000000000005</v>
      </c>
      <c r="G937" s="5">
        <v>0.53349999999999997</v>
      </c>
      <c r="H937" s="5">
        <v>3</v>
      </c>
      <c r="I937" s="5">
        <v>14620.92</v>
      </c>
      <c r="J937" s="5">
        <v>0</v>
      </c>
      <c r="K937" s="5">
        <v>137</v>
      </c>
      <c r="L937" s="5">
        <v>2</v>
      </c>
      <c r="M937" s="5">
        <v>2</v>
      </c>
      <c r="N937" s="5">
        <v>3</v>
      </c>
      <c r="O937" s="5">
        <v>647.36</v>
      </c>
      <c r="P937" s="6">
        <v>0</v>
      </c>
    </row>
    <row r="938" spans="1:16" ht="23.4" x14ac:dyDescent="0.45">
      <c r="A938" s="4" t="s">
        <v>937</v>
      </c>
      <c r="B938" s="5" t="s">
        <v>1</v>
      </c>
      <c r="C938" s="5">
        <v>117978.35</v>
      </c>
      <c r="D938" s="5">
        <v>55</v>
      </c>
      <c r="E938" s="5">
        <v>0</v>
      </c>
      <c r="F938" s="5">
        <v>0.5726</v>
      </c>
      <c r="G938" s="5">
        <v>7.3499999999999996E-2</v>
      </c>
      <c r="H938" s="5">
        <v>1</v>
      </c>
      <c r="I938" s="5">
        <v>500</v>
      </c>
      <c r="J938" s="5">
        <v>0</v>
      </c>
      <c r="K938" s="5">
        <v>150</v>
      </c>
      <c r="L938" s="5">
        <v>1</v>
      </c>
      <c r="M938" s="5">
        <v>2</v>
      </c>
      <c r="N938" s="5">
        <v>0</v>
      </c>
      <c r="O938" s="5">
        <v>752.11</v>
      </c>
      <c r="P938" s="6">
        <v>0</v>
      </c>
    </row>
    <row r="939" spans="1:16" ht="23.4" x14ac:dyDescent="0.45">
      <c r="A939" s="4" t="s">
        <v>938</v>
      </c>
      <c r="B939" s="5" t="s">
        <v>9</v>
      </c>
      <c r="C939" s="5">
        <v>135284.29999999999</v>
      </c>
      <c r="D939" s="5">
        <v>57</v>
      </c>
      <c r="E939" s="5">
        <v>0</v>
      </c>
      <c r="F939" s="5">
        <v>0.94259999999999999</v>
      </c>
      <c r="G939" s="5">
        <v>0.23949999999999999</v>
      </c>
      <c r="H939" s="5">
        <v>5</v>
      </c>
      <c r="I939" s="5">
        <v>31284.95</v>
      </c>
      <c r="J939" s="5">
        <v>25221.02</v>
      </c>
      <c r="K939" s="5">
        <v>76</v>
      </c>
      <c r="L939" s="5">
        <v>2</v>
      </c>
      <c r="M939" s="5">
        <v>2</v>
      </c>
      <c r="N939" s="5">
        <v>3</v>
      </c>
      <c r="O939" s="5">
        <v>680.61</v>
      </c>
      <c r="P939" s="6">
        <v>0</v>
      </c>
    </row>
    <row r="940" spans="1:16" ht="23.4" x14ac:dyDescent="0.45">
      <c r="A940" s="4" t="s">
        <v>939</v>
      </c>
      <c r="B940" s="5" t="s">
        <v>1</v>
      </c>
      <c r="C940" s="5">
        <v>76204.789999999994</v>
      </c>
      <c r="D940" s="5">
        <v>57</v>
      </c>
      <c r="E940" s="5">
        <v>0</v>
      </c>
      <c r="F940" s="5">
        <v>0.81079999999999997</v>
      </c>
      <c r="G940" s="5">
        <v>0.23619999999999999</v>
      </c>
      <c r="H940" s="5">
        <v>4</v>
      </c>
      <c r="I940" s="5">
        <v>8193.36</v>
      </c>
      <c r="J940" s="5">
        <v>0</v>
      </c>
      <c r="K940" s="5">
        <v>116</v>
      </c>
      <c r="L940" s="5">
        <v>3</v>
      </c>
      <c r="M940" s="5">
        <v>1</v>
      </c>
      <c r="N940" s="5">
        <v>0</v>
      </c>
      <c r="O940" s="5">
        <v>685.87</v>
      </c>
      <c r="P940" s="6">
        <v>1</v>
      </c>
    </row>
    <row r="941" spans="1:16" ht="23.4" x14ac:dyDescent="0.45">
      <c r="A941" s="4" t="s">
        <v>940</v>
      </c>
      <c r="B941" s="5" t="s">
        <v>1</v>
      </c>
      <c r="C941" s="5">
        <v>58626.47</v>
      </c>
      <c r="D941" s="5">
        <v>41</v>
      </c>
      <c r="E941" s="5">
        <v>0</v>
      </c>
      <c r="F941" s="5">
        <v>0.56110000000000004</v>
      </c>
      <c r="G941" s="5">
        <v>0.48549999999999999</v>
      </c>
      <c r="H941" s="5">
        <v>3</v>
      </c>
      <c r="I941" s="5">
        <v>50613.74</v>
      </c>
      <c r="J941" s="5">
        <v>27507.58</v>
      </c>
      <c r="K941" s="5">
        <v>176</v>
      </c>
      <c r="L941" s="5">
        <v>1</v>
      </c>
      <c r="M941" s="5">
        <v>2</v>
      </c>
      <c r="N941" s="5">
        <v>2</v>
      </c>
      <c r="O941" s="5">
        <v>737.33</v>
      </c>
      <c r="P941" s="6">
        <v>0</v>
      </c>
    </row>
    <row r="942" spans="1:16" ht="23.4" x14ac:dyDescent="0.45">
      <c r="A942" s="4" t="s">
        <v>941</v>
      </c>
      <c r="B942" s="5" t="s">
        <v>4</v>
      </c>
      <c r="C942" s="5">
        <v>77090.960000000006</v>
      </c>
      <c r="D942" s="5">
        <v>33</v>
      </c>
      <c r="E942" s="5">
        <v>0</v>
      </c>
      <c r="F942" s="5">
        <v>0.44400000000000001</v>
      </c>
      <c r="G942" s="5">
        <v>0.42449999999999999</v>
      </c>
      <c r="H942" s="5">
        <v>1</v>
      </c>
      <c r="I942" s="5">
        <v>34162.769999999997</v>
      </c>
      <c r="J942" s="5">
        <v>21409.599999999999</v>
      </c>
      <c r="K942" s="5">
        <v>160</v>
      </c>
      <c r="L942" s="5">
        <v>3</v>
      </c>
      <c r="M942" s="5">
        <v>1</v>
      </c>
      <c r="N942" s="5">
        <v>0</v>
      </c>
      <c r="O942" s="5">
        <v>656.14</v>
      </c>
      <c r="P942" s="6">
        <v>0</v>
      </c>
    </row>
    <row r="943" spans="1:16" ht="23.4" x14ac:dyDescent="0.45">
      <c r="A943" s="4" t="s">
        <v>942</v>
      </c>
      <c r="B943" s="5" t="s">
        <v>15</v>
      </c>
      <c r="C943" s="5">
        <v>103886.78</v>
      </c>
      <c r="D943" s="5">
        <v>35</v>
      </c>
      <c r="E943" s="5">
        <v>1</v>
      </c>
      <c r="F943" s="5">
        <v>0.62680000000000002</v>
      </c>
      <c r="G943" s="5">
        <v>0.25940000000000002</v>
      </c>
      <c r="H943" s="5">
        <v>5</v>
      </c>
      <c r="I943" s="5">
        <v>66320.710000000006</v>
      </c>
      <c r="J943" s="5">
        <v>45074.05</v>
      </c>
      <c r="K943" s="5">
        <v>96</v>
      </c>
      <c r="L943" s="5">
        <v>1</v>
      </c>
      <c r="M943" s="5">
        <v>2</v>
      </c>
      <c r="N943" s="5">
        <v>2</v>
      </c>
      <c r="O943" s="5">
        <v>838.51</v>
      </c>
      <c r="P943" s="6">
        <v>0</v>
      </c>
    </row>
    <row r="944" spans="1:16" ht="23.4" x14ac:dyDescent="0.45">
      <c r="A944" s="4" t="s">
        <v>943</v>
      </c>
      <c r="B944" s="5" t="s">
        <v>9</v>
      </c>
      <c r="C944" s="5">
        <v>99672.67</v>
      </c>
      <c r="D944" s="5">
        <v>68</v>
      </c>
      <c r="E944" s="5">
        <v>1</v>
      </c>
      <c r="F944" s="5">
        <v>0.68540000000000001</v>
      </c>
      <c r="G944" s="5">
        <v>0.50409999999999999</v>
      </c>
      <c r="H944" s="5">
        <v>2</v>
      </c>
      <c r="I944" s="5">
        <v>65599.14</v>
      </c>
      <c r="J944" s="5">
        <v>46841.07</v>
      </c>
      <c r="K944" s="5">
        <v>56</v>
      </c>
      <c r="L944" s="5">
        <v>1</v>
      </c>
      <c r="M944" s="5">
        <v>1</v>
      </c>
      <c r="N944" s="5">
        <v>2</v>
      </c>
      <c r="O944" s="5">
        <v>722.99</v>
      </c>
      <c r="P944" s="6">
        <v>0</v>
      </c>
    </row>
    <row r="945" spans="1:16" ht="23.4" x14ac:dyDescent="0.45">
      <c r="A945" s="4" t="s">
        <v>944</v>
      </c>
      <c r="B945" s="5" t="s">
        <v>4</v>
      </c>
      <c r="C945" s="5">
        <v>105380.81</v>
      </c>
      <c r="D945" s="5">
        <v>67</v>
      </c>
      <c r="E945" s="5">
        <v>1</v>
      </c>
      <c r="F945" s="5">
        <v>0.58140000000000003</v>
      </c>
      <c r="G945" s="5">
        <v>0.3846</v>
      </c>
      <c r="H945" s="5">
        <v>4</v>
      </c>
      <c r="I945" s="5">
        <v>75041.570000000007</v>
      </c>
      <c r="J945" s="5">
        <v>47024.76</v>
      </c>
      <c r="K945" s="5">
        <v>87</v>
      </c>
      <c r="L945" s="5">
        <v>2</v>
      </c>
      <c r="M945" s="5">
        <v>1</v>
      </c>
      <c r="N945" s="5">
        <v>0</v>
      </c>
      <c r="O945" s="5">
        <v>632.57000000000005</v>
      </c>
      <c r="P945" s="6">
        <v>0</v>
      </c>
    </row>
    <row r="946" spans="1:16" ht="23.4" x14ac:dyDescent="0.45">
      <c r="A946" s="4" t="s">
        <v>945</v>
      </c>
      <c r="B946" s="5" t="s">
        <v>9</v>
      </c>
      <c r="C946" s="5">
        <v>36859.910000000003</v>
      </c>
      <c r="D946" s="5">
        <v>50</v>
      </c>
      <c r="E946" s="5">
        <v>1</v>
      </c>
      <c r="F946" s="5">
        <v>0.7329</v>
      </c>
      <c r="G946" s="5">
        <v>0.64319999999999999</v>
      </c>
      <c r="H946" s="5">
        <v>4</v>
      </c>
      <c r="I946" s="5">
        <v>500</v>
      </c>
      <c r="J946" s="5">
        <v>10184.32</v>
      </c>
      <c r="K946" s="5">
        <v>31</v>
      </c>
      <c r="L946" s="5">
        <v>2</v>
      </c>
      <c r="M946" s="5">
        <v>3</v>
      </c>
      <c r="N946" s="5">
        <v>2</v>
      </c>
      <c r="O946" s="5">
        <v>579.89</v>
      </c>
      <c r="P946" s="6">
        <v>0</v>
      </c>
    </row>
    <row r="947" spans="1:16" ht="23.4" x14ac:dyDescent="0.45">
      <c r="A947" s="4" t="s">
        <v>946</v>
      </c>
      <c r="B947" s="5" t="s">
        <v>6</v>
      </c>
      <c r="C947" s="5">
        <v>125106.56</v>
      </c>
      <c r="D947" s="5">
        <v>65</v>
      </c>
      <c r="E947" s="5">
        <v>1</v>
      </c>
      <c r="F947" s="5">
        <v>0.94779999999999998</v>
      </c>
      <c r="G947" s="5">
        <v>0.58169999999999999</v>
      </c>
      <c r="H947" s="5">
        <v>2</v>
      </c>
      <c r="I947" s="5">
        <v>83600.179999999993</v>
      </c>
      <c r="J947" s="5">
        <v>71248.09</v>
      </c>
      <c r="K947" s="5">
        <v>171</v>
      </c>
      <c r="L947" s="5">
        <v>3</v>
      </c>
      <c r="M947" s="5">
        <v>1</v>
      </c>
      <c r="N947" s="5">
        <v>2</v>
      </c>
      <c r="O947" s="5">
        <v>702.71</v>
      </c>
      <c r="P947" s="6">
        <v>0</v>
      </c>
    </row>
    <row r="948" spans="1:16" ht="23.4" x14ac:dyDescent="0.45">
      <c r="A948" s="4" t="s">
        <v>947</v>
      </c>
      <c r="B948" s="5" t="s">
        <v>1</v>
      </c>
      <c r="C948" s="5">
        <v>144322.4</v>
      </c>
      <c r="D948" s="5">
        <v>29</v>
      </c>
      <c r="E948" s="5">
        <v>1</v>
      </c>
      <c r="F948" s="5">
        <v>0.71409999999999996</v>
      </c>
      <c r="G948" s="5">
        <v>0.25659999999999999</v>
      </c>
      <c r="H948" s="5">
        <v>0</v>
      </c>
      <c r="I948" s="5">
        <v>62077.35</v>
      </c>
      <c r="J948" s="5">
        <v>47964.91</v>
      </c>
      <c r="K948" s="5">
        <v>175</v>
      </c>
      <c r="L948" s="5">
        <v>1</v>
      </c>
      <c r="M948" s="5">
        <v>2</v>
      </c>
      <c r="N948" s="5">
        <v>2</v>
      </c>
      <c r="O948" s="5">
        <v>682.67</v>
      </c>
      <c r="P948" s="6">
        <v>0</v>
      </c>
    </row>
    <row r="949" spans="1:16" ht="23.4" x14ac:dyDescent="0.45">
      <c r="A949" s="4" t="s">
        <v>948</v>
      </c>
      <c r="B949" s="5" t="s">
        <v>4</v>
      </c>
      <c r="C949" s="5">
        <v>103548.22</v>
      </c>
      <c r="D949" s="5">
        <v>30</v>
      </c>
      <c r="E949" s="5">
        <v>1</v>
      </c>
      <c r="F949" s="5">
        <v>0.68159999999999998</v>
      </c>
      <c r="G949" s="5">
        <v>0</v>
      </c>
      <c r="H949" s="5">
        <v>2</v>
      </c>
      <c r="I949" s="5">
        <v>28030.26</v>
      </c>
      <c r="J949" s="5">
        <v>22535.27</v>
      </c>
      <c r="K949" s="5">
        <v>133</v>
      </c>
      <c r="L949" s="5">
        <v>1</v>
      </c>
      <c r="M949" s="5">
        <v>1</v>
      </c>
      <c r="N949" s="5">
        <v>0</v>
      </c>
      <c r="O949" s="5">
        <v>754.45</v>
      </c>
      <c r="P949" s="6">
        <v>0</v>
      </c>
    </row>
    <row r="950" spans="1:16" ht="23.4" x14ac:dyDescent="0.45">
      <c r="A950" s="4" t="s">
        <v>949</v>
      </c>
      <c r="B950" s="5" t="s">
        <v>6</v>
      </c>
      <c r="C950" s="5">
        <v>82204.23</v>
      </c>
      <c r="D950" s="5">
        <v>22</v>
      </c>
      <c r="E950" s="5">
        <v>0</v>
      </c>
      <c r="F950" s="5">
        <v>0.66669999999999996</v>
      </c>
      <c r="G950" s="5">
        <v>0.14299999999999999</v>
      </c>
      <c r="H950" s="5">
        <v>5</v>
      </c>
      <c r="I950" s="5">
        <v>41472.17</v>
      </c>
      <c r="J950" s="5">
        <v>31109.59</v>
      </c>
      <c r="K950" s="5">
        <v>110</v>
      </c>
      <c r="L950" s="5">
        <v>1</v>
      </c>
      <c r="M950" s="5">
        <v>1</v>
      </c>
      <c r="N950" s="5">
        <v>1</v>
      </c>
      <c r="O950" s="5">
        <v>683.79</v>
      </c>
      <c r="P950" s="6">
        <v>1</v>
      </c>
    </row>
    <row r="951" spans="1:16" ht="23.4" x14ac:dyDescent="0.45">
      <c r="A951" s="4" t="s">
        <v>950</v>
      </c>
      <c r="B951" s="5" t="s">
        <v>9</v>
      </c>
      <c r="C951" s="5">
        <v>85835.51</v>
      </c>
      <c r="D951" s="5">
        <v>35</v>
      </c>
      <c r="E951" s="5">
        <v>0</v>
      </c>
      <c r="F951" s="5">
        <v>1</v>
      </c>
      <c r="G951" s="5">
        <v>0.8075</v>
      </c>
      <c r="H951" s="5">
        <v>6</v>
      </c>
      <c r="I951" s="5">
        <v>80374.37</v>
      </c>
      <c r="J951" s="5">
        <v>79967.34</v>
      </c>
      <c r="K951" s="5">
        <v>143</v>
      </c>
      <c r="L951" s="5">
        <v>2</v>
      </c>
      <c r="M951" s="5">
        <v>2</v>
      </c>
      <c r="N951" s="5">
        <v>2</v>
      </c>
      <c r="O951" s="5">
        <v>693.08</v>
      </c>
      <c r="P951" s="6">
        <v>1</v>
      </c>
    </row>
    <row r="952" spans="1:16" ht="23.4" x14ac:dyDescent="0.45">
      <c r="A952" s="4" t="s">
        <v>951</v>
      </c>
      <c r="B952" s="5" t="s">
        <v>1</v>
      </c>
      <c r="C952" s="5">
        <v>2000</v>
      </c>
      <c r="D952" s="5">
        <v>37</v>
      </c>
      <c r="E952" s="5">
        <v>1</v>
      </c>
      <c r="F952" s="5">
        <v>0.76380000000000003</v>
      </c>
      <c r="G952" s="5">
        <v>0.65310000000000001</v>
      </c>
      <c r="H952" s="5">
        <v>6</v>
      </c>
      <c r="I952" s="5">
        <v>500</v>
      </c>
      <c r="J952" s="5">
        <v>8601.59</v>
      </c>
      <c r="K952" s="5">
        <v>30</v>
      </c>
      <c r="L952" s="5">
        <v>2</v>
      </c>
      <c r="M952" s="5">
        <v>2</v>
      </c>
      <c r="N952" s="5">
        <v>2</v>
      </c>
      <c r="O952" s="5">
        <v>703.38</v>
      </c>
      <c r="P952" s="6">
        <v>0</v>
      </c>
    </row>
    <row r="953" spans="1:16" ht="23.4" x14ac:dyDescent="0.45">
      <c r="A953" s="4" t="s">
        <v>952</v>
      </c>
      <c r="B953" s="5" t="s">
        <v>4</v>
      </c>
      <c r="C953" s="5">
        <v>119879.07</v>
      </c>
      <c r="D953" s="5">
        <v>30</v>
      </c>
      <c r="E953" s="5">
        <v>0</v>
      </c>
      <c r="F953" s="5">
        <v>0.7127</v>
      </c>
      <c r="G953" s="5">
        <v>0.50229999999999997</v>
      </c>
      <c r="H953" s="5">
        <v>5</v>
      </c>
      <c r="I953" s="5">
        <v>68776.399999999994</v>
      </c>
      <c r="J953" s="5">
        <v>49976.28</v>
      </c>
      <c r="K953" s="5">
        <v>63</v>
      </c>
      <c r="L953" s="5">
        <v>1</v>
      </c>
      <c r="M953" s="5">
        <v>2</v>
      </c>
      <c r="N953" s="5">
        <v>0</v>
      </c>
      <c r="O953" s="5">
        <v>676.88</v>
      </c>
      <c r="P953" s="6">
        <v>0</v>
      </c>
    </row>
    <row r="954" spans="1:16" ht="23.4" x14ac:dyDescent="0.45">
      <c r="A954" s="4" t="s">
        <v>953</v>
      </c>
      <c r="B954" s="5" t="s">
        <v>6</v>
      </c>
      <c r="C954" s="5">
        <v>31537.32</v>
      </c>
      <c r="D954" s="5">
        <v>54</v>
      </c>
      <c r="E954" s="5">
        <v>0</v>
      </c>
      <c r="F954" s="5">
        <v>0.76300000000000001</v>
      </c>
      <c r="G954" s="5">
        <v>0</v>
      </c>
      <c r="H954" s="5">
        <v>0</v>
      </c>
      <c r="I954" s="5">
        <v>500</v>
      </c>
      <c r="J954" s="5">
        <v>0</v>
      </c>
      <c r="K954" s="5">
        <v>114</v>
      </c>
      <c r="L954" s="5">
        <v>2</v>
      </c>
      <c r="M954" s="5">
        <v>1</v>
      </c>
      <c r="N954" s="5">
        <v>1</v>
      </c>
      <c r="O954" s="5">
        <v>800.49</v>
      </c>
      <c r="P954" s="6">
        <v>0</v>
      </c>
    </row>
    <row r="955" spans="1:16" ht="23.4" x14ac:dyDescent="0.45">
      <c r="A955" s="4" t="s">
        <v>954</v>
      </c>
      <c r="B955" s="5" t="s">
        <v>15</v>
      </c>
      <c r="C955" s="5">
        <v>29767.63</v>
      </c>
      <c r="D955" s="5">
        <v>61</v>
      </c>
      <c r="E955" s="5">
        <v>1</v>
      </c>
      <c r="F955" s="5">
        <v>0.82679999999999998</v>
      </c>
      <c r="G955" s="5">
        <v>0.44929999999999998</v>
      </c>
      <c r="H955" s="5">
        <v>3</v>
      </c>
      <c r="I955" s="5">
        <v>20962.189999999999</v>
      </c>
      <c r="J955" s="5">
        <v>29229.32</v>
      </c>
      <c r="K955" s="5">
        <v>47</v>
      </c>
      <c r="L955" s="5">
        <v>2</v>
      </c>
      <c r="M955" s="5">
        <v>1</v>
      </c>
      <c r="N955" s="5">
        <v>1</v>
      </c>
      <c r="O955" s="5">
        <v>735.98</v>
      </c>
      <c r="P955" s="6">
        <v>0</v>
      </c>
    </row>
    <row r="956" spans="1:16" ht="23.4" x14ac:dyDescent="0.45">
      <c r="A956" s="4" t="s">
        <v>955</v>
      </c>
      <c r="B956" s="5" t="s">
        <v>18</v>
      </c>
      <c r="C956" s="5">
        <v>124624.12</v>
      </c>
      <c r="D956" s="5">
        <v>57</v>
      </c>
      <c r="E956" s="5">
        <v>1</v>
      </c>
      <c r="F956" s="5">
        <v>1</v>
      </c>
      <c r="G956" s="5">
        <v>0</v>
      </c>
      <c r="H956" s="5">
        <v>4</v>
      </c>
      <c r="I956" s="5">
        <v>500</v>
      </c>
      <c r="J956" s="5">
        <v>2210.89</v>
      </c>
      <c r="K956" s="5">
        <v>118</v>
      </c>
      <c r="L956" s="5">
        <v>1</v>
      </c>
      <c r="M956" s="5">
        <v>1</v>
      </c>
      <c r="N956" s="5">
        <v>1</v>
      </c>
      <c r="O956" s="5">
        <v>818.32</v>
      </c>
      <c r="P956" s="6">
        <v>0</v>
      </c>
    </row>
    <row r="957" spans="1:16" ht="23.4" x14ac:dyDescent="0.45">
      <c r="A957" s="4" t="s">
        <v>956</v>
      </c>
      <c r="B957" s="5" t="s">
        <v>1</v>
      </c>
      <c r="C957" s="5">
        <v>71215.289999999994</v>
      </c>
      <c r="D957" s="5">
        <v>37</v>
      </c>
      <c r="E957" s="5">
        <v>0</v>
      </c>
      <c r="F957" s="5">
        <v>0.48060000000000003</v>
      </c>
      <c r="G957" s="5">
        <v>0.82630000000000003</v>
      </c>
      <c r="H957" s="5">
        <v>5</v>
      </c>
      <c r="I957" s="5">
        <v>42443.24</v>
      </c>
      <c r="J957" s="5">
        <v>38083.81</v>
      </c>
      <c r="K957" s="5">
        <v>138</v>
      </c>
      <c r="L957" s="5">
        <v>1</v>
      </c>
      <c r="M957" s="5">
        <v>2</v>
      </c>
      <c r="N957" s="5">
        <v>0</v>
      </c>
      <c r="O957" s="5">
        <v>708.91</v>
      </c>
      <c r="P957" s="6">
        <v>1</v>
      </c>
    </row>
    <row r="958" spans="1:16" ht="23.4" x14ac:dyDescent="0.45">
      <c r="A958" s="4" t="s">
        <v>957</v>
      </c>
      <c r="B958" s="5" t="s">
        <v>6</v>
      </c>
      <c r="C958" s="5">
        <v>70678.34</v>
      </c>
      <c r="D958" s="5">
        <v>50</v>
      </c>
      <c r="E958" s="5">
        <v>0</v>
      </c>
      <c r="F958" s="5">
        <v>0.67600000000000005</v>
      </c>
      <c r="G958" s="5">
        <v>0.46100000000000002</v>
      </c>
      <c r="H958" s="5">
        <v>2</v>
      </c>
      <c r="I958" s="5">
        <v>30774.31</v>
      </c>
      <c r="J958" s="5">
        <v>16587.98</v>
      </c>
      <c r="K958" s="5">
        <v>94</v>
      </c>
      <c r="L958" s="5">
        <v>1</v>
      </c>
      <c r="M958" s="5">
        <v>1</v>
      </c>
      <c r="N958" s="5">
        <v>3</v>
      </c>
      <c r="O958" s="5">
        <v>798.75</v>
      </c>
      <c r="P958" s="6">
        <v>0</v>
      </c>
    </row>
    <row r="959" spans="1:16" ht="23.4" x14ac:dyDescent="0.45">
      <c r="A959" s="4" t="s">
        <v>958</v>
      </c>
      <c r="B959" s="5" t="s">
        <v>4</v>
      </c>
      <c r="C959" s="5">
        <v>135012.49</v>
      </c>
      <c r="D959" s="5">
        <v>46</v>
      </c>
      <c r="E959" s="5">
        <v>0</v>
      </c>
      <c r="F959" s="5">
        <v>0.87739999999999996</v>
      </c>
      <c r="G959" s="5">
        <v>0</v>
      </c>
      <c r="H959" s="5">
        <v>0</v>
      </c>
      <c r="I959" s="5">
        <v>500</v>
      </c>
      <c r="J959" s="5">
        <v>0</v>
      </c>
      <c r="K959" s="5">
        <v>56</v>
      </c>
      <c r="L959" s="5">
        <v>2</v>
      </c>
      <c r="M959" s="5">
        <v>1</v>
      </c>
      <c r="N959" s="5">
        <v>1</v>
      </c>
      <c r="O959" s="5">
        <v>661.23</v>
      </c>
      <c r="P959" s="6">
        <v>0</v>
      </c>
    </row>
    <row r="960" spans="1:16" ht="23.4" x14ac:dyDescent="0.45">
      <c r="A960" s="4" t="s">
        <v>959</v>
      </c>
      <c r="B960" s="5" t="s">
        <v>4</v>
      </c>
      <c r="C960" s="5">
        <v>124982.84</v>
      </c>
      <c r="D960" s="5">
        <v>55</v>
      </c>
      <c r="E960" s="5">
        <v>1</v>
      </c>
      <c r="F960" s="5">
        <v>0.51190000000000002</v>
      </c>
      <c r="G960" s="5">
        <v>0.28239999999999998</v>
      </c>
      <c r="H960" s="5">
        <v>3</v>
      </c>
      <c r="I960" s="5">
        <v>52736.88</v>
      </c>
      <c r="J960" s="5">
        <v>28684.82</v>
      </c>
      <c r="K960" s="5">
        <v>101</v>
      </c>
      <c r="L960" s="5">
        <v>1</v>
      </c>
      <c r="M960" s="5">
        <v>2</v>
      </c>
      <c r="N960" s="5">
        <v>1</v>
      </c>
      <c r="O960" s="5">
        <v>716.01</v>
      </c>
      <c r="P960" s="6">
        <v>0</v>
      </c>
    </row>
    <row r="961" spans="1:16" ht="23.4" x14ac:dyDescent="0.45">
      <c r="A961" s="4" t="s">
        <v>960</v>
      </c>
      <c r="B961" s="5" t="s">
        <v>15</v>
      </c>
      <c r="C961" s="5">
        <v>65028.77</v>
      </c>
      <c r="D961" s="5">
        <v>66</v>
      </c>
      <c r="E961" s="5">
        <v>1</v>
      </c>
      <c r="F961" s="5">
        <v>0.97570000000000001</v>
      </c>
      <c r="G961" s="5">
        <v>0.88739999999999997</v>
      </c>
      <c r="H961" s="5">
        <v>2</v>
      </c>
      <c r="I961" s="5">
        <v>38853.67</v>
      </c>
      <c r="J961" s="5">
        <v>27112.69</v>
      </c>
      <c r="K961" s="5">
        <v>108</v>
      </c>
      <c r="L961" s="5">
        <v>1</v>
      </c>
      <c r="M961" s="5">
        <v>3</v>
      </c>
      <c r="N961" s="5">
        <v>3</v>
      </c>
      <c r="O961" s="5">
        <v>845.36</v>
      </c>
      <c r="P961" s="6">
        <v>0</v>
      </c>
    </row>
    <row r="962" spans="1:16" ht="23.4" x14ac:dyDescent="0.45">
      <c r="A962" s="4" t="s">
        <v>961</v>
      </c>
      <c r="B962" s="5" t="s">
        <v>1</v>
      </c>
      <c r="C962" s="5">
        <v>66146.87</v>
      </c>
      <c r="D962" s="5">
        <v>40</v>
      </c>
      <c r="E962" s="5">
        <v>1</v>
      </c>
      <c r="F962" s="5">
        <v>0.72160000000000002</v>
      </c>
      <c r="G962" s="5">
        <v>0.59019999999999995</v>
      </c>
      <c r="H962" s="5">
        <v>3</v>
      </c>
      <c r="I962" s="5">
        <v>26865.74</v>
      </c>
      <c r="J962" s="5">
        <v>16128.13</v>
      </c>
      <c r="K962" s="5">
        <v>162</v>
      </c>
      <c r="L962" s="5">
        <v>2</v>
      </c>
      <c r="M962" s="5">
        <v>1</v>
      </c>
      <c r="N962" s="5">
        <v>1</v>
      </c>
      <c r="O962" s="5">
        <v>733.07</v>
      </c>
      <c r="P962" s="6">
        <v>0</v>
      </c>
    </row>
    <row r="963" spans="1:16" ht="23.4" x14ac:dyDescent="0.45">
      <c r="A963" s="4" t="s">
        <v>962</v>
      </c>
      <c r="B963" s="5" t="s">
        <v>18</v>
      </c>
      <c r="C963" s="5">
        <v>129769.52</v>
      </c>
      <c r="D963" s="5">
        <v>36</v>
      </c>
      <c r="E963" s="5">
        <v>0</v>
      </c>
      <c r="F963" s="5">
        <v>0.60860000000000003</v>
      </c>
      <c r="G963" s="5">
        <v>0.49299999999999999</v>
      </c>
      <c r="H963" s="5">
        <v>1</v>
      </c>
      <c r="I963" s="5">
        <v>73758.880000000005</v>
      </c>
      <c r="J963" s="5">
        <v>47525.78</v>
      </c>
      <c r="K963" s="5">
        <v>63</v>
      </c>
      <c r="L963" s="5">
        <v>4</v>
      </c>
      <c r="M963" s="5">
        <v>1</v>
      </c>
      <c r="N963" s="5">
        <v>2</v>
      </c>
      <c r="O963" s="5">
        <v>739.32</v>
      </c>
      <c r="P963" s="6">
        <v>0</v>
      </c>
    </row>
    <row r="964" spans="1:16" ht="23.4" x14ac:dyDescent="0.45">
      <c r="A964" s="4" t="s">
        <v>963</v>
      </c>
      <c r="B964" s="5" t="s">
        <v>9</v>
      </c>
      <c r="C964" s="5">
        <v>82974.62</v>
      </c>
      <c r="D964" s="5">
        <v>30</v>
      </c>
      <c r="E964" s="5">
        <v>1</v>
      </c>
      <c r="F964" s="5">
        <v>0.2203</v>
      </c>
      <c r="G964" s="5">
        <v>0.438</v>
      </c>
      <c r="H964" s="5">
        <v>4</v>
      </c>
      <c r="I964" s="5">
        <v>34210.959999999999</v>
      </c>
      <c r="J964" s="5">
        <v>23733.99</v>
      </c>
      <c r="K964" s="5">
        <v>169</v>
      </c>
      <c r="L964" s="5">
        <v>1</v>
      </c>
      <c r="M964" s="5">
        <v>1</v>
      </c>
      <c r="N964" s="5">
        <v>0</v>
      </c>
      <c r="O964" s="5">
        <v>594.59</v>
      </c>
      <c r="P964" s="6">
        <v>0</v>
      </c>
    </row>
    <row r="965" spans="1:16" ht="23.4" x14ac:dyDescent="0.45">
      <c r="A965" s="4" t="s">
        <v>964</v>
      </c>
      <c r="B965" s="5" t="s">
        <v>4</v>
      </c>
      <c r="C965" s="5">
        <v>53294.07</v>
      </c>
      <c r="D965" s="5">
        <v>40</v>
      </c>
      <c r="E965" s="5">
        <v>0</v>
      </c>
      <c r="F965" s="5">
        <v>0.8095</v>
      </c>
      <c r="G965" s="5">
        <v>0.1195</v>
      </c>
      <c r="H965" s="5">
        <v>0</v>
      </c>
      <c r="I965" s="5">
        <v>843.71</v>
      </c>
      <c r="J965" s="5">
        <v>10394.11</v>
      </c>
      <c r="K965" s="5">
        <v>93</v>
      </c>
      <c r="L965" s="5">
        <v>3</v>
      </c>
      <c r="M965" s="5">
        <v>3</v>
      </c>
      <c r="N965" s="5">
        <v>0</v>
      </c>
      <c r="O965" s="5">
        <v>668.87</v>
      </c>
      <c r="P965" s="6">
        <v>0</v>
      </c>
    </row>
    <row r="966" spans="1:16" ht="23.4" x14ac:dyDescent="0.45">
      <c r="A966" s="4" t="s">
        <v>965</v>
      </c>
      <c r="B966" s="5" t="s">
        <v>1</v>
      </c>
      <c r="C966" s="5">
        <v>87835.66</v>
      </c>
      <c r="D966" s="5">
        <v>48</v>
      </c>
      <c r="E966" s="5">
        <v>1</v>
      </c>
      <c r="F966" s="5">
        <v>0.98070000000000002</v>
      </c>
      <c r="G966" s="5">
        <v>0</v>
      </c>
      <c r="H966" s="5">
        <v>0</v>
      </c>
      <c r="I966" s="5">
        <v>500</v>
      </c>
      <c r="J966" s="5">
        <v>0</v>
      </c>
      <c r="K966" s="5">
        <v>80</v>
      </c>
      <c r="L966" s="5">
        <v>1</v>
      </c>
      <c r="M966" s="5">
        <v>1</v>
      </c>
      <c r="N966" s="5">
        <v>3</v>
      </c>
      <c r="O966" s="5">
        <v>703.06</v>
      </c>
      <c r="P966" s="6">
        <v>0</v>
      </c>
    </row>
    <row r="967" spans="1:16" ht="23.4" x14ac:dyDescent="0.45">
      <c r="A967" s="4" t="s">
        <v>966</v>
      </c>
      <c r="B967" s="5" t="s">
        <v>18</v>
      </c>
      <c r="C967" s="5">
        <v>53222.27</v>
      </c>
      <c r="D967" s="5">
        <v>63</v>
      </c>
      <c r="E967" s="5">
        <v>0</v>
      </c>
      <c r="F967" s="5">
        <v>0.3891</v>
      </c>
      <c r="G967" s="5">
        <v>0.41339999999999999</v>
      </c>
      <c r="H967" s="5">
        <v>2</v>
      </c>
      <c r="I967" s="5">
        <v>24108.54</v>
      </c>
      <c r="J967" s="5">
        <v>24222.65</v>
      </c>
      <c r="K967" s="5">
        <v>76</v>
      </c>
      <c r="L967" s="5">
        <v>3</v>
      </c>
      <c r="M967" s="5">
        <v>2</v>
      </c>
      <c r="N967" s="5">
        <v>0</v>
      </c>
      <c r="O967" s="5">
        <v>726.77</v>
      </c>
      <c r="P967" s="6">
        <v>0</v>
      </c>
    </row>
    <row r="968" spans="1:16" ht="23.4" x14ac:dyDescent="0.45">
      <c r="A968" s="4" t="s">
        <v>967</v>
      </c>
      <c r="B968" s="5" t="s">
        <v>15</v>
      </c>
      <c r="C968" s="5">
        <v>89668.3</v>
      </c>
      <c r="D968" s="5">
        <v>21</v>
      </c>
      <c r="E968" s="5">
        <v>1</v>
      </c>
      <c r="F968" s="5">
        <v>0.88780000000000003</v>
      </c>
      <c r="G968" s="5">
        <v>0.76439999999999997</v>
      </c>
      <c r="H968" s="5">
        <v>6</v>
      </c>
      <c r="I968" s="5">
        <v>69339.83</v>
      </c>
      <c r="J968" s="5">
        <v>61702.44</v>
      </c>
      <c r="K968" s="5">
        <v>157</v>
      </c>
      <c r="L968" s="5">
        <v>2</v>
      </c>
      <c r="M968" s="5">
        <v>1</v>
      </c>
      <c r="N968" s="5">
        <v>3</v>
      </c>
      <c r="O968" s="5">
        <v>727.39</v>
      </c>
      <c r="P968" s="6">
        <v>0</v>
      </c>
    </row>
    <row r="969" spans="1:16" ht="23.4" x14ac:dyDescent="0.45">
      <c r="A969" s="4" t="s">
        <v>968</v>
      </c>
      <c r="B969" s="5" t="s">
        <v>18</v>
      </c>
      <c r="C969" s="5">
        <v>43804.09</v>
      </c>
      <c r="D969" s="5">
        <v>57</v>
      </c>
      <c r="E969" s="5">
        <v>0</v>
      </c>
      <c r="F969" s="5">
        <v>0.52800000000000002</v>
      </c>
      <c r="G969" s="5">
        <v>0.61280000000000001</v>
      </c>
      <c r="H969" s="5">
        <v>5</v>
      </c>
      <c r="I969" s="5">
        <v>20173.71</v>
      </c>
      <c r="J969" s="5">
        <v>3749.75</v>
      </c>
      <c r="K969" s="5">
        <v>170</v>
      </c>
      <c r="L969" s="5">
        <v>4</v>
      </c>
      <c r="M969" s="5">
        <v>2</v>
      </c>
      <c r="N969" s="5">
        <v>0</v>
      </c>
      <c r="O969" s="5">
        <v>616.54999999999995</v>
      </c>
      <c r="P969" s="6">
        <v>0</v>
      </c>
    </row>
    <row r="970" spans="1:16" ht="23.4" x14ac:dyDescent="0.45">
      <c r="A970" s="4" t="s">
        <v>969</v>
      </c>
      <c r="B970" s="5" t="s">
        <v>6</v>
      </c>
      <c r="C970" s="5">
        <v>46907.040000000001</v>
      </c>
      <c r="D970" s="5">
        <v>59</v>
      </c>
      <c r="E970" s="5">
        <v>1</v>
      </c>
      <c r="F970" s="5">
        <v>0.9294</v>
      </c>
      <c r="G970" s="5">
        <v>0.17949999999999999</v>
      </c>
      <c r="H970" s="5">
        <v>2</v>
      </c>
      <c r="I970" s="5">
        <v>7922.34</v>
      </c>
      <c r="J970" s="5">
        <v>0</v>
      </c>
      <c r="K970" s="5">
        <v>118</v>
      </c>
      <c r="L970" s="5">
        <v>3</v>
      </c>
      <c r="M970" s="5">
        <v>2</v>
      </c>
      <c r="N970" s="5">
        <v>1</v>
      </c>
      <c r="O970" s="5">
        <v>849.41</v>
      </c>
      <c r="P970" s="6">
        <v>0</v>
      </c>
    </row>
    <row r="971" spans="1:16" ht="23.4" x14ac:dyDescent="0.45">
      <c r="A971" s="4" t="s">
        <v>970</v>
      </c>
      <c r="B971" s="5" t="s">
        <v>1</v>
      </c>
      <c r="C971" s="5">
        <v>59752.17</v>
      </c>
      <c r="D971" s="5">
        <v>70</v>
      </c>
      <c r="E971" s="5">
        <v>0</v>
      </c>
      <c r="F971" s="5">
        <v>0.30249999999999999</v>
      </c>
      <c r="G971" s="5">
        <v>0.627</v>
      </c>
      <c r="H971" s="5">
        <v>4</v>
      </c>
      <c r="I971" s="5">
        <v>46719.62</v>
      </c>
      <c r="J971" s="5">
        <v>19467.03</v>
      </c>
      <c r="K971" s="5">
        <v>80</v>
      </c>
      <c r="L971" s="5">
        <v>3</v>
      </c>
      <c r="M971" s="5">
        <v>2</v>
      </c>
      <c r="N971" s="5">
        <v>1</v>
      </c>
      <c r="O971" s="5">
        <v>596.96</v>
      </c>
      <c r="P971" s="6">
        <v>0</v>
      </c>
    </row>
    <row r="972" spans="1:16" ht="23.4" x14ac:dyDescent="0.45">
      <c r="A972" s="4" t="s">
        <v>971</v>
      </c>
      <c r="B972" s="5" t="s">
        <v>6</v>
      </c>
      <c r="C972" s="5">
        <v>88164.89</v>
      </c>
      <c r="D972" s="5">
        <v>43</v>
      </c>
      <c r="E972" s="5">
        <v>1</v>
      </c>
      <c r="F972" s="5">
        <v>1</v>
      </c>
      <c r="G972" s="5">
        <v>1.0699999999999999E-2</v>
      </c>
      <c r="H972" s="5">
        <v>5</v>
      </c>
      <c r="I972" s="5">
        <v>500</v>
      </c>
      <c r="J972" s="5">
        <v>14203.92</v>
      </c>
      <c r="K972" s="5">
        <v>89</v>
      </c>
      <c r="L972" s="5">
        <v>2</v>
      </c>
      <c r="M972" s="5">
        <v>3</v>
      </c>
      <c r="N972" s="5">
        <v>0</v>
      </c>
      <c r="O972" s="5">
        <v>780.28</v>
      </c>
      <c r="P972" s="6">
        <v>0</v>
      </c>
    </row>
    <row r="973" spans="1:16" ht="23.4" x14ac:dyDescent="0.45">
      <c r="A973" s="4" t="s">
        <v>972</v>
      </c>
      <c r="B973" s="5" t="s">
        <v>15</v>
      </c>
      <c r="C973" s="5">
        <v>60305.95</v>
      </c>
      <c r="D973" s="5">
        <v>56</v>
      </c>
      <c r="E973" s="5">
        <v>1</v>
      </c>
      <c r="F973" s="5">
        <v>0.504</v>
      </c>
      <c r="G973" s="5">
        <v>7.0300000000000001E-2</v>
      </c>
      <c r="H973" s="5">
        <v>1</v>
      </c>
      <c r="I973" s="5">
        <v>500</v>
      </c>
      <c r="J973" s="5">
        <v>4730.42</v>
      </c>
      <c r="K973" s="5">
        <v>28</v>
      </c>
      <c r="L973" s="5">
        <v>1</v>
      </c>
      <c r="M973" s="5">
        <v>2</v>
      </c>
      <c r="N973" s="5">
        <v>1</v>
      </c>
      <c r="O973" s="5">
        <v>767.18</v>
      </c>
      <c r="P973" s="6">
        <v>0</v>
      </c>
    </row>
    <row r="974" spans="1:16" ht="23.4" x14ac:dyDescent="0.45">
      <c r="A974" s="4" t="s">
        <v>973</v>
      </c>
      <c r="B974" s="5" t="s">
        <v>4</v>
      </c>
      <c r="C974" s="5">
        <v>101872.96000000001</v>
      </c>
      <c r="D974" s="5">
        <v>27</v>
      </c>
      <c r="E974" s="5">
        <v>0</v>
      </c>
      <c r="F974" s="5">
        <v>1</v>
      </c>
      <c r="G974" s="5">
        <v>0.49340000000000001</v>
      </c>
      <c r="H974" s="5">
        <v>3</v>
      </c>
      <c r="I974" s="5">
        <v>32885.39</v>
      </c>
      <c r="J974" s="5">
        <v>32517.07</v>
      </c>
      <c r="K974" s="5">
        <v>169</v>
      </c>
      <c r="L974" s="5">
        <v>1</v>
      </c>
      <c r="M974" s="5">
        <v>1</v>
      </c>
      <c r="N974" s="5">
        <v>0</v>
      </c>
      <c r="O974" s="5">
        <v>715.78</v>
      </c>
      <c r="P974" s="6">
        <v>0</v>
      </c>
    </row>
    <row r="975" spans="1:16" ht="23.4" x14ac:dyDescent="0.45">
      <c r="A975" s="4" t="s">
        <v>974</v>
      </c>
      <c r="B975" s="5" t="s">
        <v>18</v>
      </c>
      <c r="C975" s="5">
        <v>49675.64</v>
      </c>
      <c r="D975" s="5">
        <v>44</v>
      </c>
      <c r="E975" s="5">
        <v>1</v>
      </c>
      <c r="F975" s="5">
        <v>0.71519999999999995</v>
      </c>
      <c r="G975" s="5">
        <v>0</v>
      </c>
      <c r="H975" s="5">
        <v>0</v>
      </c>
      <c r="I975" s="5">
        <v>6544.17</v>
      </c>
      <c r="J975" s="5">
        <v>0</v>
      </c>
      <c r="K975" s="5">
        <v>170</v>
      </c>
      <c r="L975" s="5">
        <v>2</v>
      </c>
      <c r="M975" s="5">
        <v>2</v>
      </c>
      <c r="N975" s="5">
        <v>1</v>
      </c>
      <c r="O975" s="5">
        <v>671.23</v>
      </c>
      <c r="P975" s="6">
        <v>0</v>
      </c>
    </row>
    <row r="976" spans="1:16" ht="23.4" x14ac:dyDescent="0.45">
      <c r="A976" s="4" t="s">
        <v>975</v>
      </c>
      <c r="B976" s="5" t="s">
        <v>18</v>
      </c>
      <c r="C976" s="5">
        <v>79968.92</v>
      </c>
      <c r="D976" s="5">
        <v>26</v>
      </c>
      <c r="E976" s="5">
        <v>1</v>
      </c>
      <c r="F976" s="5">
        <v>0.5746</v>
      </c>
      <c r="G976" s="5">
        <v>0.26769999999999999</v>
      </c>
      <c r="H976" s="5">
        <v>0</v>
      </c>
      <c r="I976" s="5">
        <v>6188.75</v>
      </c>
      <c r="J976" s="5">
        <v>0</v>
      </c>
      <c r="K976" s="5">
        <v>43</v>
      </c>
      <c r="L976" s="5">
        <v>2</v>
      </c>
      <c r="M976" s="5">
        <v>2</v>
      </c>
      <c r="N976" s="5">
        <v>0</v>
      </c>
      <c r="O976" s="5">
        <v>722.24</v>
      </c>
      <c r="P976" s="6">
        <v>0</v>
      </c>
    </row>
    <row r="977" spans="1:16" ht="23.4" x14ac:dyDescent="0.45">
      <c r="A977" s="4" t="s">
        <v>976</v>
      </c>
      <c r="B977" s="5" t="s">
        <v>9</v>
      </c>
      <c r="C977" s="5">
        <v>80005.72</v>
      </c>
      <c r="D977" s="5">
        <v>39</v>
      </c>
      <c r="E977" s="5">
        <v>1</v>
      </c>
      <c r="F977" s="5">
        <v>0.29780000000000001</v>
      </c>
      <c r="G977" s="5">
        <v>0</v>
      </c>
      <c r="H977" s="5">
        <v>0</v>
      </c>
      <c r="I977" s="5">
        <v>9573.6200000000008</v>
      </c>
      <c r="J977" s="5">
        <v>7736.71</v>
      </c>
      <c r="K977" s="5">
        <v>45</v>
      </c>
      <c r="L977" s="5">
        <v>2</v>
      </c>
      <c r="M977" s="5">
        <v>1</v>
      </c>
      <c r="N977" s="5">
        <v>1</v>
      </c>
      <c r="O977" s="5">
        <v>645.72</v>
      </c>
      <c r="P977" s="6">
        <v>0</v>
      </c>
    </row>
    <row r="978" spans="1:16" ht="23.4" x14ac:dyDescent="0.45">
      <c r="A978" s="4" t="s">
        <v>977</v>
      </c>
      <c r="B978" s="5" t="s">
        <v>9</v>
      </c>
      <c r="C978" s="5">
        <v>123578.66</v>
      </c>
      <c r="D978" s="5">
        <v>35</v>
      </c>
      <c r="E978" s="5">
        <v>1</v>
      </c>
      <c r="F978" s="5">
        <v>0.68420000000000003</v>
      </c>
      <c r="G978" s="5">
        <v>0</v>
      </c>
      <c r="H978" s="5">
        <v>2</v>
      </c>
      <c r="I978" s="5">
        <v>7691.45</v>
      </c>
      <c r="J978" s="5">
        <v>10496.05</v>
      </c>
      <c r="K978" s="5">
        <v>11</v>
      </c>
      <c r="L978" s="5">
        <v>3</v>
      </c>
      <c r="M978" s="5">
        <v>1</v>
      </c>
      <c r="N978" s="5">
        <v>0</v>
      </c>
      <c r="O978" s="5">
        <v>530.41999999999996</v>
      </c>
      <c r="P978" s="6">
        <v>0</v>
      </c>
    </row>
    <row r="979" spans="1:16" ht="23.4" x14ac:dyDescent="0.45">
      <c r="A979" s="4" t="s">
        <v>978</v>
      </c>
      <c r="B979" s="5" t="s">
        <v>9</v>
      </c>
      <c r="C979" s="5">
        <v>34117.120000000003</v>
      </c>
      <c r="D979" s="5">
        <v>32</v>
      </c>
      <c r="E979" s="5">
        <v>1</v>
      </c>
      <c r="F979" s="5">
        <v>0.85219999999999996</v>
      </c>
      <c r="G979" s="5">
        <v>0.13070000000000001</v>
      </c>
      <c r="H979" s="5">
        <v>0</v>
      </c>
      <c r="I979" s="5">
        <v>500</v>
      </c>
      <c r="J979" s="5">
        <v>13516.11</v>
      </c>
      <c r="K979" s="5">
        <v>99</v>
      </c>
      <c r="L979" s="5">
        <v>3</v>
      </c>
      <c r="M979" s="5">
        <v>1</v>
      </c>
      <c r="N979" s="5">
        <v>0</v>
      </c>
      <c r="O979" s="5">
        <v>728.8</v>
      </c>
      <c r="P979" s="6">
        <v>0</v>
      </c>
    </row>
    <row r="980" spans="1:16" ht="23.4" x14ac:dyDescent="0.45">
      <c r="A980" s="4" t="s">
        <v>979</v>
      </c>
      <c r="B980" s="5" t="s">
        <v>1</v>
      </c>
      <c r="C980" s="5">
        <v>126468.52</v>
      </c>
      <c r="D980" s="5">
        <v>43</v>
      </c>
      <c r="E980" s="5">
        <v>0</v>
      </c>
      <c r="F980" s="5">
        <v>0.63219999999999998</v>
      </c>
      <c r="G980" s="5">
        <v>0.74019999999999997</v>
      </c>
      <c r="H980" s="5">
        <v>6</v>
      </c>
      <c r="I980" s="5">
        <v>81369.13</v>
      </c>
      <c r="J980" s="5">
        <v>66625.440000000002</v>
      </c>
      <c r="K980" s="5">
        <v>69</v>
      </c>
      <c r="L980" s="5">
        <v>3</v>
      </c>
      <c r="M980" s="5">
        <v>2</v>
      </c>
      <c r="N980" s="5">
        <v>0</v>
      </c>
      <c r="O980" s="5">
        <v>818.3</v>
      </c>
      <c r="P980" s="6">
        <v>0</v>
      </c>
    </row>
    <row r="981" spans="1:16" ht="23.4" x14ac:dyDescent="0.45">
      <c r="A981" s="4" t="s">
        <v>980</v>
      </c>
      <c r="B981" s="5" t="s">
        <v>4</v>
      </c>
      <c r="C981" s="5">
        <v>25106.17</v>
      </c>
      <c r="D981" s="5">
        <v>55</v>
      </c>
      <c r="E981" s="5">
        <v>1</v>
      </c>
      <c r="F981" s="5">
        <v>0.55900000000000005</v>
      </c>
      <c r="G981" s="5">
        <v>0.81799999999999995</v>
      </c>
      <c r="H981" s="5">
        <v>2</v>
      </c>
      <c r="I981" s="5">
        <v>5974.44</v>
      </c>
      <c r="J981" s="5">
        <v>1395.65</v>
      </c>
      <c r="K981" s="5">
        <v>147</v>
      </c>
      <c r="L981" s="5">
        <v>3</v>
      </c>
      <c r="M981" s="5">
        <v>1</v>
      </c>
      <c r="N981" s="5">
        <v>0</v>
      </c>
      <c r="O981" s="5">
        <v>567.08000000000004</v>
      </c>
      <c r="P981" s="6">
        <v>0</v>
      </c>
    </row>
    <row r="982" spans="1:16" ht="23.4" x14ac:dyDescent="0.45">
      <c r="A982" s="4" t="s">
        <v>981</v>
      </c>
      <c r="B982" s="5" t="s">
        <v>9</v>
      </c>
      <c r="C982" s="5">
        <v>43199.39</v>
      </c>
      <c r="D982" s="5">
        <v>58</v>
      </c>
      <c r="E982" s="5">
        <v>1</v>
      </c>
      <c r="F982" s="5">
        <v>0.75309999999999999</v>
      </c>
      <c r="G982" s="5">
        <v>0</v>
      </c>
      <c r="H982" s="5">
        <v>2</v>
      </c>
      <c r="I982" s="5">
        <v>9116.93</v>
      </c>
      <c r="J982" s="5">
        <v>15416.97</v>
      </c>
      <c r="K982" s="5">
        <v>149</v>
      </c>
      <c r="L982" s="5">
        <v>2</v>
      </c>
      <c r="M982" s="5">
        <v>2</v>
      </c>
      <c r="N982" s="5">
        <v>1</v>
      </c>
      <c r="O982" s="5">
        <v>734.46</v>
      </c>
      <c r="P982" s="6">
        <v>0</v>
      </c>
    </row>
    <row r="983" spans="1:16" ht="23.4" x14ac:dyDescent="0.45">
      <c r="A983" s="4" t="s">
        <v>982</v>
      </c>
      <c r="B983" s="5" t="s">
        <v>1</v>
      </c>
      <c r="C983" s="5">
        <v>74274.63</v>
      </c>
      <c r="D983" s="5">
        <v>67</v>
      </c>
      <c r="E983" s="5">
        <v>0</v>
      </c>
      <c r="F983" s="5">
        <v>0.67510000000000003</v>
      </c>
      <c r="G983" s="5">
        <v>0.58799999999999997</v>
      </c>
      <c r="H983" s="5">
        <v>4</v>
      </c>
      <c r="I983" s="5">
        <v>41523.4</v>
      </c>
      <c r="J983" s="5">
        <v>20881.240000000002</v>
      </c>
      <c r="K983" s="5">
        <v>40</v>
      </c>
      <c r="L983" s="5">
        <v>4</v>
      </c>
      <c r="M983" s="5">
        <v>1</v>
      </c>
      <c r="N983" s="5">
        <v>1</v>
      </c>
      <c r="O983" s="5">
        <v>647.27</v>
      </c>
      <c r="P983" s="6">
        <v>0</v>
      </c>
    </row>
    <row r="984" spans="1:16" ht="23.4" x14ac:dyDescent="0.45">
      <c r="A984" s="4" t="s">
        <v>983</v>
      </c>
      <c r="B984" s="5" t="s">
        <v>1</v>
      </c>
      <c r="C984" s="5">
        <v>71623.19</v>
      </c>
      <c r="D984" s="5">
        <v>57</v>
      </c>
      <c r="E984" s="5">
        <v>0</v>
      </c>
      <c r="F984" s="5">
        <v>0.54049999999999998</v>
      </c>
      <c r="G984" s="5">
        <v>0.48920000000000002</v>
      </c>
      <c r="H984" s="5">
        <v>1</v>
      </c>
      <c r="I984" s="5">
        <v>13691.28</v>
      </c>
      <c r="J984" s="5">
        <v>15951.55</v>
      </c>
      <c r="K984" s="5">
        <v>180</v>
      </c>
      <c r="L984" s="5">
        <v>2</v>
      </c>
      <c r="M984" s="5">
        <v>2</v>
      </c>
      <c r="N984" s="5">
        <v>3</v>
      </c>
      <c r="O984" s="5">
        <v>770.76</v>
      </c>
      <c r="P984" s="6">
        <v>0</v>
      </c>
    </row>
    <row r="985" spans="1:16" ht="23.4" x14ac:dyDescent="0.45">
      <c r="A985" s="4" t="s">
        <v>984</v>
      </c>
      <c r="B985" s="5" t="s">
        <v>9</v>
      </c>
      <c r="C985" s="5">
        <v>114639.41</v>
      </c>
      <c r="D985" s="5">
        <v>70</v>
      </c>
      <c r="E985" s="5">
        <v>0</v>
      </c>
      <c r="F985" s="5">
        <v>0.97309999999999997</v>
      </c>
      <c r="G985" s="5">
        <v>0.35110000000000002</v>
      </c>
      <c r="H985" s="5">
        <v>0</v>
      </c>
      <c r="I985" s="5">
        <v>35732.400000000001</v>
      </c>
      <c r="J985" s="5">
        <v>27539.74</v>
      </c>
      <c r="K985" s="5">
        <v>159</v>
      </c>
      <c r="L985" s="5">
        <v>3</v>
      </c>
      <c r="M985" s="5">
        <v>3</v>
      </c>
      <c r="N985" s="5">
        <v>2</v>
      </c>
      <c r="O985" s="5">
        <v>693.57</v>
      </c>
      <c r="P985" s="6">
        <v>0</v>
      </c>
    </row>
    <row r="986" spans="1:16" ht="23.4" x14ac:dyDescent="0.45">
      <c r="A986" s="4" t="s">
        <v>985</v>
      </c>
      <c r="B986" s="5" t="s">
        <v>15</v>
      </c>
      <c r="C986" s="5">
        <v>155535.75</v>
      </c>
      <c r="D986" s="5">
        <v>42</v>
      </c>
      <c r="E986" s="5">
        <v>1</v>
      </c>
      <c r="F986" s="5">
        <v>0.56030000000000002</v>
      </c>
      <c r="G986" s="5">
        <v>0.91200000000000003</v>
      </c>
      <c r="H986" s="5">
        <v>8</v>
      </c>
      <c r="I986" s="5">
        <v>109142.86</v>
      </c>
      <c r="J986" s="5">
        <v>59366.15</v>
      </c>
      <c r="K986" s="5">
        <v>105</v>
      </c>
      <c r="L986" s="5">
        <v>3</v>
      </c>
      <c r="M986" s="5">
        <v>1</v>
      </c>
      <c r="N986" s="5">
        <v>1</v>
      </c>
      <c r="O986" s="5">
        <v>666.16</v>
      </c>
      <c r="P986" s="6">
        <v>0</v>
      </c>
    </row>
    <row r="987" spans="1:16" ht="23.4" x14ac:dyDescent="0.45">
      <c r="A987" s="4" t="s">
        <v>986</v>
      </c>
      <c r="B987" s="5" t="s">
        <v>15</v>
      </c>
      <c r="C987" s="5">
        <v>66568.72</v>
      </c>
      <c r="D987" s="5">
        <v>32</v>
      </c>
      <c r="E987" s="5">
        <v>0</v>
      </c>
      <c r="F987" s="5">
        <v>0.59089999999999998</v>
      </c>
      <c r="G987" s="5">
        <v>0</v>
      </c>
      <c r="H987" s="5">
        <v>0</v>
      </c>
      <c r="I987" s="5">
        <v>500</v>
      </c>
      <c r="J987" s="5">
        <v>0</v>
      </c>
      <c r="K987" s="5">
        <v>171</v>
      </c>
      <c r="L987" s="5">
        <v>2</v>
      </c>
      <c r="M987" s="5">
        <v>1</v>
      </c>
      <c r="N987" s="5">
        <v>1</v>
      </c>
      <c r="O987" s="5">
        <v>745.88</v>
      </c>
      <c r="P987" s="6">
        <v>0</v>
      </c>
    </row>
    <row r="988" spans="1:16" ht="23.4" x14ac:dyDescent="0.45">
      <c r="A988" s="4" t="s">
        <v>987</v>
      </c>
      <c r="B988" s="5" t="s">
        <v>6</v>
      </c>
      <c r="C988" s="5">
        <v>150927.49</v>
      </c>
      <c r="D988" s="5">
        <v>56</v>
      </c>
      <c r="E988" s="5">
        <v>1</v>
      </c>
      <c r="F988" s="5">
        <v>0.7349</v>
      </c>
      <c r="G988" s="5">
        <v>0.62509999999999999</v>
      </c>
      <c r="H988" s="5">
        <v>4</v>
      </c>
      <c r="I988" s="5">
        <v>113265.88</v>
      </c>
      <c r="J988" s="5">
        <v>96554.7</v>
      </c>
      <c r="K988" s="5">
        <v>141</v>
      </c>
      <c r="L988" s="5">
        <v>1</v>
      </c>
      <c r="M988" s="5">
        <v>1</v>
      </c>
      <c r="N988" s="5">
        <v>0</v>
      </c>
      <c r="O988" s="5">
        <v>712.22</v>
      </c>
      <c r="P988" s="6">
        <v>0</v>
      </c>
    </row>
    <row r="989" spans="1:16" ht="23.4" x14ac:dyDescent="0.45">
      <c r="A989" s="4" t="s">
        <v>988</v>
      </c>
      <c r="B989" s="5" t="s">
        <v>15</v>
      </c>
      <c r="C989" s="5">
        <v>34548.49</v>
      </c>
      <c r="D989" s="5">
        <v>25</v>
      </c>
      <c r="E989" s="5">
        <v>1</v>
      </c>
      <c r="F989" s="5">
        <v>0.82430000000000003</v>
      </c>
      <c r="G989" s="5">
        <v>0.35560000000000003</v>
      </c>
      <c r="H989" s="5">
        <v>1</v>
      </c>
      <c r="I989" s="5">
        <v>5743.71</v>
      </c>
      <c r="J989" s="5">
        <v>5644.7</v>
      </c>
      <c r="K989" s="5">
        <v>180</v>
      </c>
      <c r="L989" s="5">
        <v>3</v>
      </c>
      <c r="M989" s="5">
        <v>2</v>
      </c>
      <c r="N989" s="5">
        <v>1</v>
      </c>
      <c r="O989" s="5">
        <v>774.6</v>
      </c>
      <c r="P989" s="6">
        <v>0</v>
      </c>
    </row>
    <row r="990" spans="1:16" ht="23.4" x14ac:dyDescent="0.45">
      <c r="A990" s="4" t="s">
        <v>989</v>
      </c>
      <c r="B990" s="5" t="s">
        <v>4</v>
      </c>
      <c r="C990" s="5">
        <v>64928.63</v>
      </c>
      <c r="D990" s="5">
        <v>32</v>
      </c>
      <c r="E990" s="5">
        <v>0</v>
      </c>
      <c r="F990" s="5">
        <v>0.30380000000000001</v>
      </c>
      <c r="G990" s="5">
        <v>0</v>
      </c>
      <c r="H990" s="5">
        <v>0</v>
      </c>
      <c r="I990" s="5">
        <v>500</v>
      </c>
      <c r="J990" s="5">
        <v>4034.18</v>
      </c>
      <c r="K990" s="5">
        <v>143</v>
      </c>
      <c r="L990" s="5">
        <v>3</v>
      </c>
      <c r="M990" s="5">
        <v>2</v>
      </c>
      <c r="N990" s="5">
        <v>0</v>
      </c>
      <c r="O990" s="5">
        <v>814.95</v>
      </c>
      <c r="P990" s="6">
        <v>0</v>
      </c>
    </row>
    <row r="991" spans="1:16" ht="23.4" x14ac:dyDescent="0.45">
      <c r="A991" s="4" t="s">
        <v>990</v>
      </c>
      <c r="B991" s="5" t="s">
        <v>4</v>
      </c>
      <c r="C991" s="5">
        <v>47754.52</v>
      </c>
      <c r="D991" s="5">
        <v>64</v>
      </c>
      <c r="E991" s="5">
        <v>0</v>
      </c>
      <c r="F991" s="5">
        <v>0.8024</v>
      </c>
      <c r="G991" s="5">
        <v>0.67379999999999995</v>
      </c>
      <c r="H991" s="5">
        <v>6</v>
      </c>
      <c r="I991" s="5">
        <v>21852.66</v>
      </c>
      <c r="J991" s="5">
        <v>0</v>
      </c>
      <c r="K991" s="5">
        <v>92</v>
      </c>
      <c r="L991" s="5">
        <v>3</v>
      </c>
      <c r="M991" s="5">
        <v>3</v>
      </c>
      <c r="N991" s="5">
        <v>1</v>
      </c>
      <c r="O991" s="5">
        <v>567.27</v>
      </c>
      <c r="P991" s="6">
        <v>0</v>
      </c>
    </row>
    <row r="992" spans="1:16" ht="23.4" x14ac:dyDescent="0.45">
      <c r="A992" s="4" t="s">
        <v>991</v>
      </c>
      <c r="B992" s="5" t="s">
        <v>6</v>
      </c>
      <c r="C992" s="5">
        <v>68801.73</v>
      </c>
      <c r="D992" s="5">
        <v>56</v>
      </c>
      <c r="E992" s="5">
        <v>0</v>
      </c>
      <c r="F992" s="5">
        <v>0.73199999999999998</v>
      </c>
      <c r="G992" s="5">
        <v>0.57230000000000003</v>
      </c>
      <c r="H992" s="5">
        <v>4</v>
      </c>
      <c r="I992" s="5">
        <v>63415.17</v>
      </c>
      <c r="J992" s="5">
        <v>59708.74</v>
      </c>
      <c r="K992" s="5">
        <v>131</v>
      </c>
      <c r="L992" s="5">
        <v>1</v>
      </c>
      <c r="M992" s="5">
        <v>1</v>
      </c>
      <c r="N992" s="5">
        <v>0</v>
      </c>
      <c r="O992" s="5">
        <v>809.14</v>
      </c>
      <c r="P992" s="6">
        <v>0</v>
      </c>
    </row>
    <row r="993" spans="1:16" ht="23.4" x14ac:dyDescent="0.45">
      <c r="A993" s="4" t="s">
        <v>992</v>
      </c>
      <c r="B993" s="5" t="s">
        <v>18</v>
      </c>
      <c r="C993" s="5">
        <v>39257.72</v>
      </c>
      <c r="D993" s="5">
        <v>63</v>
      </c>
      <c r="E993" s="5">
        <v>0</v>
      </c>
      <c r="F993" s="5">
        <v>0.59940000000000004</v>
      </c>
      <c r="G993" s="5">
        <v>0</v>
      </c>
      <c r="H993" s="5">
        <v>2</v>
      </c>
      <c r="I993" s="5">
        <v>10566.95</v>
      </c>
      <c r="J993" s="5">
        <v>3123.78</v>
      </c>
      <c r="K993" s="5">
        <v>140</v>
      </c>
      <c r="L993" s="5">
        <v>2</v>
      </c>
      <c r="M993" s="5">
        <v>2</v>
      </c>
      <c r="N993" s="5">
        <v>1</v>
      </c>
      <c r="O993" s="5">
        <v>676.78</v>
      </c>
      <c r="P993" s="6">
        <v>0</v>
      </c>
    </row>
    <row r="994" spans="1:16" ht="23.4" x14ac:dyDescent="0.45">
      <c r="A994" s="4" t="s">
        <v>993</v>
      </c>
      <c r="B994" s="5" t="s">
        <v>18</v>
      </c>
      <c r="C994" s="5">
        <v>67196.59</v>
      </c>
      <c r="D994" s="5">
        <v>29</v>
      </c>
      <c r="E994" s="5">
        <v>1</v>
      </c>
      <c r="F994" s="5">
        <v>0.57240000000000002</v>
      </c>
      <c r="G994" s="5">
        <v>0.2427</v>
      </c>
      <c r="H994" s="5">
        <v>2</v>
      </c>
      <c r="I994" s="5">
        <v>31163.08</v>
      </c>
      <c r="J994" s="5">
        <v>16705.419999999998</v>
      </c>
      <c r="K994" s="5">
        <v>117</v>
      </c>
      <c r="L994" s="5">
        <v>2</v>
      </c>
      <c r="M994" s="5">
        <v>1</v>
      </c>
      <c r="N994" s="5">
        <v>1</v>
      </c>
      <c r="O994" s="5">
        <v>669.28</v>
      </c>
      <c r="P994" s="6">
        <v>0</v>
      </c>
    </row>
    <row r="995" spans="1:16" ht="23.4" x14ac:dyDescent="0.45">
      <c r="A995" s="4" t="s">
        <v>994</v>
      </c>
      <c r="B995" s="5" t="s">
        <v>15</v>
      </c>
      <c r="C995" s="5">
        <v>136634.19</v>
      </c>
      <c r="D995" s="5">
        <v>52</v>
      </c>
      <c r="E995" s="5">
        <v>1</v>
      </c>
      <c r="F995" s="5">
        <v>1</v>
      </c>
      <c r="G995" s="5">
        <v>0.37919999999999998</v>
      </c>
      <c r="H995" s="5">
        <v>3</v>
      </c>
      <c r="I995" s="5">
        <v>28771.73</v>
      </c>
      <c r="J995" s="5">
        <v>20719.21</v>
      </c>
      <c r="K995" s="5">
        <v>28</v>
      </c>
      <c r="L995" s="5">
        <v>1</v>
      </c>
      <c r="M995" s="5">
        <v>2</v>
      </c>
      <c r="N995" s="5">
        <v>2</v>
      </c>
      <c r="O995" s="5">
        <v>736.65</v>
      </c>
      <c r="P995" s="6">
        <v>0</v>
      </c>
    </row>
    <row r="996" spans="1:16" ht="23.4" x14ac:dyDescent="0.45">
      <c r="A996" s="4" t="s">
        <v>995</v>
      </c>
      <c r="B996" s="5" t="s">
        <v>18</v>
      </c>
      <c r="C996" s="5">
        <v>43302.13</v>
      </c>
      <c r="D996" s="5">
        <v>55</v>
      </c>
      <c r="E996" s="5">
        <v>0</v>
      </c>
      <c r="F996" s="5">
        <v>0.4461</v>
      </c>
      <c r="G996" s="5">
        <v>1</v>
      </c>
      <c r="H996" s="5">
        <v>6</v>
      </c>
      <c r="I996" s="5">
        <v>32831.07</v>
      </c>
      <c r="J996" s="5">
        <v>23920.49</v>
      </c>
      <c r="K996" s="5">
        <v>143</v>
      </c>
      <c r="L996" s="5">
        <v>1</v>
      </c>
      <c r="M996" s="5">
        <v>2</v>
      </c>
      <c r="N996" s="5">
        <v>2</v>
      </c>
      <c r="O996" s="5">
        <v>618.27</v>
      </c>
      <c r="P996" s="6">
        <v>1</v>
      </c>
    </row>
    <row r="997" spans="1:16" ht="23.4" x14ac:dyDescent="0.45">
      <c r="A997" s="4" t="s">
        <v>996</v>
      </c>
      <c r="B997" s="5" t="s">
        <v>4</v>
      </c>
      <c r="C997" s="5">
        <v>35312.03</v>
      </c>
      <c r="D997" s="5">
        <v>44</v>
      </c>
      <c r="E997" s="5">
        <v>0</v>
      </c>
      <c r="F997" s="5">
        <v>0.67459999999999998</v>
      </c>
      <c r="G997" s="5">
        <v>0.33129999999999998</v>
      </c>
      <c r="H997" s="5">
        <v>3</v>
      </c>
      <c r="I997" s="5">
        <v>27872.19</v>
      </c>
      <c r="J997" s="5">
        <v>20895.93</v>
      </c>
      <c r="K997" s="5">
        <v>87</v>
      </c>
      <c r="L997" s="5">
        <v>1</v>
      </c>
      <c r="M997" s="5">
        <v>1</v>
      </c>
      <c r="N997" s="5">
        <v>0</v>
      </c>
      <c r="O997" s="5">
        <v>743.5</v>
      </c>
      <c r="P997" s="6">
        <v>0</v>
      </c>
    </row>
    <row r="998" spans="1:16" ht="23.4" x14ac:dyDescent="0.45">
      <c r="A998" s="4" t="s">
        <v>997</v>
      </c>
      <c r="B998" s="5" t="s">
        <v>4</v>
      </c>
      <c r="C998" s="5">
        <v>191179.68</v>
      </c>
      <c r="D998" s="5">
        <v>34</v>
      </c>
      <c r="E998" s="5">
        <v>1</v>
      </c>
      <c r="F998" s="5">
        <v>0.74419999999999997</v>
      </c>
      <c r="G998" s="5">
        <v>0.50070000000000003</v>
      </c>
      <c r="H998" s="5">
        <v>2</v>
      </c>
      <c r="I998" s="5">
        <v>87560.23</v>
      </c>
      <c r="J998" s="5">
        <v>77866.83</v>
      </c>
      <c r="K998" s="5">
        <v>174</v>
      </c>
      <c r="L998" s="5">
        <v>3</v>
      </c>
      <c r="M998" s="5">
        <v>2</v>
      </c>
      <c r="N998" s="5">
        <v>3</v>
      </c>
      <c r="O998" s="5">
        <v>811.19</v>
      </c>
      <c r="P998" s="6">
        <v>0</v>
      </c>
    </row>
    <row r="999" spans="1:16" ht="23.4" x14ac:dyDescent="0.45">
      <c r="A999" s="4" t="s">
        <v>998</v>
      </c>
      <c r="B999" s="5" t="s">
        <v>9</v>
      </c>
      <c r="C999" s="5">
        <v>83172.289999999994</v>
      </c>
      <c r="D999" s="5">
        <v>46</v>
      </c>
      <c r="E999" s="5">
        <v>1</v>
      </c>
      <c r="F999" s="5">
        <v>0.80620000000000003</v>
      </c>
      <c r="G999" s="5">
        <v>0.43840000000000001</v>
      </c>
      <c r="H999" s="5">
        <v>3</v>
      </c>
      <c r="I999" s="5">
        <v>58743.45</v>
      </c>
      <c r="J999" s="5">
        <v>48625.21</v>
      </c>
      <c r="K999" s="5">
        <v>152</v>
      </c>
      <c r="L999" s="5">
        <v>2</v>
      </c>
      <c r="M999" s="5">
        <v>3</v>
      </c>
      <c r="N999" s="5">
        <v>0</v>
      </c>
      <c r="O999" s="5">
        <v>669.18</v>
      </c>
      <c r="P999" s="6">
        <v>0</v>
      </c>
    </row>
    <row r="1000" spans="1:16" ht="23.4" x14ac:dyDescent="0.45">
      <c r="A1000" s="4" t="s">
        <v>999</v>
      </c>
      <c r="B1000" s="5" t="s">
        <v>1</v>
      </c>
      <c r="C1000" s="5">
        <v>33147.78</v>
      </c>
      <c r="D1000" s="5">
        <v>47</v>
      </c>
      <c r="E1000" s="5">
        <v>1</v>
      </c>
      <c r="F1000" s="5">
        <v>0.33639999999999998</v>
      </c>
      <c r="G1000" s="5">
        <v>0.30499999999999999</v>
      </c>
      <c r="H1000" s="5">
        <v>0</v>
      </c>
      <c r="I1000" s="5">
        <v>500</v>
      </c>
      <c r="J1000" s="5">
        <v>3602.18</v>
      </c>
      <c r="K1000" s="5">
        <v>54</v>
      </c>
      <c r="L1000" s="5">
        <v>3</v>
      </c>
      <c r="M1000" s="5">
        <v>1</v>
      </c>
      <c r="N1000" s="5">
        <v>1</v>
      </c>
      <c r="O1000" s="5">
        <v>623.82000000000005</v>
      </c>
      <c r="P1000" s="6">
        <v>0</v>
      </c>
    </row>
    <row r="1001" spans="1:16" ht="23.4" x14ac:dyDescent="0.45">
      <c r="A1001" s="4" t="s">
        <v>1000</v>
      </c>
      <c r="B1001" s="5" t="s">
        <v>9</v>
      </c>
      <c r="C1001" s="5">
        <v>57768.49</v>
      </c>
      <c r="D1001" s="5">
        <v>49</v>
      </c>
      <c r="E1001" s="5">
        <v>1</v>
      </c>
      <c r="F1001" s="5">
        <v>0.91090000000000004</v>
      </c>
      <c r="G1001" s="5">
        <v>0.67689999999999995</v>
      </c>
      <c r="H1001" s="5">
        <v>5</v>
      </c>
      <c r="I1001" s="5">
        <v>42272.86</v>
      </c>
      <c r="J1001" s="5">
        <v>39980.129999999997</v>
      </c>
      <c r="K1001" s="5">
        <v>23</v>
      </c>
      <c r="L1001" s="5">
        <v>1</v>
      </c>
      <c r="M1001" s="5">
        <v>1</v>
      </c>
      <c r="N1001" s="5">
        <v>2</v>
      </c>
      <c r="O1001" s="5">
        <v>794.44</v>
      </c>
      <c r="P1001" s="6">
        <v>0</v>
      </c>
    </row>
    <row r="1002" spans="1:16" ht="23.4" x14ac:dyDescent="0.45">
      <c r="A1002" s="4" t="s">
        <v>1001</v>
      </c>
      <c r="B1002" s="5" t="s">
        <v>18</v>
      </c>
      <c r="C1002" s="5">
        <v>46275.35</v>
      </c>
      <c r="D1002" s="5">
        <v>46</v>
      </c>
      <c r="E1002" s="5">
        <v>1</v>
      </c>
      <c r="F1002" s="5">
        <v>0.28079999999999999</v>
      </c>
      <c r="G1002" s="5">
        <v>0.35539999999999999</v>
      </c>
      <c r="H1002" s="5">
        <v>4</v>
      </c>
      <c r="I1002" s="5">
        <v>23635.89</v>
      </c>
      <c r="J1002" s="5">
        <v>7199.91</v>
      </c>
      <c r="K1002" s="5">
        <v>36</v>
      </c>
      <c r="L1002" s="5">
        <v>2</v>
      </c>
      <c r="M1002" s="5">
        <v>2</v>
      </c>
      <c r="N1002" s="5">
        <v>0</v>
      </c>
      <c r="O1002" s="5">
        <v>754.68</v>
      </c>
      <c r="P1002" s="6">
        <v>0</v>
      </c>
    </row>
    <row r="1003" spans="1:16" ht="23.4" x14ac:dyDescent="0.45">
      <c r="A1003" s="4" t="s">
        <v>1002</v>
      </c>
      <c r="B1003" s="5" t="s">
        <v>6</v>
      </c>
      <c r="C1003" s="5">
        <v>135050.39000000001</v>
      </c>
      <c r="D1003" s="5">
        <v>54</v>
      </c>
      <c r="E1003" s="5">
        <v>1</v>
      </c>
      <c r="F1003" s="5">
        <v>0.92490000000000006</v>
      </c>
      <c r="G1003" s="5">
        <v>0.39219999999999999</v>
      </c>
      <c r="H1003" s="5">
        <v>4</v>
      </c>
      <c r="I1003" s="5">
        <v>59815.41</v>
      </c>
      <c r="J1003" s="5">
        <v>48604.1</v>
      </c>
      <c r="K1003" s="5">
        <v>23</v>
      </c>
      <c r="L1003" s="5">
        <v>1</v>
      </c>
      <c r="M1003" s="5">
        <v>2</v>
      </c>
      <c r="N1003" s="5">
        <v>0</v>
      </c>
      <c r="O1003" s="5">
        <v>696.41</v>
      </c>
      <c r="P1003" s="6">
        <v>0</v>
      </c>
    </row>
    <row r="1004" spans="1:16" ht="23.4" x14ac:dyDescent="0.45">
      <c r="A1004" s="4" t="s">
        <v>1003</v>
      </c>
      <c r="B1004" s="5" t="s">
        <v>6</v>
      </c>
      <c r="C1004" s="5">
        <v>79316.460000000006</v>
      </c>
      <c r="D1004" s="5">
        <v>53</v>
      </c>
      <c r="E1004" s="5">
        <v>1</v>
      </c>
      <c r="F1004" s="5">
        <v>0.66690000000000005</v>
      </c>
      <c r="G1004" s="5">
        <v>0.41699999999999998</v>
      </c>
      <c r="H1004" s="5">
        <v>1</v>
      </c>
      <c r="I1004" s="5">
        <v>36306.730000000003</v>
      </c>
      <c r="J1004" s="5">
        <v>30990.14</v>
      </c>
      <c r="K1004" s="5">
        <v>151</v>
      </c>
      <c r="L1004" s="5">
        <v>1</v>
      </c>
      <c r="M1004" s="5">
        <v>1</v>
      </c>
      <c r="N1004" s="5">
        <v>2</v>
      </c>
      <c r="O1004" s="5">
        <v>696.47</v>
      </c>
      <c r="P1004" s="6">
        <v>0</v>
      </c>
    </row>
    <row r="1005" spans="1:16" ht="23.4" x14ac:dyDescent="0.45">
      <c r="A1005" s="4" t="s">
        <v>1004</v>
      </c>
      <c r="B1005" s="5" t="s">
        <v>15</v>
      </c>
      <c r="C1005" s="5">
        <v>117958.61</v>
      </c>
      <c r="D1005" s="5">
        <v>62</v>
      </c>
      <c r="E1005" s="5">
        <v>0</v>
      </c>
      <c r="F1005" s="5">
        <v>0.88339999999999996</v>
      </c>
      <c r="G1005" s="5">
        <v>0.4849</v>
      </c>
      <c r="H1005" s="5">
        <v>5</v>
      </c>
      <c r="I1005" s="5">
        <v>51355.69</v>
      </c>
      <c r="J1005" s="5">
        <v>40431.089999999997</v>
      </c>
      <c r="K1005" s="5">
        <v>91</v>
      </c>
      <c r="L1005" s="5">
        <v>2</v>
      </c>
      <c r="M1005" s="5">
        <v>1</v>
      </c>
      <c r="N1005" s="5">
        <v>2</v>
      </c>
      <c r="O1005" s="5">
        <v>800.49</v>
      </c>
      <c r="P1005" s="6">
        <v>0</v>
      </c>
    </row>
    <row r="1006" spans="1:16" ht="23.4" x14ac:dyDescent="0.45">
      <c r="A1006" s="4" t="s">
        <v>728</v>
      </c>
      <c r="B1006" s="5" t="s">
        <v>6</v>
      </c>
      <c r="C1006" s="5">
        <v>91464.41</v>
      </c>
      <c r="D1006" s="5">
        <v>56</v>
      </c>
      <c r="E1006" s="5">
        <v>0</v>
      </c>
      <c r="F1006" s="5">
        <v>0.94520000000000004</v>
      </c>
      <c r="G1006" s="5">
        <v>0.56679999999999997</v>
      </c>
      <c r="H1006" s="5">
        <v>5</v>
      </c>
      <c r="I1006" s="5">
        <v>48837.61</v>
      </c>
      <c r="J1006" s="5">
        <v>41541.78</v>
      </c>
      <c r="K1006" s="5">
        <v>22</v>
      </c>
      <c r="L1006" s="5">
        <v>2</v>
      </c>
      <c r="M1006" s="5">
        <v>2</v>
      </c>
      <c r="N1006" s="5">
        <v>1</v>
      </c>
      <c r="O1006" s="5">
        <v>785.32</v>
      </c>
      <c r="P1006" s="6">
        <v>0</v>
      </c>
    </row>
    <row r="1007" spans="1:16" ht="23.4" x14ac:dyDescent="0.45">
      <c r="A1007" s="4" t="s">
        <v>1005</v>
      </c>
      <c r="B1007" s="5" t="s">
        <v>6</v>
      </c>
      <c r="C1007" s="5">
        <v>181610.56</v>
      </c>
      <c r="D1007" s="5">
        <v>30</v>
      </c>
      <c r="E1007" s="5">
        <v>0</v>
      </c>
      <c r="F1007" s="5">
        <v>0.94740000000000002</v>
      </c>
      <c r="G1007" s="5">
        <v>0.17979999999999999</v>
      </c>
      <c r="H1007" s="5">
        <v>2</v>
      </c>
      <c r="I1007" s="5">
        <v>32698.81</v>
      </c>
      <c r="J1007" s="5">
        <v>32865.06</v>
      </c>
      <c r="K1007" s="5">
        <v>151</v>
      </c>
      <c r="L1007" s="5">
        <v>1</v>
      </c>
      <c r="M1007" s="5">
        <v>1</v>
      </c>
      <c r="N1007" s="5">
        <v>1</v>
      </c>
      <c r="O1007" s="5">
        <v>770.63</v>
      </c>
      <c r="P1007" s="6">
        <v>0</v>
      </c>
    </row>
    <row r="1008" spans="1:16" ht="23.4" x14ac:dyDescent="0.45">
      <c r="A1008" s="4" t="s">
        <v>1006</v>
      </c>
      <c r="B1008" s="5" t="s">
        <v>9</v>
      </c>
      <c r="C1008" s="5">
        <v>148207.32999999999</v>
      </c>
      <c r="D1008" s="5">
        <v>51</v>
      </c>
      <c r="E1008" s="5">
        <v>0</v>
      </c>
      <c r="F1008" s="5">
        <v>0.8296</v>
      </c>
      <c r="G1008" s="5">
        <v>0.73209999999999997</v>
      </c>
      <c r="H1008" s="5">
        <v>3</v>
      </c>
      <c r="I1008" s="5">
        <v>104292.59</v>
      </c>
      <c r="J1008" s="5">
        <v>87165.9</v>
      </c>
      <c r="K1008" s="5">
        <v>121</v>
      </c>
      <c r="L1008" s="5">
        <v>3</v>
      </c>
      <c r="M1008" s="5">
        <v>1</v>
      </c>
      <c r="N1008" s="5">
        <v>1</v>
      </c>
      <c r="O1008" s="5">
        <v>690.94</v>
      </c>
      <c r="P1008" s="6">
        <v>0</v>
      </c>
    </row>
    <row r="1009" spans="1:16" ht="23.4" x14ac:dyDescent="0.45">
      <c r="A1009" s="4" t="s">
        <v>1007</v>
      </c>
      <c r="B1009" s="5" t="s">
        <v>1</v>
      </c>
      <c r="C1009" s="5">
        <v>215977.49</v>
      </c>
      <c r="D1009" s="5">
        <v>51</v>
      </c>
      <c r="E1009" s="5">
        <v>0</v>
      </c>
      <c r="F1009" s="5">
        <v>0.80079999999999996</v>
      </c>
      <c r="G1009" s="5">
        <v>0.3301</v>
      </c>
      <c r="H1009" s="5">
        <v>0</v>
      </c>
      <c r="I1009" s="5">
        <v>68076.58</v>
      </c>
      <c r="J1009" s="5">
        <v>56053.02</v>
      </c>
      <c r="K1009" s="5">
        <v>50</v>
      </c>
      <c r="L1009" s="5">
        <v>4</v>
      </c>
      <c r="M1009" s="5">
        <v>1</v>
      </c>
      <c r="N1009" s="5">
        <v>0</v>
      </c>
      <c r="O1009" s="5">
        <v>787</v>
      </c>
      <c r="P1009" s="6">
        <v>0</v>
      </c>
    </row>
    <row r="1010" spans="1:16" ht="23.4" x14ac:dyDescent="0.45">
      <c r="A1010" s="4" t="s">
        <v>1008</v>
      </c>
      <c r="B1010" s="5" t="s">
        <v>18</v>
      </c>
      <c r="C1010" s="5">
        <v>86997.59</v>
      </c>
      <c r="D1010" s="5">
        <v>40</v>
      </c>
      <c r="E1010" s="5">
        <v>0</v>
      </c>
      <c r="F1010" s="5">
        <v>0.48780000000000001</v>
      </c>
      <c r="G1010" s="5">
        <v>0.57150000000000001</v>
      </c>
      <c r="H1010" s="5">
        <v>5</v>
      </c>
      <c r="I1010" s="5">
        <v>45137.01</v>
      </c>
      <c r="J1010" s="5">
        <v>17174.25</v>
      </c>
      <c r="K1010" s="5">
        <v>64</v>
      </c>
      <c r="L1010" s="5">
        <v>4</v>
      </c>
      <c r="M1010" s="5">
        <v>1</v>
      </c>
      <c r="N1010" s="5">
        <v>1</v>
      </c>
      <c r="O1010" s="5">
        <v>678.75</v>
      </c>
      <c r="P1010" s="6">
        <v>0</v>
      </c>
    </row>
    <row r="1011" spans="1:16" ht="23.4" x14ac:dyDescent="0.45">
      <c r="A1011" s="4" t="s">
        <v>1009</v>
      </c>
      <c r="B1011" s="5" t="s">
        <v>6</v>
      </c>
      <c r="C1011" s="5">
        <v>134332.5</v>
      </c>
      <c r="D1011" s="5">
        <v>50</v>
      </c>
      <c r="E1011" s="5">
        <v>0</v>
      </c>
      <c r="F1011" s="5">
        <v>0.67749999999999999</v>
      </c>
      <c r="G1011" s="5">
        <v>0.13059999999999999</v>
      </c>
      <c r="H1011" s="5">
        <v>0</v>
      </c>
      <c r="I1011" s="5">
        <v>26744.71</v>
      </c>
      <c r="J1011" s="5">
        <v>14235.85</v>
      </c>
      <c r="K1011" s="5">
        <v>141</v>
      </c>
      <c r="L1011" s="5">
        <v>1</v>
      </c>
      <c r="M1011" s="5">
        <v>1</v>
      </c>
      <c r="N1011" s="5">
        <v>0</v>
      </c>
      <c r="O1011" s="5">
        <v>774.61</v>
      </c>
      <c r="P1011" s="6">
        <v>0</v>
      </c>
    </row>
    <row r="1012" spans="1:16" ht="23.4" x14ac:dyDescent="0.45">
      <c r="A1012" s="4" t="s">
        <v>1010</v>
      </c>
      <c r="B1012" s="5" t="s">
        <v>1</v>
      </c>
      <c r="C1012" s="5">
        <v>136285.92000000001</v>
      </c>
      <c r="D1012" s="5">
        <v>60</v>
      </c>
      <c r="E1012" s="5">
        <v>0</v>
      </c>
      <c r="F1012" s="5">
        <v>0.49059999999999998</v>
      </c>
      <c r="G1012" s="5">
        <v>0.21759999999999999</v>
      </c>
      <c r="H1012" s="5">
        <v>3</v>
      </c>
      <c r="I1012" s="5">
        <v>46917.35</v>
      </c>
      <c r="J1012" s="5">
        <v>17189.8</v>
      </c>
      <c r="K1012" s="5">
        <v>101</v>
      </c>
      <c r="L1012" s="5">
        <v>2</v>
      </c>
      <c r="M1012" s="5">
        <v>1</v>
      </c>
      <c r="N1012" s="5">
        <v>0</v>
      </c>
      <c r="O1012" s="5">
        <v>759.13</v>
      </c>
      <c r="P1012" s="6">
        <v>0</v>
      </c>
    </row>
    <row r="1013" spans="1:16" ht="23.4" x14ac:dyDescent="0.45">
      <c r="A1013" s="4" t="s">
        <v>1011</v>
      </c>
      <c r="B1013" s="5" t="s">
        <v>18</v>
      </c>
      <c r="C1013" s="5">
        <v>131261.51999999999</v>
      </c>
      <c r="D1013" s="5">
        <v>70</v>
      </c>
      <c r="E1013" s="5">
        <v>0</v>
      </c>
      <c r="F1013" s="5">
        <v>0.84119999999999995</v>
      </c>
      <c r="G1013" s="5">
        <v>0.21229999999999999</v>
      </c>
      <c r="H1013" s="5">
        <v>2</v>
      </c>
      <c r="I1013" s="5">
        <v>40797.870000000003</v>
      </c>
      <c r="J1013" s="5">
        <v>39093.730000000003</v>
      </c>
      <c r="K1013" s="5">
        <v>138</v>
      </c>
      <c r="L1013" s="5">
        <v>2</v>
      </c>
      <c r="M1013" s="5">
        <v>3</v>
      </c>
      <c r="N1013" s="5">
        <v>0</v>
      </c>
      <c r="O1013" s="5">
        <v>677.78</v>
      </c>
      <c r="P1013" s="6">
        <v>0</v>
      </c>
    </row>
    <row r="1014" spans="1:16" ht="23.4" x14ac:dyDescent="0.45">
      <c r="A1014" s="4" t="s">
        <v>1012</v>
      </c>
      <c r="B1014" s="5" t="s">
        <v>9</v>
      </c>
      <c r="C1014" s="5">
        <v>64766.5</v>
      </c>
      <c r="D1014" s="5">
        <v>68</v>
      </c>
      <c r="E1014" s="5">
        <v>0</v>
      </c>
      <c r="F1014" s="5">
        <v>0.64949999999999997</v>
      </c>
      <c r="G1014" s="5">
        <v>0.21920000000000001</v>
      </c>
      <c r="H1014" s="5">
        <v>0</v>
      </c>
      <c r="I1014" s="5">
        <v>1808.61</v>
      </c>
      <c r="J1014" s="5">
        <v>0</v>
      </c>
      <c r="K1014" s="5">
        <v>56</v>
      </c>
      <c r="L1014" s="5">
        <v>1</v>
      </c>
      <c r="M1014" s="5">
        <v>1</v>
      </c>
      <c r="N1014" s="5">
        <v>0</v>
      </c>
      <c r="O1014" s="5">
        <v>703.03</v>
      </c>
      <c r="P1014" s="6">
        <v>0</v>
      </c>
    </row>
    <row r="1015" spans="1:16" ht="23.4" x14ac:dyDescent="0.45">
      <c r="A1015" s="4" t="s">
        <v>1013</v>
      </c>
      <c r="B1015" s="5" t="s">
        <v>6</v>
      </c>
      <c r="C1015" s="5">
        <v>13883.35</v>
      </c>
      <c r="D1015" s="5">
        <v>60</v>
      </c>
      <c r="E1015" s="5">
        <v>0</v>
      </c>
      <c r="F1015" s="5">
        <v>0.95130000000000003</v>
      </c>
      <c r="G1015" s="5">
        <v>0.25940000000000002</v>
      </c>
      <c r="H1015" s="5">
        <v>1</v>
      </c>
      <c r="I1015" s="5">
        <v>500</v>
      </c>
      <c r="J1015" s="5">
        <v>0</v>
      </c>
      <c r="K1015" s="5">
        <v>27</v>
      </c>
      <c r="L1015" s="5">
        <v>1</v>
      </c>
      <c r="M1015" s="5">
        <v>3</v>
      </c>
      <c r="N1015" s="5">
        <v>2</v>
      </c>
      <c r="O1015" s="5">
        <v>649.04</v>
      </c>
      <c r="P1015" s="6">
        <v>0</v>
      </c>
    </row>
    <row r="1016" spans="1:16" ht="23.4" x14ac:dyDescent="0.45">
      <c r="A1016" s="4" t="s">
        <v>1014</v>
      </c>
      <c r="B1016" s="5" t="s">
        <v>6</v>
      </c>
      <c r="C1016" s="5">
        <v>178012.96</v>
      </c>
      <c r="D1016" s="5">
        <v>43</v>
      </c>
      <c r="E1016" s="5">
        <v>0</v>
      </c>
      <c r="F1016" s="5">
        <v>0.94810000000000005</v>
      </c>
      <c r="G1016" s="5">
        <v>0.44159999999999999</v>
      </c>
      <c r="H1016" s="5">
        <v>4</v>
      </c>
      <c r="I1016" s="5">
        <v>85226.1</v>
      </c>
      <c r="J1016" s="5">
        <v>81331.45</v>
      </c>
      <c r="K1016" s="5">
        <v>98</v>
      </c>
      <c r="L1016" s="5">
        <v>2</v>
      </c>
      <c r="M1016" s="5">
        <v>1</v>
      </c>
      <c r="N1016" s="5">
        <v>2</v>
      </c>
      <c r="O1016" s="5">
        <v>676.92</v>
      </c>
      <c r="P1016" s="6">
        <v>0</v>
      </c>
    </row>
    <row r="1017" spans="1:16" ht="23.4" x14ac:dyDescent="0.45">
      <c r="A1017" s="4" t="s">
        <v>1015</v>
      </c>
      <c r="B1017" s="5" t="s">
        <v>6</v>
      </c>
      <c r="C1017" s="5">
        <v>103469.02</v>
      </c>
      <c r="D1017" s="5">
        <v>40</v>
      </c>
      <c r="E1017" s="5">
        <v>0</v>
      </c>
      <c r="F1017" s="5">
        <v>0.90639999999999998</v>
      </c>
      <c r="G1017" s="5">
        <v>0.59119999999999995</v>
      </c>
      <c r="H1017" s="5">
        <v>4</v>
      </c>
      <c r="I1017" s="5">
        <v>56146.36</v>
      </c>
      <c r="J1017" s="5">
        <v>34320.870000000003</v>
      </c>
      <c r="K1017" s="5">
        <v>164</v>
      </c>
      <c r="L1017" s="5">
        <v>2</v>
      </c>
      <c r="M1017" s="5">
        <v>2</v>
      </c>
      <c r="N1017" s="5">
        <v>1</v>
      </c>
      <c r="O1017" s="5">
        <v>749.05</v>
      </c>
      <c r="P1017" s="6">
        <v>0</v>
      </c>
    </row>
    <row r="1018" spans="1:16" ht="23.4" x14ac:dyDescent="0.45">
      <c r="A1018" s="4" t="s">
        <v>1016</v>
      </c>
      <c r="B1018" s="5" t="s">
        <v>18</v>
      </c>
      <c r="C1018" s="5">
        <v>72967.67</v>
      </c>
      <c r="D1018" s="5">
        <v>36</v>
      </c>
      <c r="E1018" s="5">
        <v>1</v>
      </c>
      <c r="F1018" s="5">
        <v>1</v>
      </c>
      <c r="G1018" s="5">
        <v>0.76500000000000001</v>
      </c>
      <c r="H1018" s="5">
        <v>4</v>
      </c>
      <c r="I1018" s="5">
        <v>65663.08</v>
      </c>
      <c r="J1018" s="5">
        <v>59443.68</v>
      </c>
      <c r="K1018" s="5">
        <v>16</v>
      </c>
      <c r="L1018" s="5">
        <v>1</v>
      </c>
      <c r="M1018" s="5">
        <v>1</v>
      </c>
      <c r="N1018" s="5">
        <v>0</v>
      </c>
      <c r="O1018" s="5">
        <v>714.57</v>
      </c>
      <c r="P1018" s="6">
        <v>0</v>
      </c>
    </row>
    <row r="1019" spans="1:16" ht="23.4" x14ac:dyDescent="0.45">
      <c r="A1019" s="4" t="s">
        <v>1017</v>
      </c>
      <c r="B1019" s="5" t="s">
        <v>9</v>
      </c>
      <c r="C1019" s="5">
        <v>97929.93</v>
      </c>
      <c r="D1019" s="5">
        <v>44</v>
      </c>
      <c r="E1019" s="5">
        <v>1</v>
      </c>
      <c r="F1019" s="5">
        <v>0.94059999999999999</v>
      </c>
      <c r="G1019" s="5">
        <v>0.2606</v>
      </c>
      <c r="H1019" s="5">
        <v>4</v>
      </c>
      <c r="I1019" s="5">
        <v>54431.4</v>
      </c>
      <c r="J1019" s="5">
        <v>61282.31</v>
      </c>
      <c r="K1019" s="5">
        <v>151</v>
      </c>
      <c r="L1019" s="5">
        <v>1</v>
      </c>
      <c r="M1019" s="5">
        <v>1</v>
      </c>
      <c r="N1019" s="5">
        <v>0</v>
      </c>
      <c r="O1019" s="5">
        <v>715.08</v>
      </c>
      <c r="P1019" s="6">
        <v>0</v>
      </c>
    </row>
    <row r="1020" spans="1:16" ht="23.4" x14ac:dyDescent="0.45">
      <c r="A1020" s="4" t="s">
        <v>1018</v>
      </c>
      <c r="B1020" s="5" t="s">
        <v>15</v>
      </c>
      <c r="C1020" s="5">
        <v>117785.31</v>
      </c>
      <c r="D1020" s="5">
        <v>64</v>
      </c>
      <c r="E1020" s="5">
        <v>1</v>
      </c>
      <c r="F1020" s="5">
        <v>0.95099999999999996</v>
      </c>
      <c r="G1020" s="5">
        <v>0.28839999999999999</v>
      </c>
      <c r="H1020" s="5">
        <v>3</v>
      </c>
      <c r="I1020" s="5">
        <v>60477.08</v>
      </c>
      <c r="J1020" s="5">
        <v>46565.23</v>
      </c>
      <c r="K1020" s="5">
        <v>177</v>
      </c>
      <c r="L1020" s="5">
        <v>1</v>
      </c>
      <c r="M1020" s="5">
        <v>2</v>
      </c>
      <c r="N1020" s="5">
        <v>0</v>
      </c>
      <c r="O1020" s="5">
        <v>769.06</v>
      </c>
      <c r="P1020" s="6">
        <v>0</v>
      </c>
    </row>
    <row r="1021" spans="1:16" ht="23.4" x14ac:dyDescent="0.45">
      <c r="A1021" s="4" t="s">
        <v>1019</v>
      </c>
      <c r="B1021" s="5" t="s">
        <v>4</v>
      </c>
      <c r="C1021" s="5">
        <v>13750.74</v>
      </c>
      <c r="D1021" s="5">
        <v>52</v>
      </c>
      <c r="E1021" s="5">
        <v>1</v>
      </c>
      <c r="F1021" s="5">
        <v>1</v>
      </c>
      <c r="G1021" s="5">
        <v>0.45269999999999999</v>
      </c>
      <c r="H1021" s="5">
        <v>2</v>
      </c>
      <c r="I1021" s="5">
        <v>10735.91</v>
      </c>
      <c r="J1021" s="5">
        <v>11692.62</v>
      </c>
      <c r="K1021" s="5">
        <v>77</v>
      </c>
      <c r="L1021" s="5">
        <v>4</v>
      </c>
      <c r="M1021" s="5">
        <v>3</v>
      </c>
      <c r="N1021" s="5">
        <v>0</v>
      </c>
      <c r="O1021" s="5">
        <v>702.27</v>
      </c>
      <c r="P1021" s="6">
        <v>0</v>
      </c>
    </row>
    <row r="1022" spans="1:16" ht="23.4" x14ac:dyDescent="0.45">
      <c r="A1022" s="4" t="s">
        <v>1020</v>
      </c>
      <c r="B1022" s="5" t="s">
        <v>18</v>
      </c>
      <c r="C1022" s="5">
        <v>122500.11</v>
      </c>
      <c r="D1022" s="5">
        <v>65</v>
      </c>
      <c r="E1022" s="5">
        <v>0</v>
      </c>
      <c r="F1022" s="5">
        <v>0.95099999999999996</v>
      </c>
      <c r="G1022" s="5">
        <v>0.3049</v>
      </c>
      <c r="H1022" s="5">
        <v>4</v>
      </c>
      <c r="I1022" s="5">
        <v>33418.28</v>
      </c>
      <c r="J1022" s="5">
        <v>27019.42</v>
      </c>
      <c r="K1022" s="5">
        <v>174</v>
      </c>
      <c r="L1022" s="5">
        <v>2</v>
      </c>
      <c r="M1022" s="5">
        <v>1</v>
      </c>
      <c r="N1022" s="5">
        <v>1</v>
      </c>
      <c r="O1022" s="5">
        <v>850</v>
      </c>
      <c r="P1022" s="6">
        <v>0</v>
      </c>
    </row>
    <row r="1023" spans="1:16" ht="23.4" x14ac:dyDescent="0.45">
      <c r="A1023" s="4" t="s">
        <v>1021</v>
      </c>
      <c r="B1023" s="5" t="s">
        <v>6</v>
      </c>
      <c r="C1023" s="5">
        <v>181114.04</v>
      </c>
      <c r="D1023" s="5">
        <v>68</v>
      </c>
      <c r="E1023" s="5">
        <v>0</v>
      </c>
      <c r="F1023" s="5">
        <v>0.54800000000000004</v>
      </c>
      <c r="G1023" s="5">
        <v>0.30520000000000003</v>
      </c>
      <c r="H1023" s="5">
        <v>3</v>
      </c>
      <c r="I1023" s="5">
        <v>71346.850000000006</v>
      </c>
      <c r="J1023" s="5">
        <v>34755.33</v>
      </c>
      <c r="K1023" s="5">
        <v>75</v>
      </c>
      <c r="L1023" s="5">
        <v>2</v>
      </c>
      <c r="M1023" s="5">
        <v>1</v>
      </c>
      <c r="N1023" s="5">
        <v>2</v>
      </c>
      <c r="O1023" s="5">
        <v>751.02</v>
      </c>
      <c r="P1023" s="6">
        <v>0</v>
      </c>
    </row>
    <row r="1024" spans="1:16" ht="23.4" x14ac:dyDescent="0.45">
      <c r="A1024" s="4" t="s">
        <v>1022</v>
      </c>
      <c r="B1024" s="5" t="s">
        <v>6</v>
      </c>
      <c r="C1024" s="5">
        <v>99790.26</v>
      </c>
      <c r="D1024" s="5">
        <v>42</v>
      </c>
      <c r="E1024" s="5">
        <v>0</v>
      </c>
      <c r="F1024" s="5">
        <v>0.50019999999999998</v>
      </c>
      <c r="G1024" s="5">
        <v>0.55530000000000002</v>
      </c>
      <c r="H1024" s="5">
        <v>5</v>
      </c>
      <c r="I1024" s="5">
        <v>54698.68</v>
      </c>
      <c r="J1024" s="5">
        <v>38046.28</v>
      </c>
      <c r="K1024" s="5">
        <v>78</v>
      </c>
      <c r="L1024" s="5">
        <v>1</v>
      </c>
      <c r="M1024" s="5">
        <v>3</v>
      </c>
      <c r="N1024" s="5">
        <v>2</v>
      </c>
      <c r="O1024" s="5">
        <v>742.16</v>
      </c>
      <c r="P1024" s="6">
        <v>0</v>
      </c>
    </row>
    <row r="1025" spans="1:16" ht="23.4" x14ac:dyDescent="0.45">
      <c r="A1025" s="4" t="s">
        <v>1023</v>
      </c>
      <c r="B1025" s="5" t="s">
        <v>6</v>
      </c>
      <c r="C1025" s="5">
        <v>123860.52</v>
      </c>
      <c r="D1025" s="5">
        <v>53</v>
      </c>
      <c r="E1025" s="5">
        <v>0</v>
      </c>
      <c r="F1025" s="5">
        <v>0.73419999999999996</v>
      </c>
      <c r="G1025" s="5">
        <v>0.36720000000000003</v>
      </c>
      <c r="H1025" s="5">
        <v>5</v>
      </c>
      <c r="I1025" s="5">
        <v>63843.73</v>
      </c>
      <c r="J1025" s="5">
        <v>44508.79</v>
      </c>
      <c r="K1025" s="5">
        <v>22</v>
      </c>
      <c r="L1025" s="5">
        <v>1</v>
      </c>
      <c r="M1025" s="5">
        <v>2</v>
      </c>
      <c r="N1025" s="5">
        <v>1</v>
      </c>
      <c r="O1025" s="5">
        <v>746.16</v>
      </c>
      <c r="P1025" s="6">
        <v>0</v>
      </c>
    </row>
    <row r="1026" spans="1:16" ht="23.4" x14ac:dyDescent="0.45">
      <c r="A1026" s="4" t="s">
        <v>1024</v>
      </c>
      <c r="B1026" s="5" t="s">
        <v>4</v>
      </c>
      <c r="C1026" s="5">
        <v>97391.18</v>
      </c>
      <c r="D1026" s="5">
        <v>42</v>
      </c>
      <c r="E1026" s="5">
        <v>0</v>
      </c>
      <c r="F1026" s="5">
        <v>0.70199999999999996</v>
      </c>
      <c r="G1026" s="5">
        <v>0.63749999999999996</v>
      </c>
      <c r="H1026" s="5">
        <v>2</v>
      </c>
      <c r="I1026" s="5">
        <v>73777.490000000005</v>
      </c>
      <c r="J1026" s="5">
        <v>59557.95</v>
      </c>
      <c r="K1026" s="5">
        <v>123</v>
      </c>
      <c r="L1026" s="5">
        <v>2</v>
      </c>
      <c r="M1026" s="5">
        <v>1</v>
      </c>
      <c r="N1026" s="5">
        <v>1</v>
      </c>
      <c r="O1026" s="5">
        <v>667.73</v>
      </c>
      <c r="P1026" s="6">
        <v>0</v>
      </c>
    </row>
    <row r="1027" spans="1:16" ht="23.4" x14ac:dyDescent="0.45">
      <c r="A1027" s="4" t="s">
        <v>1025</v>
      </c>
      <c r="B1027" s="5" t="s">
        <v>1</v>
      </c>
      <c r="C1027" s="5">
        <v>80058.22</v>
      </c>
      <c r="D1027" s="5">
        <v>68</v>
      </c>
      <c r="E1027" s="5">
        <v>0</v>
      </c>
      <c r="F1027" s="5">
        <v>0.81469999999999998</v>
      </c>
      <c r="G1027" s="5">
        <v>0.32869999999999999</v>
      </c>
      <c r="H1027" s="5">
        <v>2</v>
      </c>
      <c r="I1027" s="5">
        <v>19869.490000000002</v>
      </c>
      <c r="J1027" s="5">
        <v>3316.77</v>
      </c>
      <c r="K1027" s="5">
        <v>59</v>
      </c>
      <c r="L1027" s="5">
        <v>1</v>
      </c>
      <c r="M1027" s="5">
        <v>1</v>
      </c>
      <c r="N1027" s="5">
        <v>0</v>
      </c>
      <c r="O1027" s="5">
        <v>758.79</v>
      </c>
      <c r="P1027" s="6">
        <v>0</v>
      </c>
    </row>
    <row r="1028" spans="1:16" ht="23.4" x14ac:dyDescent="0.45">
      <c r="A1028" s="4" t="s">
        <v>1026</v>
      </c>
      <c r="B1028" s="5" t="s">
        <v>6</v>
      </c>
      <c r="C1028" s="5">
        <v>60503.040000000001</v>
      </c>
      <c r="D1028" s="5">
        <v>52</v>
      </c>
      <c r="E1028" s="5">
        <v>1</v>
      </c>
      <c r="F1028" s="5">
        <v>0.71989999999999998</v>
      </c>
      <c r="G1028" s="5">
        <v>0.27350000000000002</v>
      </c>
      <c r="H1028" s="5">
        <v>1</v>
      </c>
      <c r="I1028" s="5">
        <v>11213.36</v>
      </c>
      <c r="J1028" s="5">
        <v>19385.68</v>
      </c>
      <c r="K1028" s="5">
        <v>21</v>
      </c>
      <c r="L1028" s="5">
        <v>2</v>
      </c>
      <c r="M1028" s="5">
        <v>2</v>
      </c>
      <c r="N1028" s="5">
        <v>0</v>
      </c>
      <c r="O1028" s="5">
        <v>760.79</v>
      </c>
      <c r="P1028" s="6">
        <v>0</v>
      </c>
    </row>
    <row r="1029" spans="1:16" ht="23.4" x14ac:dyDescent="0.45">
      <c r="A1029" s="4" t="s">
        <v>1027</v>
      </c>
      <c r="B1029" s="5" t="s">
        <v>9</v>
      </c>
      <c r="C1029" s="5">
        <v>84320.56</v>
      </c>
      <c r="D1029" s="5">
        <v>57</v>
      </c>
      <c r="E1029" s="5">
        <v>1</v>
      </c>
      <c r="F1029" s="5">
        <v>1</v>
      </c>
      <c r="G1029" s="5">
        <v>0.33379999999999999</v>
      </c>
      <c r="H1029" s="5">
        <v>2</v>
      </c>
      <c r="I1029" s="5">
        <v>22453.97</v>
      </c>
      <c r="J1029" s="5">
        <v>20677.59</v>
      </c>
      <c r="K1029" s="5">
        <v>64</v>
      </c>
      <c r="L1029" s="5">
        <v>1</v>
      </c>
      <c r="M1029" s="5">
        <v>2</v>
      </c>
      <c r="N1029" s="5">
        <v>1</v>
      </c>
      <c r="O1029" s="5">
        <v>792.05</v>
      </c>
      <c r="P1029" s="6">
        <v>0</v>
      </c>
    </row>
    <row r="1030" spans="1:16" ht="23.4" x14ac:dyDescent="0.45">
      <c r="A1030" s="4" t="s">
        <v>1028</v>
      </c>
      <c r="B1030" s="5" t="s">
        <v>18</v>
      </c>
      <c r="C1030" s="5">
        <v>53141.21</v>
      </c>
      <c r="D1030" s="5">
        <v>48</v>
      </c>
      <c r="E1030" s="5">
        <v>1</v>
      </c>
      <c r="F1030" s="5">
        <v>0.69310000000000005</v>
      </c>
      <c r="G1030" s="5">
        <v>0.39860000000000001</v>
      </c>
      <c r="H1030" s="5">
        <v>4</v>
      </c>
      <c r="I1030" s="5">
        <v>21286.5</v>
      </c>
      <c r="J1030" s="5">
        <v>15361.96</v>
      </c>
      <c r="K1030" s="5">
        <v>180</v>
      </c>
      <c r="L1030" s="5">
        <v>1</v>
      </c>
      <c r="M1030" s="5">
        <v>2</v>
      </c>
      <c r="N1030" s="5">
        <v>0</v>
      </c>
      <c r="O1030" s="5">
        <v>752.17</v>
      </c>
      <c r="P1030" s="6">
        <v>0</v>
      </c>
    </row>
    <row r="1031" spans="1:16" ht="23.4" x14ac:dyDescent="0.45">
      <c r="A1031" s="4" t="s">
        <v>1029</v>
      </c>
      <c r="B1031" s="5" t="s">
        <v>9</v>
      </c>
      <c r="C1031" s="5">
        <v>105887.27</v>
      </c>
      <c r="D1031" s="5">
        <v>60</v>
      </c>
      <c r="E1031" s="5">
        <v>1</v>
      </c>
      <c r="F1031" s="5">
        <v>0.70750000000000002</v>
      </c>
      <c r="G1031" s="5">
        <v>0.1351</v>
      </c>
      <c r="H1031" s="5">
        <v>0</v>
      </c>
      <c r="I1031" s="5">
        <v>500</v>
      </c>
      <c r="J1031" s="5">
        <v>0</v>
      </c>
      <c r="K1031" s="5">
        <v>178</v>
      </c>
      <c r="L1031" s="5">
        <v>1</v>
      </c>
      <c r="M1031" s="5">
        <v>2</v>
      </c>
      <c r="N1031" s="5">
        <v>2</v>
      </c>
      <c r="O1031" s="5">
        <v>779.07</v>
      </c>
      <c r="P1031" s="6">
        <v>0</v>
      </c>
    </row>
    <row r="1032" spans="1:16" ht="23.4" x14ac:dyDescent="0.45">
      <c r="A1032" s="4" t="s">
        <v>1030</v>
      </c>
      <c r="B1032" s="5" t="s">
        <v>18</v>
      </c>
      <c r="C1032" s="5">
        <v>61564.62</v>
      </c>
      <c r="D1032" s="5">
        <v>25</v>
      </c>
      <c r="E1032" s="5">
        <v>1</v>
      </c>
      <c r="F1032" s="5">
        <v>0.42659999999999998</v>
      </c>
      <c r="G1032" s="5">
        <v>3.4599999999999999E-2</v>
      </c>
      <c r="H1032" s="5">
        <v>0</v>
      </c>
      <c r="I1032" s="5">
        <v>500</v>
      </c>
      <c r="J1032" s="5">
        <v>7120.24</v>
      </c>
      <c r="K1032" s="5">
        <v>128</v>
      </c>
      <c r="L1032" s="5">
        <v>2</v>
      </c>
      <c r="M1032" s="5">
        <v>1</v>
      </c>
      <c r="N1032" s="5">
        <v>1</v>
      </c>
      <c r="O1032" s="5">
        <v>603.34</v>
      </c>
      <c r="P1032" s="6">
        <v>0</v>
      </c>
    </row>
    <row r="1033" spans="1:16" ht="23.4" x14ac:dyDescent="0.45">
      <c r="A1033" s="4" t="s">
        <v>1031</v>
      </c>
      <c r="B1033" s="5" t="s">
        <v>9</v>
      </c>
      <c r="C1033" s="5">
        <v>68834.78</v>
      </c>
      <c r="D1033" s="5">
        <v>31</v>
      </c>
      <c r="E1033" s="5">
        <v>0</v>
      </c>
      <c r="F1033" s="5">
        <v>0.87990000000000002</v>
      </c>
      <c r="G1033" s="5">
        <v>0.46179999999999999</v>
      </c>
      <c r="H1033" s="5">
        <v>1</v>
      </c>
      <c r="I1033" s="5">
        <v>35437.089999999997</v>
      </c>
      <c r="J1033" s="5">
        <v>40377.81</v>
      </c>
      <c r="K1033" s="5">
        <v>109</v>
      </c>
      <c r="L1033" s="5">
        <v>2</v>
      </c>
      <c r="M1033" s="5">
        <v>2</v>
      </c>
      <c r="N1033" s="5">
        <v>1</v>
      </c>
      <c r="O1033" s="5">
        <v>664.9</v>
      </c>
      <c r="P1033" s="6">
        <v>0</v>
      </c>
    </row>
    <row r="1034" spans="1:16" ht="23.4" x14ac:dyDescent="0.45">
      <c r="A1034" s="4" t="s">
        <v>1032</v>
      </c>
      <c r="B1034" s="5" t="s">
        <v>4</v>
      </c>
      <c r="C1034" s="5">
        <v>90162.83</v>
      </c>
      <c r="D1034" s="5">
        <v>22</v>
      </c>
      <c r="E1034" s="5">
        <v>0</v>
      </c>
      <c r="F1034" s="5">
        <v>0.4914</v>
      </c>
      <c r="G1034" s="5">
        <v>0.70830000000000004</v>
      </c>
      <c r="H1034" s="5">
        <v>2</v>
      </c>
      <c r="I1034" s="5">
        <v>41572.03</v>
      </c>
      <c r="J1034" s="5">
        <v>35759.07</v>
      </c>
      <c r="K1034" s="5">
        <v>44</v>
      </c>
      <c r="L1034" s="5">
        <v>2</v>
      </c>
      <c r="M1034" s="5">
        <v>1</v>
      </c>
      <c r="N1034" s="5">
        <v>1</v>
      </c>
      <c r="O1034" s="5">
        <v>632.85</v>
      </c>
      <c r="P1034" s="6">
        <v>0</v>
      </c>
    </row>
    <row r="1035" spans="1:16" ht="23.4" x14ac:dyDescent="0.45">
      <c r="A1035" s="4" t="s">
        <v>1033</v>
      </c>
      <c r="B1035" s="5" t="s">
        <v>1</v>
      </c>
      <c r="C1035" s="5">
        <v>66434.009999999995</v>
      </c>
      <c r="D1035" s="5">
        <v>32</v>
      </c>
      <c r="E1035" s="5">
        <v>0</v>
      </c>
      <c r="F1035" s="5">
        <v>0.70750000000000002</v>
      </c>
      <c r="G1035" s="5">
        <v>0.44450000000000001</v>
      </c>
      <c r="H1035" s="5">
        <v>1</v>
      </c>
      <c r="I1035" s="5">
        <v>31593.91</v>
      </c>
      <c r="J1035" s="5">
        <v>24603.45</v>
      </c>
      <c r="K1035" s="5">
        <v>46</v>
      </c>
      <c r="L1035" s="5">
        <v>1</v>
      </c>
      <c r="M1035" s="5">
        <v>3</v>
      </c>
      <c r="N1035" s="5">
        <v>1</v>
      </c>
      <c r="O1035" s="5">
        <v>765.95</v>
      </c>
      <c r="P1035" s="6">
        <v>0</v>
      </c>
    </row>
    <row r="1036" spans="1:16" ht="23.4" x14ac:dyDescent="0.45">
      <c r="A1036" s="4" t="s">
        <v>1034</v>
      </c>
      <c r="B1036" s="5" t="s">
        <v>9</v>
      </c>
      <c r="C1036" s="5">
        <v>18079.13</v>
      </c>
      <c r="D1036" s="5">
        <v>48</v>
      </c>
      <c r="E1036" s="5">
        <v>0</v>
      </c>
      <c r="F1036" s="5">
        <v>0.72709999999999997</v>
      </c>
      <c r="G1036" s="5">
        <v>0</v>
      </c>
      <c r="H1036" s="5">
        <v>2</v>
      </c>
      <c r="I1036" s="5">
        <v>500</v>
      </c>
      <c r="J1036" s="5">
        <v>1286.42</v>
      </c>
      <c r="K1036" s="5">
        <v>96</v>
      </c>
      <c r="L1036" s="5">
        <v>4</v>
      </c>
      <c r="M1036" s="5">
        <v>1</v>
      </c>
      <c r="N1036" s="5">
        <v>0</v>
      </c>
      <c r="O1036" s="5">
        <v>688.19</v>
      </c>
      <c r="P1036" s="6">
        <v>0</v>
      </c>
    </row>
    <row r="1037" spans="1:16" ht="23.4" x14ac:dyDescent="0.45">
      <c r="A1037" s="4" t="s">
        <v>1035</v>
      </c>
      <c r="B1037" s="5" t="s">
        <v>4</v>
      </c>
      <c r="C1037" s="5">
        <v>95425.31</v>
      </c>
      <c r="D1037" s="5">
        <v>52</v>
      </c>
      <c r="E1037" s="5">
        <v>1</v>
      </c>
      <c r="F1037" s="5">
        <v>0.76859999999999995</v>
      </c>
      <c r="G1037" s="5">
        <v>0.1552</v>
      </c>
      <c r="H1037" s="5">
        <v>3</v>
      </c>
      <c r="I1037" s="5">
        <v>15853.06</v>
      </c>
      <c r="J1037" s="5">
        <v>17347.13</v>
      </c>
      <c r="K1037" s="5">
        <v>164</v>
      </c>
      <c r="L1037" s="5">
        <v>2</v>
      </c>
      <c r="M1037" s="5">
        <v>1</v>
      </c>
      <c r="N1037" s="5">
        <v>0</v>
      </c>
      <c r="O1037" s="5">
        <v>800.9</v>
      </c>
      <c r="P1037" s="6">
        <v>0</v>
      </c>
    </row>
    <row r="1038" spans="1:16" ht="23.4" x14ac:dyDescent="0.45">
      <c r="A1038" s="4" t="s">
        <v>614</v>
      </c>
      <c r="B1038" s="5" t="s">
        <v>9</v>
      </c>
      <c r="C1038" s="5">
        <v>77105.429999999993</v>
      </c>
      <c r="D1038" s="5">
        <v>29</v>
      </c>
      <c r="E1038" s="5">
        <v>1</v>
      </c>
      <c r="F1038" s="5">
        <v>0.3417</v>
      </c>
      <c r="G1038" s="5">
        <v>0</v>
      </c>
      <c r="H1038" s="5">
        <v>4</v>
      </c>
      <c r="I1038" s="5">
        <v>15061.55</v>
      </c>
      <c r="J1038" s="5">
        <v>11447.61</v>
      </c>
      <c r="K1038" s="5">
        <v>112</v>
      </c>
      <c r="L1038" s="5">
        <v>1</v>
      </c>
      <c r="M1038" s="5">
        <v>3</v>
      </c>
      <c r="N1038" s="5">
        <v>1</v>
      </c>
      <c r="O1038" s="5">
        <v>800.39</v>
      </c>
      <c r="P1038" s="6">
        <v>0</v>
      </c>
    </row>
    <row r="1039" spans="1:16" ht="23.4" x14ac:dyDescent="0.45">
      <c r="A1039" s="4" t="s">
        <v>1036</v>
      </c>
      <c r="B1039" s="5" t="s">
        <v>1</v>
      </c>
      <c r="C1039" s="5">
        <v>38041.43</v>
      </c>
      <c r="D1039" s="5">
        <v>51</v>
      </c>
      <c r="E1039" s="5">
        <v>0</v>
      </c>
      <c r="F1039" s="5">
        <v>0.75829999999999997</v>
      </c>
      <c r="G1039" s="5">
        <v>9.0300000000000005E-2</v>
      </c>
      <c r="H1039" s="5">
        <v>0</v>
      </c>
      <c r="I1039" s="5">
        <v>500</v>
      </c>
      <c r="J1039" s="5">
        <v>1780.17</v>
      </c>
      <c r="K1039" s="5">
        <v>88</v>
      </c>
      <c r="L1039" s="5">
        <v>3</v>
      </c>
      <c r="M1039" s="5">
        <v>2</v>
      </c>
      <c r="N1039" s="5">
        <v>2</v>
      </c>
      <c r="O1039" s="5">
        <v>763.17</v>
      </c>
      <c r="P1039" s="6">
        <v>0</v>
      </c>
    </row>
    <row r="1040" spans="1:16" ht="23.4" x14ac:dyDescent="0.45">
      <c r="A1040" s="4" t="s">
        <v>1037</v>
      </c>
      <c r="B1040" s="5" t="s">
        <v>9</v>
      </c>
      <c r="C1040" s="5">
        <v>26272.11</v>
      </c>
      <c r="D1040" s="5">
        <v>36</v>
      </c>
      <c r="E1040" s="5">
        <v>0</v>
      </c>
      <c r="F1040" s="5">
        <v>0.46750000000000003</v>
      </c>
      <c r="G1040" s="5">
        <v>0.1191</v>
      </c>
      <c r="H1040" s="5">
        <v>1</v>
      </c>
      <c r="I1040" s="5">
        <v>20937.71</v>
      </c>
      <c r="J1040" s="5">
        <v>13453.91</v>
      </c>
      <c r="K1040" s="5">
        <v>30</v>
      </c>
      <c r="L1040" s="5">
        <v>2</v>
      </c>
      <c r="M1040" s="5">
        <v>1</v>
      </c>
      <c r="N1040" s="5">
        <v>0</v>
      </c>
      <c r="O1040" s="5">
        <v>630.82000000000005</v>
      </c>
      <c r="P1040" s="6">
        <v>0</v>
      </c>
    </row>
    <row r="1041" spans="1:16" ht="23.4" x14ac:dyDescent="0.45">
      <c r="A1041" s="4" t="s">
        <v>1038</v>
      </c>
      <c r="B1041" s="5" t="s">
        <v>15</v>
      </c>
      <c r="C1041" s="5">
        <v>80838.179999999993</v>
      </c>
      <c r="D1041" s="5">
        <v>67</v>
      </c>
      <c r="E1041" s="5">
        <v>1</v>
      </c>
      <c r="F1041" s="5">
        <v>0.67810000000000004</v>
      </c>
      <c r="G1041" s="5">
        <v>0.67179999999999995</v>
      </c>
      <c r="H1041" s="5">
        <v>4</v>
      </c>
      <c r="I1041" s="5">
        <v>28145.65</v>
      </c>
      <c r="J1041" s="5">
        <v>18163.169999999998</v>
      </c>
      <c r="K1041" s="5">
        <v>21</v>
      </c>
      <c r="L1041" s="5">
        <v>2</v>
      </c>
      <c r="M1041" s="5">
        <v>1</v>
      </c>
      <c r="N1041" s="5">
        <v>0</v>
      </c>
      <c r="O1041" s="5">
        <v>710.52</v>
      </c>
      <c r="P1041" s="6">
        <v>0</v>
      </c>
    </row>
    <row r="1042" spans="1:16" ht="23.4" x14ac:dyDescent="0.45">
      <c r="A1042" s="4" t="s">
        <v>1039</v>
      </c>
      <c r="B1042" s="5" t="s">
        <v>9</v>
      </c>
      <c r="C1042" s="5">
        <v>48019.06</v>
      </c>
      <c r="D1042" s="5">
        <v>38</v>
      </c>
      <c r="E1042" s="5">
        <v>0</v>
      </c>
      <c r="F1042" s="5">
        <v>0.52329999999999999</v>
      </c>
      <c r="G1042" s="5">
        <v>0.67730000000000001</v>
      </c>
      <c r="H1042" s="5">
        <v>3</v>
      </c>
      <c r="I1042" s="5">
        <v>20325.72</v>
      </c>
      <c r="J1042" s="5">
        <v>27635.01</v>
      </c>
      <c r="K1042" s="5">
        <v>57</v>
      </c>
      <c r="L1042" s="5">
        <v>3</v>
      </c>
      <c r="M1042" s="5">
        <v>2</v>
      </c>
      <c r="N1042" s="5">
        <v>3</v>
      </c>
      <c r="O1042" s="5">
        <v>633.77</v>
      </c>
      <c r="P1042" s="6">
        <v>0</v>
      </c>
    </row>
    <row r="1043" spans="1:16" ht="23.4" x14ac:dyDescent="0.45">
      <c r="A1043" s="4" t="s">
        <v>1040</v>
      </c>
      <c r="B1043" s="5" t="s">
        <v>18</v>
      </c>
      <c r="C1043" s="5">
        <v>76885.3</v>
      </c>
      <c r="D1043" s="5">
        <v>68</v>
      </c>
      <c r="E1043" s="5">
        <v>0</v>
      </c>
      <c r="F1043" s="5">
        <v>0.88239999999999996</v>
      </c>
      <c r="G1043" s="5">
        <v>0.19839999999999999</v>
      </c>
      <c r="H1043" s="5">
        <v>0</v>
      </c>
      <c r="I1043" s="5">
        <v>14957.55</v>
      </c>
      <c r="J1043" s="5">
        <v>2421.2399999999998</v>
      </c>
      <c r="K1043" s="5">
        <v>8</v>
      </c>
      <c r="L1043" s="5">
        <v>1</v>
      </c>
      <c r="M1043" s="5">
        <v>1</v>
      </c>
      <c r="N1043" s="5">
        <v>0</v>
      </c>
      <c r="O1043" s="5">
        <v>805.5</v>
      </c>
      <c r="P1043" s="6">
        <v>0</v>
      </c>
    </row>
    <row r="1044" spans="1:16" ht="23.4" x14ac:dyDescent="0.45">
      <c r="A1044" s="4" t="s">
        <v>1041</v>
      </c>
      <c r="B1044" s="5" t="s">
        <v>6</v>
      </c>
      <c r="C1044" s="5">
        <v>60911.27</v>
      </c>
      <c r="D1044" s="5">
        <v>44</v>
      </c>
      <c r="E1044" s="5">
        <v>1</v>
      </c>
      <c r="F1044" s="5">
        <v>0.53549999999999998</v>
      </c>
      <c r="G1044" s="5">
        <v>0</v>
      </c>
      <c r="H1044" s="5">
        <v>1</v>
      </c>
      <c r="I1044" s="5">
        <v>12617.3</v>
      </c>
      <c r="J1044" s="5">
        <v>16725.490000000002</v>
      </c>
      <c r="K1044" s="5">
        <v>148</v>
      </c>
      <c r="L1044" s="5">
        <v>1</v>
      </c>
      <c r="M1044" s="5">
        <v>1</v>
      </c>
      <c r="N1044" s="5">
        <v>0</v>
      </c>
      <c r="O1044" s="5">
        <v>775.33</v>
      </c>
      <c r="P1044" s="6">
        <v>0</v>
      </c>
    </row>
    <row r="1045" spans="1:16" ht="23.4" x14ac:dyDescent="0.45">
      <c r="A1045" s="4" t="s">
        <v>1042</v>
      </c>
      <c r="B1045" s="5" t="s">
        <v>18</v>
      </c>
      <c r="C1045" s="5">
        <v>70827.37</v>
      </c>
      <c r="D1045" s="5">
        <v>59</v>
      </c>
      <c r="E1045" s="5">
        <v>0</v>
      </c>
      <c r="F1045" s="5">
        <v>0.58579999999999999</v>
      </c>
      <c r="G1045" s="5">
        <v>0.44309999999999999</v>
      </c>
      <c r="H1045" s="5">
        <v>6</v>
      </c>
      <c r="I1045" s="5">
        <v>58486.11</v>
      </c>
      <c r="J1045" s="5">
        <v>48555.21</v>
      </c>
      <c r="K1045" s="5">
        <v>147</v>
      </c>
      <c r="L1045" s="5">
        <v>2</v>
      </c>
      <c r="M1045" s="5">
        <v>1</v>
      </c>
      <c r="N1045" s="5">
        <v>2</v>
      </c>
      <c r="O1045" s="5">
        <v>769.61</v>
      </c>
      <c r="P1045" s="6">
        <v>0</v>
      </c>
    </row>
    <row r="1046" spans="1:16" ht="23.4" x14ac:dyDescent="0.45">
      <c r="A1046" s="4" t="s">
        <v>1043</v>
      </c>
      <c r="B1046" s="5" t="s">
        <v>9</v>
      </c>
      <c r="C1046" s="5">
        <v>137417.32999999999</v>
      </c>
      <c r="D1046" s="5">
        <v>41</v>
      </c>
      <c r="E1046" s="5">
        <v>1</v>
      </c>
      <c r="F1046" s="5">
        <v>0.73399999999999999</v>
      </c>
      <c r="G1046" s="5">
        <v>0.22389999999999999</v>
      </c>
      <c r="H1046" s="5">
        <v>3</v>
      </c>
      <c r="I1046" s="5">
        <v>32810.81</v>
      </c>
      <c r="J1046" s="5">
        <v>20939.43</v>
      </c>
      <c r="K1046" s="5">
        <v>78</v>
      </c>
      <c r="L1046" s="5">
        <v>1</v>
      </c>
      <c r="M1046" s="5">
        <v>2</v>
      </c>
      <c r="N1046" s="5">
        <v>0</v>
      </c>
      <c r="O1046" s="5">
        <v>624.32000000000005</v>
      </c>
      <c r="P1046" s="6">
        <v>0</v>
      </c>
    </row>
    <row r="1047" spans="1:16" ht="23.4" x14ac:dyDescent="0.45">
      <c r="A1047" s="4" t="s">
        <v>1044</v>
      </c>
      <c r="B1047" s="5" t="s">
        <v>1</v>
      </c>
      <c r="C1047" s="5">
        <v>84701.98</v>
      </c>
      <c r="D1047" s="5">
        <v>52</v>
      </c>
      <c r="E1047" s="5">
        <v>0</v>
      </c>
      <c r="F1047" s="5">
        <v>0.76900000000000002</v>
      </c>
      <c r="G1047" s="5">
        <v>0.43659999999999999</v>
      </c>
      <c r="H1047" s="5">
        <v>4</v>
      </c>
      <c r="I1047" s="5">
        <v>51848.98</v>
      </c>
      <c r="J1047" s="5">
        <v>42135.41</v>
      </c>
      <c r="K1047" s="5">
        <v>98</v>
      </c>
      <c r="L1047" s="5">
        <v>4</v>
      </c>
      <c r="M1047" s="5">
        <v>1</v>
      </c>
      <c r="N1047" s="5">
        <v>0</v>
      </c>
      <c r="O1047" s="5">
        <v>691.22</v>
      </c>
      <c r="P1047" s="6">
        <v>0</v>
      </c>
    </row>
    <row r="1048" spans="1:16" ht="23.4" x14ac:dyDescent="0.45">
      <c r="A1048" s="4" t="s">
        <v>1045</v>
      </c>
      <c r="B1048" s="5" t="s">
        <v>4</v>
      </c>
      <c r="C1048" s="5">
        <v>33581.629999999997</v>
      </c>
      <c r="D1048" s="5">
        <v>54</v>
      </c>
      <c r="E1048" s="5">
        <v>0</v>
      </c>
      <c r="F1048" s="5">
        <v>0.71189999999999998</v>
      </c>
      <c r="G1048" s="5">
        <v>1.8100000000000002E-2</v>
      </c>
      <c r="H1048" s="5">
        <v>2</v>
      </c>
      <c r="I1048" s="5">
        <v>500</v>
      </c>
      <c r="J1048" s="5">
        <v>0</v>
      </c>
      <c r="K1048" s="5">
        <v>28</v>
      </c>
      <c r="L1048" s="5">
        <v>3</v>
      </c>
      <c r="M1048" s="5">
        <v>1</v>
      </c>
      <c r="N1048" s="5">
        <v>0</v>
      </c>
      <c r="O1048" s="5">
        <v>773.58</v>
      </c>
      <c r="P1048" s="6">
        <v>0</v>
      </c>
    </row>
    <row r="1049" spans="1:16" ht="23.4" x14ac:dyDescent="0.45">
      <c r="A1049" s="4" t="s">
        <v>1046</v>
      </c>
      <c r="B1049" s="5" t="s">
        <v>9</v>
      </c>
      <c r="C1049" s="5">
        <v>71521.789999999994</v>
      </c>
      <c r="D1049" s="5">
        <v>62</v>
      </c>
      <c r="E1049" s="5">
        <v>1</v>
      </c>
      <c r="F1049" s="5">
        <v>0.68200000000000005</v>
      </c>
      <c r="G1049" s="5">
        <v>0.34939999999999999</v>
      </c>
      <c r="H1049" s="5">
        <v>0</v>
      </c>
      <c r="I1049" s="5">
        <v>6855.11</v>
      </c>
      <c r="J1049" s="5">
        <v>2284.6799999999998</v>
      </c>
      <c r="K1049" s="5">
        <v>65</v>
      </c>
      <c r="L1049" s="5">
        <v>3</v>
      </c>
      <c r="M1049" s="5">
        <v>3</v>
      </c>
      <c r="N1049" s="5">
        <v>0</v>
      </c>
      <c r="O1049" s="5">
        <v>706.24</v>
      </c>
      <c r="P1049" s="6">
        <v>0</v>
      </c>
    </row>
    <row r="1050" spans="1:16" ht="23.4" x14ac:dyDescent="0.45">
      <c r="A1050" s="4" t="s">
        <v>1047</v>
      </c>
      <c r="B1050" s="5" t="s">
        <v>4</v>
      </c>
      <c r="C1050" s="5">
        <v>41455.9</v>
      </c>
      <c r="D1050" s="5">
        <v>46</v>
      </c>
      <c r="E1050" s="5">
        <v>0</v>
      </c>
      <c r="F1050" s="5">
        <v>0.88419999999999999</v>
      </c>
      <c r="G1050" s="5">
        <v>0.82269999999999999</v>
      </c>
      <c r="H1050" s="5">
        <v>5</v>
      </c>
      <c r="I1050" s="5">
        <v>11806.83</v>
      </c>
      <c r="J1050" s="5">
        <v>9479.8799999999992</v>
      </c>
      <c r="K1050" s="5">
        <v>112</v>
      </c>
      <c r="L1050" s="5">
        <v>2</v>
      </c>
      <c r="M1050" s="5">
        <v>1</v>
      </c>
      <c r="N1050" s="5">
        <v>1</v>
      </c>
      <c r="O1050" s="5">
        <v>710.58</v>
      </c>
      <c r="P1050" s="6">
        <v>1</v>
      </c>
    </row>
    <row r="1051" spans="1:16" ht="23.4" x14ac:dyDescent="0.45">
      <c r="A1051" s="4" t="s">
        <v>1048</v>
      </c>
      <c r="B1051" s="5" t="s">
        <v>1</v>
      </c>
      <c r="C1051" s="5">
        <v>147517.97</v>
      </c>
      <c r="D1051" s="5">
        <v>65</v>
      </c>
      <c r="E1051" s="5">
        <v>1</v>
      </c>
      <c r="F1051" s="5">
        <v>1</v>
      </c>
      <c r="G1051" s="5">
        <v>0.65059999999999996</v>
      </c>
      <c r="H1051" s="5">
        <v>0</v>
      </c>
      <c r="I1051" s="5">
        <v>94355.87</v>
      </c>
      <c r="J1051" s="5">
        <v>71813.19</v>
      </c>
      <c r="K1051" s="5">
        <v>7</v>
      </c>
      <c r="L1051" s="5">
        <v>3</v>
      </c>
      <c r="M1051" s="5">
        <v>2</v>
      </c>
      <c r="N1051" s="5">
        <v>0</v>
      </c>
      <c r="O1051" s="5">
        <v>738.71</v>
      </c>
      <c r="P1051" s="6">
        <v>0</v>
      </c>
    </row>
    <row r="1052" spans="1:16" ht="23.4" x14ac:dyDescent="0.45">
      <c r="A1052" s="4" t="s">
        <v>1049</v>
      </c>
      <c r="B1052" s="5" t="s">
        <v>9</v>
      </c>
      <c r="C1052" s="5">
        <v>63501.31</v>
      </c>
      <c r="D1052" s="5">
        <v>33</v>
      </c>
      <c r="E1052" s="5">
        <v>1</v>
      </c>
      <c r="F1052" s="5">
        <v>0.69189999999999996</v>
      </c>
      <c r="G1052" s="5">
        <v>0.40500000000000003</v>
      </c>
      <c r="H1052" s="5">
        <v>1</v>
      </c>
      <c r="I1052" s="5">
        <v>36429.360000000001</v>
      </c>
      <c r="J1052" s="5">
        <v>40763.07</v>
      </c>
      <c r="K1052" s="5">
        <v>106</v>
      </c>
      <c r="L1052" s="5">
        <v>1</v>
      </c>
      <c r="M1052" s="5">
        <v>1</v>
      </c>
      <c r="N1052" s="5">
        <v>0</v>
      </c>
      <c r="O1052" s="5">
        <v>631.26</v>
      </c>
      <c r="P1052" s="6">
        <v>0</v>
      </c>
    </row>
    <row r="1053" spans="1:16" ht="23.4" x14ac:dyDescent="0.45">
      <c r="A1053" s="4" t="s">
        <v>1050</v>
      </c>
      <c r="B1053" s="5" t="s">
        <v>1</v>
      </c>
      <c r="C1053" s="5">
        <v>50489.77</v>
      </c>
      <c r="D1053" s="5">
        <v>46</v>
      </c>
      <c r="E1053" s="5">
        <v>0</v>
      </c>
      <c r="F1053" s="5">
        <v>0.72750000000000004</v>
      </c>
      <c r="G1053" s="5">
        <v>0.51729999999999998</v>
      </c>
      <c r="H1053" s="5">
        <v>2</v>
      </c>
      <c r="I1053" s="5">
        <v>30748.9</v>
      </c>
      <c r="J1053" s="5">
        <v>26202.720000000001</v>
      </c>
      <c r="K1053" s="5">
        <v>151</v>
      </c>
      <c r="L1053" s="5">
        <v>2</v>
      </c>
      <c r="M1053" s="5">
        <v>1</v>
      </c>
      <c r="N1053" s="5">
        <v>1</v>
      </c>
      <c r="O1053" s="5">
        <v>679.3</v>
      </c>
      <c r="P1053" s="6">
        <v>0</v>
      </c>
    </row>
    <row r="1054" spans="1:16" ht="23.4" x14ac:dyDescent="0.45">
      <c r="A1054" s="4" t="s">
        <v>1051</v>
      </c>
      <c r="B1054" s="5" t="s">
        <v>9</v>
      </c>
      <c r="C1054" s="5">
        <v>58119.67</v>
      </c>
      <c r="D1054" s="5">
        <v>50</v>
      </c>
      <c r="E1054" s="5">
        <v>0</v>
      </c>
      <c r="F1054" s="5">
        <v>0.60599999999999998</v>
      </c>
      <c r="G1054" s="5">
        <v>0.73040000000000005</v>
      </c>
      <c r="H1054" s="5">
        <v>5</v>
      </c>
      <c r="I1054" s="5">
        <v>14001.28</v>
      </c>
      <c r="J1054" s="5">
        <v>2217.9299999999998</v>
      </c>
      <c r="K1054" s="5">
        <v>70</v>
      </c>
      <c r="L1054" s="5">
        <v>1</v>
      </c>
      <c r="M1054" s="5">
        <v>1</v>
      </c>
      <c r="N1054" s="5">
        <v>0</v>
      </c>
      <c r="O1054" s="5">
        <v>721.37</v>
      </c>
      <c r="P1054" s="6">
        <v>0</v>
      </c>
    </row>
    <row r="1055" spans="1:16" ht="23.4" x14ac:dyDescent="0.45">
      <c r="A1055" s="4" t="s">
        <v>1052</v>
      </c>
      <c r="B1055" s="5" t="s">
        <v>18</v>
      </c>
      <c r="C1055" s="5">
        <v>11641.19</v>
      </c>
      <c r="D1055" s="5">
        <v>67</v>
      </c>
      <c r="E1055" s="5">
        <v>0</v>
      </c>
      <c r="F1055" s="5">
        <v>0.56379999999999997</v>
      </c>
      <c r="G1055" s="5">
        <v>0.54339999999999999</v>
      </c>
      <c r="H1055" s="5">
        <v>6</v>
      </c>
      <c r="I1055" s="5">
        <v>4312.6099999999997</v>
      </c>
      <c r="J1055" s="5">
        <v>7422.04</v>
      </c>
      <c r="K1055" s="5">
        <v>149</v>
      </c>
      <c r="L1055" s="5">
        <v>2</v>
      </c>
      <c r="M1055" s="5">
        <v>2</v>
      </c>
      <c r="N1055" s="5">
        <v>1</v>
      </c>
      <c r="O1055" s="5">
        <v>734.31</v>
      </c>
      <c r="P1055" s="6">
        <v>0</v>
      </c>
    </row>
    <row r="1056" spans="1:16" ht="23.4" x14ac:dyDescent="0.45">
      <c r="A1056" s="4" t="s">
        <v>1053</v>
      </c>
      <c r="B1056" s="5" t="s">
        <v>9</v>
      </c>
      <c r="C1056" s="5">
        <v>108933.78</v>
      </c>
      <c r="D1056" s="5">
        <v>21</v>
      </c>
      <c r="E1056" s="5">
        <v>0</v>
      </c>
      <c r="F1056" s="5">
        <v>0.74470000000000003</v>
      </c>
      <c r="G1056" s="5">
        <v>0.6089</v>
      </c>
      <c r="H1056" s="5">
        <v>1</v>
      </c>
      <c r="I1056" s="5">
        <v>88989.37</v>
      </c>
      <c r="J1056" s="5">
        <v>46954.87</v>
      </c>
      <c r="K1056" s="5">
        <v>6</v>
      </c>
      <c r="L1056" s="5">
        <v>1</v>
      </c>
      <c r="M1056" s="5">
        <v>1</v>
      </c>
      <c r="N1056" s="5">
        <v>1</v>
      </c>
      <c r="O1056" s="5">
        <v>701.37</v>
      </c>
      <c r="P1056" s="6">
        <v>0</v>
      </c>
    </row>
    <row r="1057" spans="1:16" ht="23.4" x14ac:dyDescent="0.45">
      <c r="A1057" s="4" t="s">
        <v>1054</v>
      </c>
      <c r="B1057" s="5" t="s">
        <v>1</v>
      </c>
      <c r="C1057" s="5">
        <v>102578.38</v>
      </c>
      <c r="D1057" s="5">
        <v>33</v>
      </c>
      <c r="E1057" s="5">
        <v>1</v>
      </c>
      <c r="F1057" s="5">
        <v>1</v>
      </c>
      <c r="G1057" s="5">
        <v>0.32529999999999998</v>
      </c>
      <c r="H1057" s="5">
        <v>1</v>
      </c>
      <c r="I1057" s="5">
        <v>42081.97</v>
      </c>
      <c r="J1057" s="5">
        <v>29839.08</v>
      </c>
      <c r="K1057" s="5">
        <v>14</v>
      </c>
      <c r="L1057" s="5">
        <v>3</v>
      </c>
      <c r="M1057" s="5">
        <v>1</v>
      </c>
      <c r="N1057" s="5">
        <v>0</v>
      </c>
      <c r="O1057" s="5">
        <v>702.52</v>
      </c>
      <c r="P1057" s="6">
        <v>0</v>
      </c>
    </row>
    <row r="1058" spans="1:16" ht="23.4" x14ac:dyDescent="0.45">
      <c r="A1058" s="4" t="s">
        <v>1055</v>
      </c>
      <c r="B1058" s="5" t="s">
        <v>9</v>
      </c>
      <c r="C1058" s="5">
        <v>151399.37</v>
      </c>
      <c r="D1058" s="5">
        <v>34</v>
      </c>
      <c r="E1058" s="5">
        <v>1</v>
      </c>
      <c r="F1058" s="5">
        <v>0.46650000000000003</v>
      </c>
      <c r="G1058" s="5">
        <v>0.65880000000000005</v>
      </c>
      <c r="H1058" s="5">
        <v>6</v>
      </c>
      <c r="I1058" s="5">
        <v>125181.38</v>
      </c>
      <c r="J1058" s="5">
        <v>69252.7</v>
      </c>
      <c r="K1058" s="5">
        <v>127</v>
      </c>
      <c r="L1058" s="5">
        <v>1</v>
      </c>
      <c r="M1058" s="5">
        <v>1</v>
      </c>
      <c r="N1058" s="5">
        <v>1</v>
      </c>
      <c r="O1058" s="5">
        <v>533.04</v>
      </c>
      <c r="P1058" s="6">
        <v>0</v>
      </c>
    </row>
    <row r="1059" spans="1:16" ht="23.4" x14ac:dyDescent="0.45">
      <c r="A1059" s="4" t="s">
        <v>1056</v>
      </c>
      <c r="B1059" s="5" t="s">
        <v>4</v>
      </c>
      <c r="C1059" s="5">
        <v>116048.7</v>
      </c>
      <c r="D1059" s="5">
        <v>38</v>
      </c>
      <c r="E1059" s="5">
        <v>1</v>
      </c>
      <c r="F1059" s="5">
        <v>0.66080000000000005</v>
      </c>
      <c r="G1059" s="5">
        <v>0.78639999999999999</v>
      </c>
      <c r="H1059" s="5">
        <v>1</v>
      </c>
      <c r="I1059" s="5">
        <v>94350.42</v>
      </c>
      <c r="J1059" s="5">
        <v>64356.14</v>
      </c>
      <c r="K1059" s="5">
        <v>179</v>
      </c>
      <c r="L1059" s="5">
        <v>2</v>
      </c>
      <c r="M1059" s="5">
        <v>1</v>
      </c>
      <c r="N1059" s="5">
        <v>0</v>
      </c>
      <c r="O1059" s="5">
        <v>684.47</v>
      </c>
      <c r="P1059" s="6">
        <v>0</v>
      </c>
    </row>
    <row r="1060" spans="1:16" ht="23.4" x14ac:dyDescent="0.45">
      <c r="A1060" s="4" t="s">
        <v>1057</v>
      </c>
      <c r="B1060" s="5" t="s">
        <v>15</v>
      </c>
      <c r="C1060" s="5">
        <v>93338.26</v>
      </c>
      <c r="D1060" s="5">
        <v>23</v>
      </c>
      <c r="E1060" s="5">
        <v>0</v>
      </c>
      <c r="F1060" s="5">
        <v>0.72909999999999997</v>
      </c>
      <c r="G1060" s="5">
        <v>4.9599999999999998E-2</v>
      </c>
      <c r="H1060" s="5">
        <v>0</v>
      </c>
      <c r="I1060" s="5">
        <v>21456.15</v>
      </c>
      <c r="J1060" s="5">
        <v>6017.88</v>
      </c>
      <c r="K1060" s="5">
        <v>128</v>
      </c>
      <c r="L1060" s="5">
        <v>1</v>
      </c>
      <c r="M1060" s="5">
        <v>1</v>
      </c>
      <c r="N1060" s="5">
        <v>1</v>
      </c>
      <c r="O1060" s="5">
        <v>771.23</v>
      </c>
      <c r="P1060" s="6">
        <v>0</v>
      </c>
    </row>
    <row r="1061" spans="1:16" ht="23.4" x14ac:dyDescent="0.45">
      <c r="A1061" s="4" t="s">
        <v>1058</v>
      </c>
      <c r="B1061" s="5" t="s">
        <v>4</v>
      </c>
      <c r="C1061" s="5">
        <v>83341.350000000006</v>
      </c>
      <c r="D1061" s="5">
        <v>21</v>
      </c>
      <c r="E1061" s="5">
        <v>0</v>
      </c>
      <c r="F1061" s="5">
        <v>0.7601</v>
      </c>
      <c r="G1061" s="5">
        <v>0.39800000000000002</v>
      </c>
      <c r="H1061" s="5">
        <v>0</v>
      </c>
      <c r="I1061" s="5">
        <v>21729.45</v>
      </c>
      <c r="J1061" s="5">
        <v>3678.39</v>
      </c>
      <c r="K1061" s="5">
        <v>65</v>
      </c>
      <c r="L1061" s="5">
        <v>2</v>
      </c>
      <c r="M1061" s="5">
        <v>2</v>
      </c>
      <c r="N1061" s="5">
        <v>0</v>
      </c>
      <c r="O1061" s="5">
        <v>675.53</v>
      </c>
      <c r="P1061" s="6">
        <v>0</v>
      </c>
    </row>
    <row r="1062" spans="1:16" ht="23.4" x14ac:dyDescent="0.45">
      <c r="A1062" s="4" t="s">
        <v>1059</v>
      </c>
      <c r="B1062" s="5" t="s">
        <v>9</v>
      </c>
      <c r="C1062" s="5">
        <v>33927.370000000003</v>
      </c>
      <c r="D1062" s="5">
        <v>55</v>
      </c>
      <c r="E1062" s="5">
        <v>0</v>
      </c>
      <c r="F1062" s="5">
        <v>0.97460000000000002</v>
      </c>
      <c r="G1062" s="5">
        <v>0.58879999999999999</v>
      </c>
      <c r="H1062" s="5">
        <v>6</v>
      </c>
      <c r="I1062" s="5">
        <v>6870.16</v>
      </c>
      <c r="J1062" s="5">
        <v>12750.91</v>
      </c>
      <c r="K1062" s="5">
        <v>43</v>
      </c>
      <c r="L1062" s="5">
        <v>1</v>
      </c>
      <c r="M1062" s="5">
        <v>2</v>
      </c>
      <c r="N1062" s="5">
        <v>0</v>
      </c>
      <c r="O1062" s="5">
        <v>669.16</v>
      </c>
      <c r="P1062" s="6">
        <v>0</v>
      </c>
    </row>
    <row r="1063" spans="1:16" ht="23.4" x14ac:dyDescent="0.45">
      <c r="A1063" s="4" t="s">
        <v>1060</v>
      </c>
      <c r="B1063" s="5" t="s">
        <v>4</v>
      </c>
      <c r="C1063" s="5">
        <v>69034.23</v>
      </c>
      <c r="D1063" s="5">
        <v>70</v>
      </c>
      <c r="E1063" s="5">
        <v>1</v>
      </c>
      <c r="F1063" s="5">
        <v>0.60329999999999995</v>
      </c>
      <c r="G1063" s="5">
        <v>0.84250000000000003</v>
      </c>
      <c r="H1063" s="5">
        <v>5</v>
      </c>
      <c r="I1063" s="5">
        <v>40639.360000000001</v>
      </c>
      <c r="J1063" s="5">
        <v>18765.23</v>
      </c>
      <c r="K1063" s="5">
        <v>116</v>
      </c>
      <c r="L1063" s="5">
        <v>1</v>
      </c>
      <c r="M1063" s="5">
        <v>1</v>
      </c>
      <c r="N1063" s="5">
        <v>0</v>
      </c>
      <c r="O1063" s="5">
        <v>640.11</v>
      </c>
      <c r="P1063" s="6">
        <v>0</v>
      </c>
    </row>
    <row r="1064" spans="1:16" ht="23.4" x14ac:dyDescent="0.45">
      <c r="A1064" s="4" t="s">
        <v>1061</v>
      </c>
      <c r="B1064" s="5" t="s">
        <v>4</v>
      </c>
      <c r="C1064" s="5">
        <v>59919.62</v>
      </c>
      <c r="D1064" s="5">
        <v>55</v>
      </c>
      <c r="E1064" s="5">
        <v>1</v>
      </c>
      <c r="F1064" s="5">
        <v>0.52659999999999996</v>
      </c>
      <c r="G1064" s="5">
        <v>0.49680000000000002</v>
      </c>
      <c r="H1064" s="5">
        <v>2</v>
      </c>
      <c r="I1064" s="5">
        <v>46950.2</v>
      </c>
      <c r="J1064" s="5">
        <v>31192.82</v>
      </c>
      <c r="K1064" s="5">
        <v>166</v>
      </c>
      <c r="L1064" s="5">
        <v>1</v>
      </c>
      <c r="M1064" s="5">
        <v>1</v>
      </c>
      <c r="N1064" s="5">
        <v>1</v>
      </c>
      <c r="O1064" s="5">
        <v>669.62</v>
      </c>
      <c r="P1064" s="6">
        <v>0</v>
      </c>
    </row>
    <row r="1065" spans="1:16" ht="23.4" x14ac:dyDescent="0.45">
      <c r="A1065" s="4" t="s">
        <v>1062</v>
      </c>
      <c r="B1065" s="5" t="s">
        <v>4</v>
      </c>
      <c r="C1065" s="5">
        <v>2222.8000000000002</v>
      </c>
      <c r="D1065" s="5">
        <v>34</v>
      </c>
      <c r="E1065" s="5">
        <v>1</v>
      </c>
      <c r="F1065" s="5">
        <v>0.79090000000000005</v>
      </c>
      <c r="G1065" s="5">
        <v>0.17599999999999999</v>
      </c>
      <c r="H1065" s="5">
        <v>3</v>
      </c>
      <c r="I1065" s="5">
        <v>500</v>
      </c>
      <c r="J1065" s="5">
        <v>10365.94</v>
      </c>
      <c r="K1065" s="5">
        <v>139</v>
      </c>
      <c r="L1065" s="5">
        <v>1</v>
      </c>
      <c r="M1065" s="5">
        <v>1</v>
      </c>
      <c r="N1065" s="5">
        <v>2</v>
      </c>
      <c r="O1065" s="5">
        <v>726.34</v>
      </c>
      <c r="P1065" s="6">
        <v>0</v>
      </c>
    </row>
    <row r="1066" spans="1:16" ht="23.4" x14ac:dyDescent="0.45">
      <c r="A1066" s="4" t="s">
        <v>1063</v>
      </c>
      <c r="B1066" s="5" t="s">
        <v>18</v>
      </c>
      <c r="C1066" s="5">
        <v>106481.02</v>
      </c>
      <c r="D1066" s="5">
        <v>66</v>
      </c>
      <c r="E1066" s="5">
        <v>0</v>
      </c>
      <c r="F1066" s="5">
        <v>0.82330000000000003</v>
      </c>
      <c r="G1066" s="5">
        <v>0.46800000000000003</v>
      </c>
      <c r="H1066" s="5">
        <v>1</v>
      </c>
      <c r="I1066" s="5">
        <v>36800.519999999997</v>
      </c>
      <c r="J1066" s="5">
        <v>40383.42</v>
      </c>
      <c r="K1066" s="5">
        <v>101</v>
      </c>
      <c r="L1066" s="5">
        <v>2</v>
      </c>
      <c r="M1066" s="5">
        <v>1</v>
      </c>
      <c r="N1066" s="5">
        <v>1</v>
      </c>
      <c r="O1066" s="5">
        <v>649.84</v>
      </c>
      <c r="P1066" s="6">
        <v>0</v>
      </c>
    </row>
    <row r="1067" spans="1:16" ht="23.4" x14ac:dyDescent="0.45">
      <c r="A1067" s="4" t="s">
        <v>1064</v>
      </c>
      <c r="B1067" s="5" t="s">
        <v>9</v>
      </c>
      <c r="C1067" s="5">
        <v>126822.29</v>
      </c>
      <c r="D1067" s="5">
        <v>65</v>
      </c>
      <c r="E1067" s="5">
        <v>0</v>
      </c>
      <c r="F1067" s="5">
        <v>0.70089999999999997</v>
      </c>
      <c r="G1067" s="5">
        <v>0.28139999999999998</v>
      </c>
      <c r="H1067" s="5">
        <v>1</v>
      </c>
      <c r="I1067" s="5">
        <v>22949.38</v>
      </c>
      <c r="J1067" s="5">
        <v>24204.560000000001</v>
      </c>
      <c r="K1067" s="5">
        <v>54</v>
      </c>
      <c r="L1067" s="5">
        <v>2</v>
      </c>
      <c r="M1067" s="5">
        <v>2</v>
      </c>
      <c r="N1067" s="5">
        <v>3</v>
      </c>
      <c r="O1067" s="5">
        <v>601.63</v>
      </c>
      <c r="P1067" s="6">
        <v>0</v>
      </c>
    </row>
    <row r="1068" spans="1:16" ht="23.4" x14ac:dyDescent="0.45">
      <c r="A1068" s="4" t="s">
        <v>1065</v>
      </c>
      <c r="B1068" s="5" t="s">
        <v>4</v>
      </c>
      <c r="C1068" s="5">
        <v>2000</v>
      </c>
      <c r="D1068" s="5">
        <v>65</v>
      </c>
      <c r="E1068" s="5">
        <v>1</v>
      </c>
      <c r="F1068" s="5">
        <v>0.71340000000000003</v>
      </c>
      <c r="G1068" s="5">
        <v>0.57699999999999996</v>
      </c>
      <c r="H1068" s="5">
        <v>3</v>
      </c>
      <c r="I1068" s="5">
        <v>500</v>
      </c>
      <c r="J1068" s="5">
        <v>8654.2900000000009</v>
      </c>
      <c r="K1068" s="5">
        <v>144</v>
      </c>
      <c r="L1068" s="5">
        <v>2</v>
      </c>
      <c r="M1068" s="5">
        <v>3</v>
      </c>
      <c r="N1068" s="5">
        <v>0</v>
      </c>
      <c r="O1068" s="5">
        <v>739.44</v>
      </c>
      <c r="P1068" s="6">
        <v>0</v>
      </c>
    </row>
    <row r="1069" spans="1:16" ht="23.4" x14ac:dyDescent="0.45">
      <c r="A1069" s="4" t="s">
        <v>1066</v>
      </c>
      <c r="B1069" s="5" t="s">
        <v>4</v>
      </c>
      <c r="C1069" s="5">
        <v>93834.03</v>
      </c>
      <c r="D1069" s="5">
        <v>70</v>
      </c>
      <c r="E1069" s="5">
        <v>0</v>
      </c>
      <c r="F1069" s="5">
        <v>0.66849999999999998</v>
      </c>
      <c r="G1069" s="5">
        <v>0.31559999999999999</v>
      </c>
      <c r="H1069" s="5">
        <v>1</v>
      </c>
      <c r="I1069" s="5">
        <v>31831.27</v>
      </c>
      <c r="J1069" s="5">
        <v>32321.119999999999</v>
      </c>
      <c r="K1069" s="5">
        <v>8</v>
      </c>
      <c r="L1069" s="5">
        <v>2</v>
      </c>
      <c r="M1069" s="5">
        <v>1</v>
      </c>
      <c r="N1069" s="5">
        <v>0</v>
      </c>
      <c r="O1069" s="5">
        <v>674.98</v>
      </c>
      <c r="P1069" s="6">
        <v>0</v>
      </c>
    </row>
    <row r="1070" spans="1:16" ht="23.4" x14ac:dyDescent="0.45">
      <c r="A1070" s="4" t="s">
        <v>1067</v>
      </c>
      <c r="B1070" s="5" t="s">
        <v>9</v>
      </c>
      <c r="C1070" s="5">
        <v>35890.230000000003</v>
      </c>
      <c r="D1070" s="5">
        <v>51</v>
      </c>
      <c r="E1070" s="5">
        <v>0</v>
      </c>
      <c r="F1070" s="5">
        <v>0.81589999999999996</v>
      </c>
      <c r="G1070" s="5">
        <v>0.17860000000000001</v>
      </c>
      <c r="H1070" s="5">
        <v>0</v>
      </c>
      <c r="I1070" s="5">
        <v>500</v>
      </c>
      <c r="J1070" s="5">
        <v>0</v>
      </c>
      <c r="K1070" s="5">
        <v>133</v>
      </c>
      <c r="L1070" s="5">
        <v>1</v>
      </c>
      <c r="M1070" s="5">
        <v>1</v>
      </c>
      <c r="N1070" s="5">
        <v>1</v>
      </c>
      <c r="O1070" s="5">
        <v>771.59</v>
      </c>
      <c r="P1070" s="6">
        <v>0</v>
      </c>
    </row>
    <row r="1071" spans="1:16" ht="23.4" x14ac:dyDescent="0.45">
      <c r="A1071" s="4" t="s">
        <v>1068</v>
      </c>
      <c r="B1071" s="5" t="s">
        <v>18</v>
      </c>
      <c r="C1071" s="5">
        <v>56091.55</v>
      </c>
      <c r="D1071" s="5">
        <v>27</v>
      </c>
      <c r="E1071" s="5">
        <v>0</v>
      </c>
      <c r="F1071" s="5">
        <v>0.4647</v>
      </c>
      <c r="G1071" s="5">
        <v>0.55520000000000003</v>
      </c>
      <c r="H1071" s="5">
        <v>7</v>
      </c>
      <c r="I1071" s="5">
        <v>6189.55</v>
      </c>
      <c r="J1071" s="5">
        <v>0</v>
      </c>
      <c r="K1071" s="5">
        <v>103</v>
      </c>
      <c r="L1071" s="5">
        <v>1</v>
      </c>
      <c r="M1071" s="5">
        <v>1</v>
      </c>
      <c r="N1071" s="5">
        <v>2</v>
      </c>
      <c r="O1071" s="5">
        <v>483.36</v>
      </c>
      <c r="P1071" s="6">
        <v>0</v>
      </c>
    </row>
    <row r="1072" spans="1:16" ht="23.4" x14ac:dyDescent="0.45">
      <c r="A1072" s="4" t="s">
        <v>1069</v>
      </c>
      <c r="B1072" s="5" t="s">
        <v>1</v>
      </c>
      <c r="C1072" s="5">
        <v>71973.899999999994</v>
      </c>
      <c r="D1072" s="5">
        <v>67</v>
      </c>
      <c r="E1072" s="5">
        <v>1</v>
      </c>
      <c r="F1072" s="5">
        <v>0.6774</v>
      </c>
      <c r="G1072" s="5">
        <v>0.57140000000000002</v>
      </c>
      <c r="H1072" s="5">
        <v>1</v>
      </c>
      <c r="I1072" s="5">
        <v>53301.82</v>
      </c>
      <c r="J1072" s="5">
        <v>40118.86</v>
      </c>
      <c r="K1072" s="5">
        <v>92</v>
      </c>
      <c r="L1072" s="5">
        <v>1</v>
      </c>
      <c r="M1072" s="5">
        <v>3</v>
      </c>
      <c r="N1072" s="5">
        <v>0</v>
      </c>
      <c r="O1072" s="5">
        <v>647.41999999999996</v>
      </c>
      <c r="P1072" s="6">
        <v>0</v>
      </c>
    </row>
    <row r="1073" spans="1:16" ht="23.4" x14ac:dyDescent="0.45">
      <c r="A1073" s="4" t="s">
        <v>1070</v>
      </c>
      <c r="B1073" s="5" t="s">
        <v>1</v>
      </c>
      <c r="C1073" s="5">
        <v>162534.31</v>
      </c>
      <c r="D1073" s="5">
        <v>34</v>
      </c>
      <c r="E1073" s="5">
        <v>1</v>
      </c>
      <c r="F1073" s="5">
        <v>0.63249999999999995</v>
      </c>
      <c r="G1073" s="5">
        <v>0.32679999999999998</v>
      </c>
      <c r="H1073" s="5">
        <v>1</v>
      </c>
      <c r="I1073" s="5">
        <v>34710.58</v>
      </c>
      <c r="J1073" s="5">
        <v>21799.51</v>
      </c>
      <c r="K1073" s="5">
        <v>135</v>
      </c>
      <c r="L1073" s="5">
        <v>2</v>
      </c>
      <c r="M1073" s="5">
        <v>2</v>
      </c>
      <c r="N1073" s="5">
        <v>1</v>
      </c>
      <c r="O1073" s="5">
        <v>686.95</v>
      </c>
      <c r="P1073" s="6">
        <v>0</v>
      </c>
    </row>
    <row r="1074" spans="1:16" ht="23.4" x14ac:dyDescent="0.45">
      <c r="A1074" s="4" t="s">
        <v>1071</v>
      </c>
      <c r="B1074" s="5" t="s">
        <v>18</v>
      </c>
      <c r="C1074" s="5">
        <v>11837.75</v>
      </c>
      <c r="D1074" s="5">
        <v>62</v>
      </c>
      <c r="E1074" s="5">
        <v>0</v>
      </c>
      <c r="F1074" s="5">
        <v>0.99409999999999998</v>
      </c>
      <c r="G1074" s="5">
        <v>0.36930000000000002</v>
      </c>
      <c r="H1074" s="5">
        <v>1</v>
      </c>
      <c r="I1074" s="5">
        <v>17738.740000000002</v>
      </c>
      <c r="J1074" s="5">
        <v>20650.12</v>
      </c>
      <c r="K1074" s="5">
        <v>50</v>
      </c>
      <c r="L1074" s="5">
        <v>3</v>
      </c>
      <c r="M1074" s="5">
        <v>1</v>
      </c>
      <c r="N1074" s="5">
        <v>0</v>
      </c>
      <c r="O1074" s="5">
        <v>726.27</v>
      </c>
      <c r="P1074" s="6">
        <v>0</v>
      </c>
    </row>
    <row r="1075" spans="1:16" ht="23.4" x14ac:dyDescent="0.45">
      <c r="A1075" s="4" t="s">
        <v>1072</v>
      </c>
      <c r="B1075" s="5" t="s">
        <v>9</v>
      </c>
      <c r="C1075" s="5">
        <v>129092.71</v>
      </c>
      <c r="D1075" s="5">
        <v>30</v>
      </c>
      <c r="E1075" s="5">
        <v>0</v>
      </c>
      <c r="F1075" s="5">
        <v>0.77839999999999998</v>
      </c>
      <c r="G1075" s="5">
        <v>0.38040000000000002</v>
      </c>
      <c r="H1075" s="5">
        <v>1</v>
      </c>
      <c r="I1075" s="5">
        <v>50375.81</v>
      </c>
      <c r="J1075" s="5">
        <v>25796.26</v>
      </c>
      <c r="K1075" s="5">
        <v>173</v>
      </c>
      <c r="L1075" s="5">
        <v>3</v>
      </c>
      <c r="M1075" s="5">
        <v>2</v>
      </c>
      <c r="N1075" s="5">
        <v>0</v>
      </c>
      <c r="O1075" s="5">
        <v>777.45</v>
      </c>
      <c r="P1075" s="6">
        <v>0</v>
      </c>
    </row>
    <row r="1076" spans="1:16" ht="23.4" x14ac:dyDescent="0.45">
      <c r="A1076" s="4" t="s">
        <v>1073</v>
      </c>
      <c r="B1076" s="5" t="s">
        <v>15</v>
      </c>
      <c r="C1076" s="5">
        <v>53423.12</v>
      </c>
      <c r="D1076" s="5">
        <v>52</v>
      </c>
      <c r="E1076" s="5">
        <v>1</v>
      </c>
      <c r="F1076" s="5">
        <v>0.95589999999999997</v>
      </c>
      <c r="G1076" s="5">
        <v>0.43609999999999999</v>
      </c>
      <c r="H1076" s="5">
        <v>5</v>
      </c>
      <c r="I1076" s="5">
        <v>13242.08</v>
      </c>
      <c r="J1076" s="5">
        <v>0</v>
      </c>
      <c r="K1076" s="5">
        <v>31</v>
      </c>
      <c r="L1076" s="5">
        <v>1</v>
      </c>
      <c r="M1076" s="5">
        <v>1</v>
      </c>
      <c r="N1076" s="5">
        <v>3</v>
      </c>
      <c r="O1076" s="5">
        <v>719.45</v>
      </c>
      <c r="P1076" s="6">
        <v>0</v>
      </c>
    </row>
    <row r="1077" spans="1:16" ht="23.4" x14ac:dyDescent="0.45">
      <c r="A1077" s="4" t="s">
        <v>1074</v>
      </c>
      <c r="B1077" s="5" t="s">
        <v>4</v>
      </c>
      <c r="C1077" s="5">
        <v>83951.93</v>
      </c>
      <c r="D1077" s="5">
        <v>65</v>
      </c>
      <c r="E1077" s="5">
        <v>0</v>
      </c>
      <c r="F1077" s="5">
        <v>0.41589999999999999</v>
      </c>
      <c r="G1077" s="5">
        <v>0.56720000000000004</v>
      </c>
      <c r="H1077" s="5">
        <v>5</v>
      </c>
      <c r="I1077" s="5">
        <v>38996.9</v>
      </c>
      <c r="J1077" s="5">
        <v>14063.56</v>
      </c>
      <c r="K1077" s="5">
        <v>14</v>
      </c>
      <c r="L1077" s="5">
        <v>1</v>
      </c>
      <c r="M1077" s="5">
        <v>2</v>
      </c>
      <c r="N1077" s="5">
        <v>0</v>
      </c>
      <c r="O1077" s="5">
        <v>637.66999999999996</v>
      </c>
      <c r="P1077" s="6">
        <v>1</v>
      </c>
    </row>
    <row r="1078" spans="1:16" ht="23.4" x14ac:dyDescent="0.45">
      <c r="A1078" s="4" t="s">
        <v>1075</v>
      </c>
      <c r="B1078" s="5" t="s">
        <v>4</v>
      </c>
      <c r="C1078" s="5">
        <v>81206.73</v>
      </c>
      <c r="D1078" s="5">
        <v>43</v>
      </c>
      <c r="E1078" s="5">
        <v>1</v>
      </c>
      <c r="F1078" s="5">
        <v>1</v>
      </c>
      <c r="G1078" s="5">
        <v>0.10639999999999999</v>
      </c>
      <c r="H1078" s="5">
        <v>1</v>
      </c>
      <c r="I1078" s="5">
        <v>10102.040000000001</v>
      </c>
      <c r="J1078" s="5">
        <v>26410.2</v>
      </c>
      <c r="K1078" s="5">
        <v>41</v>
      </c>
      <c r="L1078" s="5">
        <v>1</v>
      </c>
      <c r="M1078" s="5">
        <v>1</v>
      </c>
      <c r="N1078" s="5">
        <v>1</v>
      </c>
      <c r="O1078" s="5">
        <v>728.16</v>
      </c>
      <c r="P1078" s="6">
        <v>0</v>
      </c>
    </row>
    <row r="1079" spans="1:16" ht="23.4" x14ac:dyDescent="0.45">
      <c r="A1079" s="4" t="s">
        <v>1076</v>
      </c>
      <c r="B1079" s="5" t="s">
        <v>15</v>
      </c>
      <c r="C1079" s="5">
        <v>47953.42</v>
      </c>
      <c r="D1079" s="5">
        <v>44</v>
      </c>
      <c r="E1079" s="5">
        <v>1</v>
      </c>
      <c r="F1079" s="5">
        <v>0.48659999999999998</v>
      </c>
      <c r="G1079" s="5">
        <v>0.29949999999999999</v>
      </c>
      <c r="H1079" s="5">
        <v>5</v>
      </c>
      <c r="I1079" s="5">
        <v>10370.370000000001</v>
      </c>
      <c r="J1079" s="5">
        <v>2713.72</v>
      </c>
      <c r="K1079" s="5">
        <v>16</v>
      </c>
      <c r="L1079" s="5">
        <v>1</v>
      </c>
      <c r="M1079" s="5">
        <v>1</v>
      </c>
      <c r="N1079" s="5">
        <v>0</v>
      </c>
      <c r="O1079" s="5">
        <v>669.75</v>
      </c>
      <c r="P1079" s="6">
        <v>0</v>
      </c>
    </row>
    <row r="1080" spans="1:16" ht="23.4" x14ac:dyDescent="0.45">
      <c r="A1080" s="4" t="s">
        <v>1077</v>
      </c>
      <c r="B1080" s="5" t="s">
        <v>18</v>
      </c>
      <c r="C1080" s="5">
        <v>105790.25</v>
      </c>
      <c r="D1080" s="5">
        <v>21</v>
      </c>
      <c r="E1080" s="5">
        <v>1</v>
      </c>
      <c r="F1080" s="5">
        <v>0.70489999999999997</v>
      </c>
      <c r="G1080" s="5">
        <v>0.68110000000000004</v>
      </c>
      <c r="H1080" s="5">
        <v>6</v>
      </c>
      <c r="I1080" s="5">
        <v>70336.820000000007</v>
      </c>
      <c r="J1080" s="5">
        <v>47421.61</v>
      </c>
      <c r="K1080" s="5">
        <v>41</v>
      </c>
      <c r="L1080" s="5">
        <v>1</v>
      </c>
      <c r="M1080" s="5">
        <v>1</v>
      </c>
      <c r="N1080" s="5">
        <v>1</v>
      </c>
      <c r="O1080" s="5">
        <v>700.22</v>
      </c>
      <c r="P1080" s="6">
        <v>0</v>
      </c>
    </row>
    <row r="1081" spans="1:16" ht="23.4" x14ac:dyDescent="0.45">
      <c r="A1081" s="4" t="s">
        <v>1078</v>
      </c>
      <c r="B1081" s="5" t="s">
        <v>6</v>
      </c>
      <c r="C1081" s="5">
        <v>154730.21</v>
      </c>
      <c r="D1081" s="5">
        <v>34</v>
      </c>
      <c r="E1081" s="5">
        <v>0</v>
      </c>
      <c r="F1081" s="5">
        <v>0.86099999999999999</v>
      </c>
      <c r="G1081" s="5">
        <v>0.5444</v>
      </c>
      <c r="H1081" s="5">
        <v>2</v>
      </c>
      <c r="I1081" s="5">
        <v>70308.62</v>
      </c>
      <c r="J1081" s="5">
        <v>53830.81</v>
      </c>
      <c r="K1081" s="5">
        <v>38</v>
      </c>
      <c r="L1081" s="5">
        <v>3</v>
      </c>
      <c r="M1081" s="5">
        <v>1</v>
      </c>
      <c r="N1081" s="5">
        <v>1</v>
      </c>
      <c r="O1081" s="5">
        <v>677.96</v>
      </c>
      <c r="P1081" s="6">
        <v>0</v>
      </c>
    </row>
    <row r="1082" spans="1:16" ht="23.4" x14ac:dyDescent="0.45">
      <c r="A1082" s="4" t="s">
        <v>1079</v>
      </c>
      <c r="B1082" s="5" t="s">
        <v>15</v>
      </c>
      <c r="C1082" s="5">
        <v>107434.76</v>
      </c>
      <c r="D1082" s="5">
        <v>31</v>
      </c>
      <c r="E1082" s="5">
        <v>0</v>
      </c>
      <c r="F1082" s="5">
        <v>0.69510000000000005</v>
      </c>
      <c r="G1082" s="5">
        <v>0.40770000000000001</v>
      </c>
      <c r="H1082" s="5">
        <v>6</v>
      </c>
      <c r="I1082" s="5">
        <v>51400.92</v>
      </c>
      <c r="J1082" s="5">
        <v>28444.47</v>
      </c>
      <c r="K1082" s="5">
        <v>63</v>
      </c>
      <c r="L1082" s="5">
        <v>3</v>
      </c>
      <c r="M1082" s="5">
        <v>1</v>
      </c>
      <c r="N1082" s="5">
        <v>1</v>
      </c>
      <c r="O1082" s="5">
        <v>751.63</v>
      </c>
      <c r="P1082" s="6">
        <v>0</v>
      </c>
    </row>
    <row r="1083" spans="1:16" ht="23.4" x14ac:dyDescent="0.45">
      <c r="A1083" s="4" t="s">
        <v>1080</v>
      </c>
      <c r="B1083" s="5" t="s">
        <v>9</v>
      </c>
      <c r="C1083" s="5">
        <v>100536.3</v>
      </c>
      <c r="D1083" s="5">
        <v>33</v>
      </c>
      <c r="E1083" s="5">
        <v>0</v>
      </c>
      <c r="F1083" s="5">
        <v>0.48159999999999997</v>
      </c>
      <c r="G1083" s="5">
        <v>0</v>
      </c>
      <c r="H1083" s="5">
        <v>0</v>
      </c>
      <c r="I1083" s="5">
        <v>12980.43</v>
      </c>
      <c r="J1083" s="5">
        <v>16604.7</v>
      </c>
      <c r="K1083" s="5">
        <v>38</v>
      </c>
      <c r="L1083" s="5">
        <v>2</v>
      </c>
      <c r="M1083" s="5">
        <v>3</v>
      </c>
      <c r="N1083" s="5">
        <v>1</v>
      </c>
      <c r="O1083" s="5">
        <v>633.79999999999995</v>
      </c>
      <c r="P1083" s="6">
        <v>0</v>
      </c>
    </row>
    <row r="1084" spans="1:16" ht="23.4" x14ac:dyDescent="0.45">
      <c r="A1084" s="4" t="s">
        <v>1081</v>
      </c>
      <c r="B1084" s="5" t="s">
        <v>18</v>
      </c>
      <c r="C1084" s="5">
        <v>134300.4</v>
      </c>
      <c r="D1084" s="5">
        <v>36</v>
      </c>
      <c r="E1084" s="5">
        <v>1</v>
      </c>
      <c r="F1084" s="5">
        <v>0.49519999999999997</v>
      </c>
      <c r="G1084" s="5">
        <v>0.23269999999999999</v>
      </c>
      <c r="H1084" s="5">
        <v>1</v>
      </c>
      <c r="I1084" s="5">
        <v>33555.230000000003</v>
      </c>
      <c r="J1084" s="5">
        <v>11639.73</v>
      </c>
      <c r="K1084" s="5">
        <v>13</v>
      </c>
      <c r="L1084" s="5">
        <v>2</v>
      </c>
      <c r="M1084" s="5">
        <v>2</v>
      </c>
      <c r="N1084" s="5">
        <v>1</v>
      </c>
      <c r="O1084" s="5">
        <v>708.29</v>
      </c>
      <c r="P1084" s="6">
        <v>0</v>
      </c>
    </row>
    <row r="1085" spans="1:16" ht="23.4" x14ac:dyDescent="0.45">
      <c r="A1085" s="4" t="s">
        <v>1082</v>
      </c>
      <c r="B1085" s="5" t="s">
        <v>4</v>
      </c>
      <c r="C1085" s="5">
        <v>13631.44</v>
      </c>
      <c r="D1085" s="5">
        <v>38</v>
      </c>
      <c r="E1085" s="5">
        <v>1</v>
      </c>
      <c r="F1085" s="5">
        <v>0.52490000000000003</v>
      </c>
      <c r="G1085" s="5">
        <v>0.5736</v>
      </c>
      <c r="H1085" s="5">
        <v>5</v>
      </c>
      <c r="I1085" s="5">
        <v>500</v>
      </c>
      <c r="J1085" s="5">
        <v>0</v>
      </c>
      <c r="K1085" s="5">
        <v>89</v>
      </c>
      <c r="L1085" s="5">
        <v>3</v>
      </c>
      <c r="M1085" s="5">
        <v>2</v>
      </c>
      <c r="N1085" s="5">
        <v>1</v>
      </c>
      <c r="O1085" s="5">
        <v>737.22</v>
      </c>
      <c r="P1085" s="6">
        <v>0</v>
      </c>
    </row>
    <row r="1086" spans="1:16" ht="23.4" x14ac:dyDescent="0.45">
      <c r="A1086" s="4" t="s">
        <v>1083</v>
      </c>
      <c r="B1086" s="5" t="s">
        <v>1</v>
      </c>
      <c r="C1086" s="5">
        <v>94010.4</v>
      </c>
      <c r="D1086" s="5">
        <v>58</v>
      </c>
      <c r="E1086" s="5">
        <v>0</v>
      </c>
      <c r="F1086" s="5">
        <v>0.31780000000000003</v>
      </c>
      <c r="G1086" s="5">
        <v>0.20880000000000001</v>
      </c>
      <c r="H1086" s="5">
        <v>0</v>
      </c>
      <c r="I1086" s="5">
        <v>2217.6999999999998</v>
      </c>
      <c r="J1086" s="5">
        <v>0</v>
      </c>
      <c r="K1086" s="5">
        <v>152</v>
      </c>
      <c r="L1086" s="5">
        <v>1</v>
      </c>
      <c r="M1086" s="5">
        <v>1</v>
      </c>
      <c r="N1086" s="5">
        <v>1</v>
      </c>
      <c r="O1086" s="5">
        <v>744.55</v>
      </c>
      <c r="P1086" s="6">
        <v>0</v>
      </c>
    </row>
    <row r="1087" spans="1:16" ht="23.4" x14ac:dyDescent="0.45">
      <c r="A1087" s="4" t="s">
        <v>1084</v>
      </c>
      <c r="B1087" s="5" t="s">
        <v>9</v>
      </c>
      <c r="C1087" s="5">
        <v>81394.2</v>
      </c>
      <c r="D1087" s="5">
        <v>25</v>
      </c>
      <c r="E1087" s="5">
        <v>0</v>
      </c>
      <c r="F1087" s="5">
        <v>0.69840000000000002</v>
      </c>
      <c r="G1087" s="5">
        <v>0.59760000000000002</v>
      </c>
      <c r="H1087" s="5">
        <v>3</v>
      </c>
      <c r="I1087" s="5">
        <v>60915.11</v>
      </c>
      <c r="J1087" s="5">
        <v>34475.94</v>
      </c>
      <c r="K1087" s="5">
        <v>88</v>
      </c>
      <c r="L1087" s="5">
        <v>3</v>
      </c>
      <c r="M1087" s="5">
        <v>2</v>
      </c>
      <c r="N1087" s="5">
        <v>0</v>
      </c>
      <c r="O1087" s="5">
        <v>681.59</v>
      </c>
      <c r="P1087" s="6">
        <v>0</v>
      </c>
    </row>
    <row r="1088" spans="1:16" ht="23.4" x14ac:dyDescent="0.45">
      <c r="A1088" s="4" t="s">
        <v>1085</v>
      </c>
      <c r="B1088" s="5" t="s">
        <v>9</v>
      </c>
      <c r="C1088" s="5">
        <v>114893.84</v>
      </c>
      <c r="D1088" s="5">
        <v>47</v>
      </c>
      <c r="E1088" s="5">
        <v>1</v>
      </c>
      <c r="F1088" s="5">
        <v>0.48530000000000001</v>
      </c>
      <c r="G1088" s="5">
        <v>0.33989999999999998</v>
      </c>
      <c r="H1088" s="5">
        <v>5</v>
      </c>
      <c r="I1088" s="5">
        <v>34362.21</v>
      </c>
      <c r="J1088" s="5">
        <v>15891.34</v>
      </c>
      <c r="K1088" s="5">
        <v>162</v>
      </c>
      <c r="L1088" s="5">
        <v>3</v>
      </c>
      <c r="M1088" s="5">
        <v>1</v>
      </c>
      <c r="N1088" s="5">
        <v>1</v>
      </c>
      <c r="O1088" s="5">
        <v>655.52</v>
      </c>
      <c r="P1088" s="6">
        <v>0</v>
      </c>
    </row>
    <row r="1089" spans="1:16" ht="23.4" x14ac:dyDescent="0.45">
      <c r="A1089" s="4" t="s">
        <v>1086</v>
      </c>
      <c r="B1089" s="5" t="s">
        <v>6</v>
      </c>
      <c r="C1089" s="5">
        <v>155871.95000000001</v>
      </c>
      <c r="D1089" s="5">
        <v>55</v>
      </c>
      <c r="E1089" s="5">
        <v>1</v>
      </c>
      <c r="F1089" s="5">
        <v>0.57210000000000005</v>
      </c>
      <c r="G1089" s="5">
        <v>0.3448</v>
      </c>
      <c r="H1089" s="5">
        <v>0</v>
      </c>
      <c r="I1089" s="5">
        <v>57970.3</v>
      </c>
      <c r="J1089" s="5">
        <v>45948.06</v>
      </c>
      <c r="K1089" s="5">
        <v>80</v>
      </c>
      <c r="L1089" s="5">
        <v>2</v>
      </c>
      <c r="M1089" s="5">
        <v>1</v>
      </c>
      <c r="N1089" s="5">
        <v>1</v>
      </c>
      <c r="O1089" s="5">
        <v>755.62</v>
      </c>
      <c r="P1089" s="6">
        <v>0</v>
      </c>
    </row>
    <row r="1090" spans="1:16" ht="23.4" x14ac:dyDescent="0.45">
      <c r="A1090" s="4" t="s">
        <v>1087</v>
      </c>
      <c r="B1090" s="5" t="s">
        <v>18</v>
      </c>
      <c r="C1090" s="5">
        <v>116525.93</v>
      </c>
      <c r="D1090" s="5">
        <v>52</v>
      </c>
      <c r="E1090" s="5">
        <v>0</v>
      </c>
      <c r="F1090" s="5">
        <v>0.9637</v>
      </c>
      <c r="G1090" s="5">
        <v>0.2238</v>
      </c>
      <c r="H1090" s="5">
        <v>3</v>
      </c>
      <c r="I1090" s="5">
        <v>18913.22</v>
      </c>
      <c r="J1090" s="5">
        <v>0</v>
      </c>
      <c r="K1090" s="5">
        <v>123</v>
      </c>
      <c r="L1090" s="5">
        <v>2</v>
      </c>
      <c r="M1090" s="5">
        <v>1</v>
      </c>
      <c r="N1090" s="5">
        <v>1</v>
      </c>
      <c r="O1090" s="5">
        <v>745.25</v>
      </c>
      <c r="P1090" s="6">
        <v>0</v>
      </c>
    </row>
    <row r="1091" spans="1:16" ht="23.4" x14ac:dyDescent="0.45">
      <c r="A1091" s="4" t="s">
        <v>1088</v>
      </c>
      <c r="B1091" s="5" t="s">
        <v>15</v>
      </c>
      <c r="C1091" s="5">
        <v>207272.4</v>
      </c>
      <c r="D1091" s="5">
        <v>46</v>
      </c>
      <c r="E1091" s="5">
        <v>0</v>
      </c>
      <c r="F1091" s="5">
        <v>0.82940000000000003</v>
      </c>
      <c r="G1091" s="5">
        <v>0.40329999999999999</v>
      </c>
      <c r="H1091" s="5">
        <v>7</v>
      </c>
      <c r="I1091" s="5">
        <v>69764.84</v>
      </c>
      <c r="J1091" s="5">
        <v>27521.86</v>
      </c>
      <c r="K1091" s="5">
        <v>155</v>
      </c>
      <c r="L1091" s="5">
        <v>3</v>
      </c>
      <c r="M1091" s="5">
        <v>2</v>
      </c>
      <c r="N1091" s="5">
        <v>0</v>
      </c>
      <c r="O1091" s="5">
        <v>768.82</v>
      </c>
      <c r="P1091" s="6">
        <v>0</v>
      </c>
    </row>
    <row r="1092" spans="1:16" ht="23.4" x14ac:dyDescent="0.45">
      <c r="A1092" s="4" t="s">
        <v>1089</v>
      </c>
      <c r="B1092" s="5" t="s">
        <v>9</v>
      </c>
      <c r="C1092" s="5">
        <v>152870.34</v>
      </c>
      <c r="D1092" s="5">
        <v>52</v>
      </c>
      <c r="E1092" s="5">
        <v>0</v>
      </c>
      <c r="F1092" s="5">
        <v>0.66749999999999998</v>
      </c>
      <c r="G1092" s="5">
        <v>0.1651</v>
      </c>
      <c r="H1092" s="5">
        <v>0</v>
      </c>
      <c r="I1092" s="5">
        <v>19500.25</v>
      </c>
      <c r="J1092" s="5">
        <v>15639.18</v>
      </c>
      <c r="K1092" s="5">
        <v>52</v>
      </c>
      <c r="L1092" s="5">
        <v>1</v>
      </c>
      <c r="M1092" s="5">
        <v>2</v>
      </c>
      <c r="N1092" s="5">
        <v>3</v>
      </c>
      <c r="O1092" s="5">
        <v>739.04</v>
      </c>
      <c r="P1092" s="6">
        <v>0</v>
      </c>
    </row>
    <row r="1093" spans="1:16" ht="23.4" x14ac:dyDescent="0.45">
      <c r="A1093" s="4" t="s">
        <v>1090</v>
      </c>
      <c r="B1093" s="5" t="s">
        <v>4</v>
      </c>
      <c r="C1093" s="5">
        <v>94380.41</v>
      </c>
      <c r="D1093" s="5">
        <v>55</v>
      </c>
      <c r="E1093" s="5">
        <v>1</v>
      </c>
      <c r="F1093" s="5">
        <v>0.65959999999999996</v>
      </c>
      <c r="G1093" s="5">
        <v>0.8347</v>
      </c>
      <c r="H1093" s="5">
        <v>7</v>
      </c>
      <c r="I1093" s="5">
        <v>68496.27</v>
      </c>
      <c r="J1093" s="5">
        <v>50183.3</v>
      </c>
      <c r="K1093" s="5">
        <v>151</v>
      </c>
      <c r="L1093" s="5">
        <v>1</v>
      </c>
      <c r="M1093" s="5">
        <v>1</v>
      </c>
      <c r="N1093" s="5">
        <v>3</v>
      </c>
      <c r="O1093" s="5">
        <v>783.74</v>
      </c>
      <c r="P1093" s="6">
        <v>0</v>
      </c>
    </row>
    <row r="1094" spans="1:16" ht="23.4" x14ac:dyDescent="0.45">
      <c r="A1094" s="4" t="s">
        <v>1091</v>
      </c>
      <c r="B1094" s="5" t="s">
        <v>1</v>
      </c>
      <c r="C1094" s="5">
        <v>82881.87</v>
      </c>
      <c r="D1094" s="5">
        <v>35</v>
      </c>
      <c r="E1094" s="5">
        <v>0</v>
      </c>
      <c r="F1094" s="5">
        <v>0.84499999999999997</v>
      </c>
      <c r="G1094" s="5">
        <v>0.16070000000000001</v>
      </c>
      <c r="H1094" s="5">
        <v>0</v>
      </c>
      <c r="I1094" s="5">
        <v>11320.7</v>
      </c>
      <c r="J1094" s="5">
        <v>18445.32</v>
      </c>
      <c r="K1094" s="5">
        <v>66</v>
      </c>
      <c r="L1094" s="5">
        <v>1</v>
      </c>
      <c r="M1094" s="5">
        <v>2</v>
      </c>
      <c r="N1094" s="5">
        <v>0</v>
      </c>
      <c r="O1094" s="5">
        <v>758.98</v>
      </c>
      <c r="P1094" s="6">
        <v>0</v>
      </c>
    </row>
    <row r="1095" spans="1:16" ht="23.4" x14ac:dyDescent="0.45">
      <c r="A1095" s="4" t="s">
        <v>1092</v>
      </c>
      <c r="B1095" s="5" t="s">
        <v>4</v>
      </c>
      <c r="C1095" s="5">
        <v>170003.69</v>
      </c>
      <c r="D1095" s="5">
        <v>34</v>
      </c>
      <c r="E1095" s="5">
        <v>1</v>
      </c>
      <c r="F1095" s="5">
        <v>0.66379999999999995</v>
      </c>
      <c r="G1095" s="5">
        <v>0.38779999999999998</v>
      </c>
      <c r="H1095" s="5">
        <v>4</v>
      </c>
      <c r="I1095" s="5">
        <v>82444.3</v>
      </c>
      <c r="J1095" s="5">
        <v>38569.300000000003</v>
      </c>
      <c r="K1095" s="5">
        <v>130</v>
      </c>
      <c r="L1095" s="5">
        <v>1</v>
      </c>
      <c r="M1095" s="5">
        <v>1</v>
      </c>
      <c r="N1095" s="5">
        <v>0</v>
      </c>
      <c r="O1095" s="5">
        <v>592.04</v>
      </c>
      <c r="P1095" s="6">
        <v>0</v>
      </c>
    </row>
    <row r="1096" spans="1:16" ht="23.4" x14ac:dyDescent="0.45">
      <c r="A1096" s="4" t="s">
        <v>522</v>
      </c>
      <c r="B1096" s="5" t="s">
        <v>9</v>
      </c>
      <c r="C1096" s="5">
        <v>16715.13</v>
      </c>
      <c r="D1096" s="5">
        <v>35</v>
      </c>
      <c r="E1096" s="5">
        <v>1</v>
      </c>
      <c r="F1096" s="5">
        <v>0.43190000000000001</v>
      </c>
      <c r="G1096" s="5">
        <v>0.39629999999999999</v>
      </c>
      <c r="H1096" s="5">
        <v>3</v>
      </c>
      <c r="I1096" s="5">
        <v>500</v>
      </c>
      <c r="J1096" s="5">
        <v>0</v>
      </c>
      <c r="K1096" s="5">
        <v>159</v>
      </c>
      <c r="L1096" s="5">
        <v>3</v>
      </c>
      <c r="M1096" s="5">
        <v>1</v>
      </c>
      <c r="N1096" s="5">
        <v>0</v>
      </c>
      <c r="O1096" s="5">
        <v>705.41</v>
      </c>
      <c r="P1096" s="6">
        <v>0</v>
      </c>
    </row>
    <row r="1097" spans="1:16" ht="23.4" x14ac:dyDescent="0.45">
      <c r="A1097" s="4" t="s">
        <v>1093</v>
      </c>
      <c r="B1097" s="5" t="s">
        <v>18</v>
      </c>
      <c r="C1097" s="5">
        <v>52232.35</v>
      </c>
      <c r="D1097" s="5">
        <v>30</v>
      </c>
      <c r="E1097" s="5">
        <v>0</v>
      </c>
      <c r="F1097" s="5">
        <v>0.68659999999999999</v>
      </c>
      <c r="G1097" s="5">
        <v>0.15429999999999999</v>
      </c>
      <c r="H1097" s="5">
        <v>0</v>
      </c>
      <c r="I1097" s="5">
        <v>500</v>
      </c>
      <c r="J1097" s="5">
        <v>0</v>
      </c>
      <c r="K1097" s="5">
        <v>178</v>
      </c>
      <c r="L1097" s="5">
        <v>2</v>
      </c>
      <c r="M1097" s="5">
        <v>2</v>
      </c>
      <c r="N1097" s="5">
        <v>1</v>
      </c>
      <c r="O1097" s="5">
        <v>707.8</v>
      </c>
      <c r="P1097" s="6">
        <v>0</v>
      </c>
    </row>
    <row r="1098" spans="1:16" ht="23.4" x14ac:dyDescent="0.45">
      <c r="A1098" s="4" t="s">
        <v>1094</v>
      </c>
      <c r="B1098" s="5" t="s">
        <v>4</v>
      </c>
      <c r="C1098" s="5">
        <v>27771.83</v>
      </c>
      <c r="D1098" s="5">
        <v>49</v>
      </c>
      <c r="E1098" s="5">
        <v>1</v>
      </c>
      <c r="F1098" s="5">
        <v>0.70169999999999999</v>
      </c>
      <c r="G1098" s="5">
        <v>0.21060000000000001</v>
      </c>
      <c r="H1098" s="5">
        <v>0</v>
      </c>
      <c r="I1098" s="5">
        <v>500</v>
      </c>
      <c r="J1098" s="5">
        <v>0</v>
      </c>
      <c r="K1098" s="5">
        <v>180</v>
      </c>
      <c r="L1098" s="5">
        <v>2</v>
      </c>
      <c r="M1098" s="5">
        <v>2</v>
      </c>
      <c r="N1098" s="5">
        <v>0</v>
      </c>
      <c r="O1098" s="5">
        <v>693.35</v>
      </c>
      <c r="P1098" s="6">
        <v>0</v>
      </c>
    </row>
    <row r="1099" spans="1:16" ht="23.4" x14ac:dyDescent="0.45">
      <c r="A1099" s="4" t="s">
        <v>1095</v>
      </c>
      <c r="B1099" s="5" t="s">
        <v>1</v>
      </c>
      <c r="C1099" s="5">
        <v>132180.84</v>
      </c>
      <c r="D1099" s="5">
        <v>39</v>
      </c>
      <c r="E1099" s="5">
        <v>0</v>
      </c>
      <c r="F1099" s="5">
        <v>0.8569</v>
      </c>
      <c r="G1099" s="5">
        <v>0.2545</v>
      </c>
      <c r="H1099" s="5">
        <v>5</v>
      </c>
      <c r="I1099" s="5">
        <v>7131.13</v>
      </c>
      <c r="J1099" s="5">
        <v>1295.73</v>
      </c>
      <c r="K1099" s="5">
        <v>171</v>
      </c>
      <c r="L1099" s="5">
        <v>2</v>
      </c>
      <c r="M1099" s="5">
        <v>1</v>
      </c>
      <c r="N1099" s="5">
        <v>2</v>
      </c>
      <c r="O1099" s="5">
        <v>661.3</v>
      </c>
      <c r="P1099" s="6">
        <v>0</v>
      </c>
    </row>
    <row r="1100" spans="1:16" ht="23.4" x14ac:dyDescent="0.45">
      <c r="A1100" s="4" t="s">
        <v>1096</v>
      </c>
      <c r="B1100" s="5" t="s">
        <v>4</v>
      </c>
      <c r="C1100" s="5">
        <v>65185.38</v>
      </c>
      <c r="D1100" s="5">
        <v>52</v>
      </c>
      <c r="E1100" s="5">
        <v>0</v>
      </c>
      <c r="F1100" s="5">
        <v>0.8619</v>
      </c>
      <c r="G1100" s="5">
        <v>0.15</v>
      </c>
      <c r="H1100" s="5">
        <v>2</v>
      </c>
      <c r="I1100" s="5">
        <v>500</v>
      </c>
      <c r="J1100" s="5">
        <v>4308.9399999999996</v>
      </c>
      <c r="K1100" s="5">
        <v>95</v>
      </c>
      <c r="L1100" s="5">
        <v>1</v>
      </c>
      <c r="M1100" s="5">
        <v>1</v>
      </c>
      <c r="N1100" s="5">
        <v>3</v>
      </c>
      <c r="O1100" s="5">
        <v>705.3</v>
      </c>
      <c r="P1100" s="6">
        <v>0</v>
      </c>
    </row>
    <row r="1101" spans="1:16" ht="23.4" x14ac:dyDescent="0.45">
      <c r="A1101" s="4" t="s">
        <v>1097</v>
      </c>
      <c r="B1101" s="5" t="s">
        <v>6</v>
      </c>
      <c r="C1101" s="5">
        <v>93676.98</v>
      </c>
      <c r="D1101" s="5">
        <v>62</v>
      </c>
      <c r="E1101" s="5">
        <v>1</v>
      </c>
      <c r="F1101" s="5">
        <v>0.45529999999999998</v>
      </c>
      <c r="G1101" s="5">
        <v>0.3669</v>
      </c>
      <c r="H1101" s="5">
        <v>3</v>
      </c>
      <c r="I1101" s="5">
        <v>38211.78</v>
      </c>
      <c r="J1101" s="5">
        <v>20400.169999999998</v>
      </c>
      <c r="K1101" s="5">
        <v>64</v>
      </c>
      <c r="L1101" s="5">
        <v>1</v>
      </c>
      <c r="M1101" s="5">
        <v>3</v>
      </c>
      <c r="N1101" s="5">
        <v>0</v>
      </c>
      <c r="O1101" s="5">
        <v>688.05</v>
      </c>
      <c r="P1101" s="6">
        <v>0</v>
      </c>
    </row>
    <row r="1102" spans="1:16" ht="23.4" x14ac:dyDescent="0.45">
      <c r="A1102" s="4" t="s">
        <v>1098</v>
      </c>
      <c r="B1102" s="5" t="s">
        <v>18</v>
      </c>
      <c r="C1102" s="5">
        <v>107389.77</v>
      </c>
      <c r="D1102" s="5">
        <v>37</v>
      </c>
      <c r="E1102" s="5">
        <v>0</v>
      </c>
      <c r="F1102" s="5">
        <v>0.72509999999999997</v>
      </c>
      <c r="G1102" s="5">
        <v>0.20069999999999999</v>
      </c>
      <c r="H1102" s="5">
        <v>2</v>
      </c>
      <c r="I1102" s="5">
        <v>29193.42</v>
      </c>
      <c r="J1102" s="5">
        <v>15125.91</v>
      </c>
      <c r="K1102" s="5">
        <v>53</v>
      </c>
      <c r="L1102" s="5">
        <v>1</v>
      </c>
      <c r="M1102" s="5">
        <v>1</v>
      </c>
      <c r="N1102" s="5">
        <v>1</v>
      </c>
      <c r="O1102" s="5">
        <v>723.97</v>
      </c>
      <c r="P1102" s="6">
        <v>0</v>
      </c>
    </row>
    <row r="1103" spans="1:16" ht="23.4" x14ac:dyDescent="0.45">
      <c r="A1103" s="4" t="s">
        <v>1099</v>
      </c>
      <c r="B1103" s="5" t="s">
        <v>1</v>
      </c>
      <c r="C1103" s="5">
        <v>109671.86</v>
      </c>
      <c r="D1103" s="5">
        <v>62</v>
      </c>
      <c r="E1103" s="5">
        <v>1</v>
      </c>
      <c r="F1103" s="5">
        <v>0.78369999999999995</v>
      </c>
      <c r="G1103" s="5">
        <v>0</v>
      </c>
      <c r="H1103" s="5">
        <v>3</v>
      </c>
      <c r="I1103" s="5">
        <v>500</v>
      </c>
      <c r="J1103" s="5">
        <v>0</v>
      </c>
      <c r="K1103" s="5">
        <v>114</v>
      </c>
      <c r="L1103" s="5">
        <v>3</v>
      </c>
      <c r="M1103" s="5">
        <v>1</v>
      </c>
      <c r="N1103" s="5">
        <v>2</v>
      </c>
      <c r="O1103" s="5">
        <v>809.74</v>
      </c>
      <c r="P1103" s="6">
        <v>0</v>
      </c>
    </row>
    <row r="1104" spans="1:16" ht="23.4" x14ac:dyDescent="0.45">
      <c r="A1104" s="4" t="s">
        <v>1100</v>
      </c>
      <c r="B1104" s="5" t="s">
        <v>1</v>
      </c>
      <c r="C1104" s="5">
        <v>86079.11</v>
      </c>
      <c r="D1104" s="5">
        <v>27</v>
      </c>
      <c r="E1104" s="5">
        <v>1</v>
      </c>
      <c r="F1104" s="5">
        <v>0.62739999999999996</v>
      </c>
      <c r="G1104" s="5">
        <v>0.3478</v>
      </c>
      <c r="H1104" s="5">
        <v>6</v>
      </c>
      <c r="I1104" s="5">
        <v>4465.0200000000004</v>
      </c>
      <c r="J1104" s="5">
        <v>0</v>
      </c>
      <c r="K1104" s="5">
        <v>147</v>
      </c>
      <c r="L1104" s="5">
        <v>3</v>
      </c>
      <c r="M1104" s="5">
        <v>2</v>
      </c>
      <c r="N1104" s="5">
        <v>0</v>
      </c>
      <c r="O1104" s="5">
        <v>738.48</v>
      </c>
      <c r="P1104" s="6">
        <v>1</v>
      </c>
    </row>
    <row r="1105" spans="1:16" ht="23.4" x14ac:dyDescent="0.45">
      <c r="A1105" s="4" t="s">
        <v>1101</v>
      </c>
      <c r="B1105" s="5" t="s">
        <v>1</v>
      </c>
      <c r="C1105" s="5">
        <v>76027.820000000007</v>
      </c>
      <c r="D1105" s="5">
        <v>31</v>
      </c>
      <c r="E1105" s="5">
        <v>0</v>
      </c>
      <c r="F1105" s="5">
        <v>0.72460000000000002</v>
      </c>
      <c r="G1105" s="5">
        <v>0.1016</v>
      </c>
      <c r="H1105" s="5">
        <v>3</v>
      </c>
      <c r="I1105" s="5">
        <v>10030.57</v>
      </c>
      <c r="J1105" s="5">
        <v>10955.27</v>
      </c>
      <c r="K1105" s="5">
        <v>18</v>
      </c>
      <c r="L1105" s="5">
        <v>2</v>
      </c>
      <c r="M1105" s="5">
        <v>2</v>
      </c>
      <c r="N1105" s="5">
        <v>0</v>
      </c>
      <c r="O1105" s="5">
        <v>740.12</v>
      </c>
      <c r="P1105" s="6">
        <v>0</v>
      </c>
    </row>
    <row r="1106" spans="1:16" ht="23.4" x14ac:dyDescent="0.45">
      <c r="A1106" s="4" t="s">
        <v>1102</v>
      </c>
      <c r="B1106" s="5" t="s">
        <v>1</v>
      </c>
      <c r="C1106" s="5">
        <v>37159.57</v>
      </c>
      <c r="D1106" s="5">
        <v>50</v>
      </c>
      <c r="E1106" s="5">
        <v>0</v>
      </c>
      <c r="F1106" s="5">
        <v>0.95909999999999995</v>
      </c>
      <c r="G1106" s="5">
        <v>0.40410000000000001</v>
      </c>
      <c r="H1106" s="5">
        <v>4</v>
      </c>
      <c r="I1106" s="5">
        <v>23752.49</v>
      </c>
      <c r="J1106" s="5">
        <v>22461.81</v>
      </c>
      <c r="K1106" s="5">
        <v>169</v>
      </c>
      <c r="L1106" s="5">
        <v>2</v>
      </c>
      <c r="M1106" s="5">
        <v>1</v>
      </c>
      <c r="N1106" s="5">
        <v>3</v>
      </c>
      <c r="O1106" s="5">
        <v>765.2</v>
      </c>
      <c r="P1106" s="6">
        <v>0</v>
      </c>
    </row>
    <row r="1107" spans="1:16" ht="23.4" x14ac:dyDescent="0.45">
      <c r="A1107" s="4" t="s">
        <v>1103</v>
      </c>
      <c r="B1107" s="5" t="s">
        <v>4</v>
      </c>
      <c r="C1107" s="5">
        <v>117914.67</v>
      </c>
      <c r="D1107" s="5">
        <v>52</v>
      </c>
      <c r="E1107" s="5">
        <v>0</v>
      </c>
      <c r="F1107" s="5">
        <v>0.61180000000000001</v>
      </c>
      <c r="G1107" s="5">
        <v>0.1749</v>
      </c>
      <c r="H1107" s="5">
        <v>0</v>
      </c>
      <c r="I1107" s="5">
        <v>16692.849999999999</v>
      </c>
      <c r="J1107" s="5">
        <v>0</v>
      </c>
      <c r="K1107" s="5">
        <v>139</v>
      </c>
      <c r="L1107" s="5">
        <v>2</v>
      </c>
      <c r="M1107" s="5">
        <v>2</v>
      </c>
      <c r="N1107" s="5">
        <v>1</v>
      </c>
      <c r="O1107" s="5">
        <v>685.36</v>
      </c>
      <c r="P1107" s="6">
        <v>0</v>
      </c>
    </row>
    <row r="1108" spans="1:16" ht="23.4" x14ac:dyDescent="0.45">
      <c r="A1108" s="4" t="s">
        <v>1104</v>
      </c>
      <c r="B1108" s="5" t="s">
        <v>1</v>
      </c>
      <c r="C1108" s="5">
        <v>90561.56</v>
      </c>
      <c r="D1108" s="5">
        <v>47</v>
      </c>
      <c r="E1108" s="5">
        <v>0</v>
      </c>
      <c r="F1108" s="5">
        <v>0.45650000000000002</v>
      </c>
      <c r="G1108" s="5">
        <v>0.64629999999999999</v>
      </c>
      <c r="H1108" s="5">
        <v>7</v>
      </c>
      <c r="I1108" s="5">
        <v>61399.06</v>
      </c>
      <c r="J1108" s="5">
        <v>37323.9</v>
      </c>
      <c r="K1108" s="5">
        <v>24</v>
      </c>
      <c r="L1108" s="5">
        <v>2</v>
      </c>
      <c r="M1108" s="5">
        <v>1</v>
      </c>
      <c r="N1108" s="5">
        <v>0</v>
      </c>
      <c r="O1108" s="5">
        <v>604.04</v>
      </c>
      <c r="P1108" s="6">
        <v>0</v>
      </c>
    </row>
    <row r="1109" spans="1:16" ht="23.4" x14ac:dyDescent="0.45">
      <c r="A1109" s="4" t="s">
        <v>1105</v>
      </c>
      <c r="B1109" s="5" t="s">
        <v>6</v>
      </c>
      <c r="C1109" s="5">
        <v>61696.9</v>
      </c>
      <c r="D1109" s="5">
        <v>44</v>
      </c>
      <c r="E1109" s="5">
        <v>1</v>
      </c>
      <c r="F1109" s="5">
        <v>0.92859999999999998</v>
      </c>
      <c r="G1109" s="5">
        <v>0.44319999999999998</v>
      </c>
      <c r="H1109" s="5">
        <v>3</v>
      </c>
      <c r="I1109" s="5">
        <v>16890.38</v>
      </c>
      <c r="J1109" s="5">
        <v>15120.49</v>
      </c>
      <c r="K1109" s="5">
        <v>121</v>
      </c>
      <c r="L1109" s="5">
        <v>3</v>
      </c>
      <c r="M1109" s="5">
        <v>2</v>
      </c>
      <c r="N1109" s="5">
        <v>1</v>
      </c>
      <c r="O1109" s="5">
        <v>627.25</v>
      </c>
      <c r="P1109" s="6">
        <v>0</v>
      </c>
    </row>
    <row r="1110" spans="1:16" ht="23.4" x14ac:dyDescent="0.45">
      <c r="A1110" s="4" t="s">
        <v>1106</v>
      </c>
      <c r="B1110" s="5" t="s">
        <v>6</v>
      </c>
      <c r="C1110" s="5">
        <v>79190.8</v>
      </c>
      <c r="D1110" s="5">
        <v>22</v>
      </c>
      <c r="E1110" s="5">
        <v>0</v>
      </c>
      <c r="F1110" s="5">
        <v>0.84179999999999999</v>
      </c>
      <c r="G1110" s="5">
        <v>0.83850000000000002</v>
      </c>
      <c r="H1110" s="5">
        <v>2</v>
      </c>
      <c r="I1110" s="5">
        <v>66126.7</v>
      </c>
      <c r="J1110" s="5">
        <v>56792.91</v>
      </c>
      <c r="K1110" s="5">
        <v>125</v>
      </c>
      <c r="L1110" s="5">
        <v>2</v>
      </c>
      <c r="M1110" s="5">
        <v>1</v>
      </c>
      <c r="N1110" s="5">
        <v>0</v>
      </c>
      <c r="O1110" s="5">
        <v>727.52</v>
      </c>
      <c r="P1110" s="6">
        <v>0</v>
      </c>
    </row>
    <row r="1111" spans="1:16" ht="23.4" x14ac:dyDescent="0.45">
      <c r="A1111" s="4" t="s">
        <v>1107</v>
      </c>
      <c r="B1111" s="5" t="s">
        <v>1</v>
      </c>
      <c r="C1111" s="5">
        <v>81524.25</v>
      </c>
      <c r="D1111" s="5">
        <v>61</v>
      </c>
      <c r="E1111" s="5">
        <v>1</v>
      </c>
      <c r="F1111" s="5">
        <v>0.84799999999999998</v>
      </c>
      <c r="G1111" s="5">
        <v>0.3024</v>
      </c>
      <c r="H1111" s="5">
        <v>4</v>
      </c>
      <c r="I1111" s="5">
        <v>30149.05</v>
      </c>
      <c r="J1111" s="5">
        <v>13475.59</v>
      </c>
      <c r="K1111" s="5">
        <v>116</v>
      </c>
      <c r="L1111" s="5">
        <v>1</v>
      </c>
      <c r="M1111" s="5">
        <v>1</v>
      </c>
      <c r="N1111" s="5">
        <v>2</v>
      </c>
      <c r="O1111" s="5">
        <v>784.69</v>
      </c>
      <c r="P1111" s="6">
        <v>0</v>
      </c>
    </row>
    <row r="1112" spans="1:16" ht="23.4" x14ac:dyDescent="0.45">
      <c r="A1112" s="4" t="s">
        <v>1108</v>
      </c>
      <c r="B1112" s="5" t="s">
        <v>18</v>
      </c>
      <c r="C1112" s="5">
        <v>212902.86</v>
      </c>
      <c r="D1112" s="5">
        <v>51</v>
      </c>
      <c r="E1112" s="5">
        <v>0</v>
      </c>
      <c r="F1112" s="5">
        <v>0.84219999999999995</v>
      </c>
      <c r="G1112" s="5">
        <v>0.60429999999999995</v>
      </c>
      <c r="H1112" s="5">
        <v>4</v>
      </c>
      <c r="I1112" s="5">
        <v>122061.4</v>
      </c>
      <c r="J1112" s="5">
        <v>98778.43</v>
      </c>
      <c r="K1112" s="5">
        <v>8</v>
      </c>
      <c r="L1112" s="5">
        <v>4</v>
      </c>
      <c r="M1112" s="5">
        <v>1</v>
      </c>
      <c r="N1112" s="5">
        <v>1</v>
      </c>
      <c r="O1112" s="5">
        <v>701.07</v>
      </c>
      <c r="P1112" s="6">
        <v>0</v>
      </c>
    </row>
    <row r="1113" spans="1:16" ht="23.4" x14ac:dyDescent="0.45">
      <c r="A1113" s="4" t="s">
        <v>1109</v>
      </c>
      <c r="B1113" s="5" t="s">
        <v>18</v>
      </c>
      <c r="C1113" s="5">
        <v>99984.69</v>
      </c>
      <c r="D1113" s="5">
        <v>54</v>
      </c>
      <c r="E1113" s="5">
        <v>1</v>
      </c>
      <c r="F1113" s="5">
        <v>0.5494</v>
      </c>
      <c r="G1113" s="5">
        <v>0.59730000000000005</v>
      </c>
      <c r="H1113" s="5">
        <v>2</v>
      </c>
      <c r="I1113" s="5">
        <v>77571.350000000006</v>
      </c>
      <c r="J1113" s="5">
        <v>44006.52</v>
      </c>
      <c r="K1113" s="5">
        <v>100</v>
      </c>
      <c r="L1113" s="5">
        <v>1</v>
      </c>
      <c r="M1113" s="5">
        <v>2</v>
      </c>
      <c r="N1113" s="5">
        <v>0</v>
      </c>
      <c r="O1113" s="5">
        <v>711.91</v>
      </c>
      <c r="P1113" s="6">
        <v>0</v>
      </c>
    </row>
    <row r="1114" spans="1:16" ht="23.4" x14ac:dyDescent="0.45">
      <c r="A1114" s="4" t="s">
        <v>1110</v>
      </c>
      <c r="B1114" s="5" t="s">
        <v>15</v>
      </c>
      <c r="C1114" s="5">
        <v>13803.89</v>
      </c>
      <c r="D1114" s="5">
        <v>23</v>
      </c>
      <c r="E1114" s="5">
        <v>0</v>
      </c>
      <c r="F1114" s="5">
        <v>0.72660000000000002</v>
      </c>
      <c r="G1114" s="5">
        <v>0.2419</v>
      </c>
      <c r="H1114" s="5">
        <v>0</v>
      </c>
      <c r="I1114" s="5">
        <v>3219.97</v>
      </c>
      <c r="J1114" s="5">
        <v>0</v>
      </c>
      <c r="K1114" s="5">
        <v>45</v>
      </c>
      <c r="L1114" s="5">
        <v>3</v>
      </c>
      <c r="M1114" s="5">
        <v>1</v>
      </c>
      <c r="N1114" s="5">
        <v>1</v>
      </c>
      <c r="O1114" s="5">
        <v>628.54</v>
      </c>
      <c r="P1114" s="6">
        <v>0</v>
      </c>
    </row>
    <row r="1115" spans="1:16" ht="23.4" x14ac:dyDescent="0.45">
      <c r="A1115" s="4" t="s">
        <v>1111</v>
      </c>
      <c r="B1115" s="5" t="s">
        <v>9</v>
      </c>
      <c r="C1115" s="5">
        <v>116584.92</v>
      </c>
      <c r="D1115" s="5">
        <v>30</v>
      </c>
      <c r="E1115" s="5">
        <v>0</v>
      </c>
      <c r="F1115" s="5">
        <v>0.71009999999999995</v>
      </c>
      <c r="G1115" s="5">
        <v>0.23519999999999999</v>
      </c>
      <c r="H1115" s="5">
        <v>0</v>
      </c>
      <c r="I1115" s="5">
        <v>19344.95</v>
      </c>
      <c r="J1115" s="5">
        <v>13678.59</v>
      </c>
      <c r="K1115" s="5">
        <v>9</v>
      </c>
      <c r="L1115" s="5">
        <v>4</v>
      </c>
      <c r="M1115" s="5">
        <v>1</v>
      </c>
      <c r="N1115" s="5">
        <v>1</v>
      </c>
      <c r="O1115" s="5">
        <v>734.08</v>
      </c>
      <c r="P1115" s="6">
        <v>0</v>
      </c>
    </row>
    <row r="1116" spans="1:16" ht="23.4" x14ac:dyDescent="0.45">
      <c r="A1116" s="4" t="s">
        <v>1112</v>
      </c>
      <c r="B1116" s="5" t="s">
        <v>6</v>
      </c>
      <c r="C1116" s="5">
        <v>101849.63</v>
      </c>
      <c r="D1116" s="5">
        <v>56</v>
      </c>
      <c r="E1116" s="5">
        <v>1</v>
      </c>
      <c r="F1116" s="5">
        <v>0.59809999999999997</v>
      </c>
      <c r="G1116" s="5">
        <v>0</v>
      </c>
      <c r="H1116" s="5">
        <v>0</v>
      </c>
      <c r="I1116" s="5">
        <v>11280.69</v>
      </c>
      <c r="J1116" s="5">
        <v>31025.54</v>
      </c>
      <c r="K1116" s="5">
        <v>47</v>
      </c>
      <c r="L1116" s="5">
        <v>3</v>
      </c>
      <c r="M1116" s="5">
        <v>1</v>
      </c>
      <c r="N1116" s="5">
        <v>1</v>
      </c>
      <c r="O1116" s="5">
        <v>783.48</v>
      </c>
      <c r="P1116" s="6">
        <v>0</v>
      </c>
    </row>
    <row r="1117" spans="1:16" ht="23.4" x14ac:dyDescent="0.45">
      <c r="A1117" s="4" t="s">
        <v>1113</v>
      </c>
      <c r="B1117" s="5" t="s">
        <v>6</v>
      </c>
      <c r="C1117" s="5">
        <v>110404.92</v>
      </c>
      <c r="D1117" s="5">
        <v>64</v>
      </c>
      <c r="E1117" s="5">
        <v>0</v>
      </c>
      <c r="F1117" s="5">
        <v>0.61839999999999995</v>
      </c>
      <c r="G1117" s="5">
        <v>0.4042</v>
      </c>
      <c r="H1117" s="5">
        <v>0</v>
      </c>
      <c r="I1117" s="5">
        <v>52695.23</v>
      </c>
      <c r="J1117" s="5">
        <v>17552.79</v>
      </c>
      <c r="K1117" s="5">
        <v>126</v>
      </c>
      <c r="L1117" s="5">
        <v>4</v>
      </c>
      <c r="M1117" s="5">
        <v>1</v>
      </c>
      <c r="N1117" s="5">
        <v>1</v>
      </c>
      <c r="O1117" s="5">
        <v>579.86</v>
      </c>
      <c r="P1117" s="6">
        <v>0</v>
      </c>
    </row>
    <row r="1118" spans="1:16" ht="23.4" x14ac:dyDescent="0.45">
      <c r="A1118" s="4" t="s">
        <v>1114</v>
      </c>
      <c r="B1118" s="5" t="s">
        <v>15</v>
      </c>
      <c r="C1118" s="5">
        <v>105868.14</v>
      </c>
      <c r="D1118" s="5">
        <v>63</v>
      </c>
      <c r="E1118" s="5">
        <v>1</v>
      </c>
      <c r="F1118" s="5">
        <v>0.5353</v>
      </c>
      <c r="G1118" s="5">
        <v>0.3327</v>
      </c>
      <c r="H1118" s="5">
        <v>3</v>
      </c>
      <c r="I1118" s="5">
        <v>25351.3</v>
      </c>
      <c r="J1118" s="5">
        <v>4008.33</v>
      </c>
      <c r="K1118" s="5">
        <v>139</v>
      </c>
      <c r="L1118" s="5">
        <v>2</v>
      </c>
      <c r="M1118" s="5">
        <v>2</v>
      </c>
      <c r="N1118" s="5">
        <v>1</v>
      </c>
      <c r="O1118" s="5">
        <v>690.87</v>
      </c>
      <c r="P1118" s="6">
        <v>0</v>
      </c>
    </row>
    <row r="1119" spans="1:16" ht="23.4" x14ac:dyDescent="0.45">
      <c r="A1119" s="4" t="s">
        <v>1115</v>
      </c>
      <c r="B1119" s="5" t="s">
        <v>9</v>
      </c>
      <c r="C1119" s="5">
        <v>172622.7</v>
      </c>
      <c r="D1119" s="5">
        <v>38</v>
      </c>
      <c r="E1119" s="5">
        <v>0</v>
      </c>
      <c r="F1119" s="5">
        <v>0.58750000000000002</v>
      </c>
      <c r="G1119" s="5">
        <v>0.66290000000000004</v>
      </c>
      <c r="H1119" s="5">
        <v>1</v>
      </c>
      <c r="I1119" s="5">
        <v>114599.76</v>
      </c>
      <c r="J1119" s="5">
        <v>56481.42</v>
      </c>
      <c r="K1119" s="5">
        <v>82</v>
      </c>
      <c r="L1119" s="5">
        <v>3</v>
      </c>
      <c r="M1119" s="5">
        <v>1</v>
      </c>
      <c r="N1119" s="5">
        <v>2</v>
      </c>
      <c r="O1119" s="5">
        <v>750.84</v>
      </c>
      <c r="P1119" s="6">
        <v>0</v>
      </c>
    </row>
    <row r="1120" spans="1:16" ht="23.4" x14ac:dyDescent="0.45">
      <c r="A1120" s="4" t="s">
        <v>1116</v>
      </c>
      <c r="B1120" s="5" t="s">
        <v>6</v>
      </c>
      <c r="C1120" s="5">
        <v>107697.81</v>
      </c>
      <c r="D1120" s="5">
        <v>36</v>
      </c>
      <c r="E1120" s="5">
        <v>1</v>
      </c>
      <c r="F1120" s="5">
        <v>0.58350000000000002</v>
      </c>
      <c r="G1120" s="5">
        <v>0.25940000000000002</v>
      </c>
      <c r="H1120" s="5">
        <v>2</v>
      </c>
      <c r="I1120" s="5">
        <v>43203.18</v>
      </c>
      <c r="J1120" s="5">
        <v>33170.79</v>
      </c>
      <c r="K1120" s="5">
        <v>98</v>
      </c>
      <c r="L1120" s="5">
        <v>2</v>
      </c>
      <c r="M1120" s="5">
        <v>1</v>
      </c>
      <c r="N1120" s="5">
        <v>1</v>
      </c>
      <c r="O1120" s="5">
        <v>685.69</v>
      </c>
      <c r="P1120" s="6">
        <v>0</v>
      </c>
    </row>
    <row r="1121" spans="1:16" ht="23.4" x14ac:dyDescent="0.45">
      <c r="A1121" s="4" t="s">
        <v>1117</v>
      </c>
      <c r="B1121" s="5" t="s">
        <v>15</v>
      </c>
      <c r="C1121" s="5">
        <v>121955.41</v>
      </c>
      <c r="D1121" s="5">
        <v>63</v>
      </c>
      <c r="E1121" s="5">
        <v>1</v>
      </c>
      <c r="F1121" s="5">
        <v>0.85880000000000001</v>
      </c>
      <c r="G1121" s="5">
        <v>0.48780000000000001</v>
      </c>
      <c r="H1121" s="5">
        <v>5</v>
      </c>
      <c r="I1121" s="5">
        <v>49214.34</v>
      </c>
      <c r="J1121" s="5">
        <v>38430.58</v>
      </c>
      <c r="K1121" s="5">
        <v>127</v>
      </c>
      <c r="L1121" s="5">
        <v>4</v>
      </c>
      <c r="M1121" s="5">
        <v>1</v>
      </c>
      <c r="N1121" s="5">
        <v>0</v>
      </c>
      <c r="O1121" s="5">
        <v>682.18</v>
      </c>
      <c r="P1121" s="6">
        <v>0</v>
      </c>
    </row>
    <row r="1122" spans="1:16" ht="23.4" x14ac:dyDescent="0.45">
      <c r="A1122" s="4" t="s">
        <v>1118</v>
      </c>
      <c r="B1122" s="5" t="s">
        <v>9</v>
      </c>
      <c r="C1122" s="5">
        <v>2000</v>
      </c>
      <c r="D1122" s="5">
        <v>46</v>
      </c>
      <c r="E1122" s="5">
        <v>1</v>
      </c>
      <c r="F1122" s="5">
        <v>0.75919999999999999</v>
      </c>
      <c r="G1122" s="5">
        <v>0.1835</v>
      </c>
      <c r="H1122" s="5">
        <v>0</v>
      </c>
      <c r="I1122" s="5">
        <v>7576.43</v>
      </c>
      <c r="J1122" s="5">
        <v>0.4</v>
      </c>
      <c r="K1122" s="5">
        <v>162</v>
      </c>
      <c r="L1122" s="5">
        <v>3</v>
      </c>
      <c r="M1122" s="5">
        <v>1</v>
      </c>
      <c r="N1122" s="5">
        <v>1</v>
      </c>
      <c r="O1122" s="5">
        <v>628.58000000000004</v>
      </c>
      <c r="P1122" s="6">
        <v>0</v>
      </c>
    </row>
    <row r="1123" spans="1:16" ht="23.4" x14ac:dyDescent="0.45">
      <c r="A1123" s="4" t="s">
        <v>1119</v>
      </c>
      <c r="B1123" s="5" t="s">
        <v>18</v>
      </c>
      <c r="C1123" s="5">
        <v>41165.89</v>
      </c>
      <c r="D1123" s="5">
        <v>26</v>
      </c>
      <c r="E1123" s="5">
        <v>1</v>
      </c>
      <c r="F1123" s="5">
        <v>0.70750000000000002</v>
      </c>
      <c r="G1123" s="5">
        <v>0.36870000000000003</v>
      </c>
      <c r="H1123" s="5">
        <v>0</v>
      </c>
      <c r="I1123" s="5">
        <v>10793.62</v>
      </c>
      <c r="J1123" s="5">
        <v>25097.79</v>
      </c>
      <c r="K1123" s="5">
        <v>171</v>
      </c>
      <c r="L1123" s="5">
        <v>1</v>
      </c>
      <c r="M1123" s="5">
        <v>1</v>
      </c>
      <c r="N1123" s="5">
        <v>1</v>
      </c>
      <c r="O1123" s="5">
        <v>792.51</v>
      </c>
      <c r="P1123" s="6">
        <v>0</v>
      </c>
    </row>
    <row r="1124" spans="1:16" ht="23.4" x14ac:dyDescent="0.45">
      <c r="A1124" s="4" t="s">
        <v>1120</v>
      </c>
      <c r="B1124" s="5" t="s">
        <v>18</v>
      </c>
      <c r="C1124" s="5">
        <v>67693.5</v>
      </c>
      <c r="D1124" s="5">
        <v>64</v>
      </c>
      <c r="E1124" s="5">
        <v>0</v>
      </c>
      <c r="F1124" s="5">
        <v>1</v>
      </c>
      <c r="G1124" s="5">
        <v>0.21590000000000001</v>
      </c>
      <c r="H1124" s="5">
        <v>0</v>
      </c>
      <c r="I1124" s="5">
        <v>2418.9899999999998</v>
      </c>
      <c r="J1124" s="5">
        <v>10079.27</v>
      </c>
      <c r="K1124" s="5">
        <v>16</v>
      </c>
      <c r="L1124" s="5">
        <v>1</v>
      </c>
      <c r="M1124" s="5">
        <v>1</v>
      </c>
      <c r="N1124" s="5">
        <v>0</v>
      </c>
      <c r="O1124" s="5">
        <v>777.6</v>
      </c>
      <c r="P1124" s="6">
        <v>0</v>
      </c>
    </row>
    <row r="1125" spans="1:16" ht="23.4" x14ac:dyDescent="0.45">
      <c r="A1125" s="4" t="s">
        <v>1121</v>
      </c>
      <c r="B1125" s="5" t="s">
        <v>6</v>
      </c>
      <c r="C1125" s="5">
        <v>89568.16</v>
      </c>
      <c r="D1125" s="5">
        <v>21</v>
      </c>
      <c r="E1125" s="5">
        <v>0</v>
      </c>
      <c r="F1125" s="5">
        <v>0.75670000000000004</v>
      </c>
      <c r="G1125" s="5">
        <v>0.25280000000000002</v>
      </c>
      <c r="H1125" s="5">
        <v>3</v>
      </c>
      <c r="I1125" s="5">
        <v>35729.379999999997</v>
      </c>
      <c r="J1125" s="5">
        <v>28919.32</v>
      </c>
      <c r="K1125" s="5">
        <v>157</v>
      </c>
      <c r="L1125" s="5">
        <v>1</v>
      </c>
      <c r="M1125" s="5">
        <v>2</v>
      </c>
      <c r="N1125" s="5">
        <v>0</v>
      </c>
      <c r="O1125" s="5">
        <v>719.41</v>
      </c>
      <c r="P1125" s="6">
        <v>0</v>
      </c>
    </row>
    <row r="1126" spans="1:16" ht="23.4" x14ac:dyDescent="0.45">
      <c r="A1126" s="4" t="s">
        <v>1122</v>
      </c>
      <c r="B1126" s="5" t="s">
        <v>1</v>
      </c>
      <c r="C1126" s="5">
        <v>122289.38</v>
      </c>
      <c r="D1126" s="5">
        <v>37</v>
      </c>
      <c r="E1126" s="5">
        <v>0</v>
      </c>
      <c r="F1126" s="5">
        <v>0.87039999999999995</v>
      </c>
      <c r="G1126" s="5">
        <v>0.63770000000000004</v>
      </c>
      <c r="H1126" s="5">
        <v>7</v>
      </c>
      <c r="I1126" s="5">
        <v>60489.97</v>
      </c>
      <c r="J1126" s="5">
        <v>44381.47</v>
      </c>
      <c r="K1126" s="5">
        <v>63</v>
      </c>
      <c r="L1126" s="5">
        <v>2</v>
      </c>
      <c r="M1126" s="5">
        <v>1</v>
      </c>
      <c r="N1126" s="5">
        <v>2</v>
      </c>
      <c r="O1126" s="5">
        <v>656.38</v>
      </c>
      <c r="P1126" s="6">
        <v>0</v>
      </c>
    </row>
    <row r="1127" spans="1:16" ht="23.4" x14ac:dyDescent="0.45">
      <c r="A1127" s="4" t="s">
        <v>1123</v>
      </c>
      <c r="B1127" s="5" t="s">
        <v>4</v>
      </c>
      <c r="C1127" s="5">
        <v>30314.87</v>
      </c>
      <c r="D1127" s="5">
        <v>43</v>
      </c>
      <c r="E1127" s="5">
        <v>0</v>
      </c>
      <c r="F1127" s="5">
        <v>0.86329999999999996</v>
      </c>
      <c r="G1127" s="5">
        <v>0.33610000000000001</v>
      </c>
      <c r="H1127" s="5">
        <v>0</v>
      </c>
      <c r="I1127" s="5">
        <v>500</v>
      </c>
      <c r="J1127" s="5">
        <v>0</v>
      </c>
      <c r="K1127" s="5">
        <v>85</v>
      </c>
      <c r="L1127" s="5">
        <v>2</v>
      </c>
      <c r="M1127" s="5">
        <v>1</v>
      </c>
      <c r="N1127" s="5">
        <v>1</v>
      </c>
      <c r="O1127" s="5">
        <v>795</v>
      </c>
      <c r="P1127" s="6">
        <v>0</v>
      </c>
    </row>
    <row r="1128" spans="1:16" ht="23.4" x14ac:dyDescent="0.45">
      <c r="A1128" s="4" t="s">
        <v>1124</v>
      </c>
      <c r="B1128" s="5" t="s">
        <v>6</v>
      </c>
      <c r="C1128" s="5">
        <v>105242.35</v>
      </c>
      <c r="D1128" s="5">
        <v>28</v>
      </c>
      <c r="E1128" s="5">
        <v>0</v>
      </c>
      <c r="F1128" s="5">
        <v>0.71589999999999998</v>
      </c>
      <c r="G1128" s="5">
        <v>0.9335</v>
      </c>
      <c r="H1128" s="5">
        <v>11</v>
      </c>
      <c r="I1128" s="5">
        <v>115111.12</v>
      </c>
      <c r="J1128" s="5">
        <v>88134.080000000002</v>
      </c>
      <c r="K1128" s="5">
        <v>78</v>
      </c>
      <c r="L1128" s="5">
        <v>3</v>
      </c>
      <c r="M1128" s="5">
        <v>2</v>
      </c>
      <c r="N1128" s="5">
        <v>1</v>
      </c>
      <c r="O1128" s="5">
        <v>648.67999999999995</v>
      </c>
      <c r="P1128" s="6">
        <v>1</v>
      </c>
    </row>
    <row r="1129" spans="1:16" ht="23.4" x14ac:dyDescent="0.45">
      <c r="A1129" s="4" t="s">
        <v>1125</v>
      </c>
      <c r="B1129" s="5" t="s">
        <v>18</v>
      </c>
      <c r="C1129" s="5">
        <v>42819.94</v>
      </c>
      <c r="D1129" s="5">
        <v>62</v>
      </c>
      <c r="E1129" s="5">
        <v>0</v>
      </c>
      <c r="F1129" s="5">
        <v>0.5534</v>
      </c>
      <c r="G1129" s="5">
        <v>7.4999999999999997E-2</v>
      </c>
      <c r="H1129" s="5">
        <v>1</v>
      </c>
      <c r="I1129" s="5">
        <v>500</v>
      </c>
      <c r="J1129" s="5">
        <v>0</v>
      </c>
      <c r="K1129" s="5">
        <v>173</v>
      </c>
      <c r="L1129" s="5">
        <v>1</v>
      </c>
      <c r="M1129" s="5">
        <v>1</v>
      </c>
      <c r="N1129" s="5">
        <v>0</v>
      </c>
      <c r="O1129" s="5">
        <v>587.04</v>
      </c>
      <c r="P1129" s="6">
        <v>0</v>
      </c>
    </row>
    <row r="1130" spans="1:16" ht="23.4" x14ac:dyDescent="0.45">
      <c r="A1130" s="4" t="s">
        <v>1126</v>
      </c>
      <c r="B1130" s="5" t="s">
        <v>9</v>
      </c>
      <c r="C1130" s="5">
        <v>176423.27</v>
      </c>
      <c r="D1130" s="5">
        <v>37</v>
      </c>
      <c r="E1130" s="5">
        <v>1</v>
      </c>
      <c r="F1130" s="5">
        <v>0.77669999999999995</v>
      </c>
      <c r="G1130" s="5">
        <v>4.8300000000000003E-2</v>
      </c>
      <c r="H1130" s="5">
        <v>3</v>
      </c>
      <c r="I1130" s="5">
        <v>500</v>
      </c>
      <c r="J1130" s="5">
        <v>5095.75</v>
      </c>
      <c r="K1130" s="5">
        <v>88</v>
      </c>
      <c r="L1130" s="5">
        <v>2</v>
      </c>
      <c r="M1130" s="5">
        <v>2</v>
      </c>
      <c r="N1130" s="5">
        <v>1</v>
      </c>
      <c r="O1130" s="5">
        <v>716.07</v>
      </c>
      <c r="P1130" s="6">
        <v>0</v>
      </c>
    </row>
    <row r="1131" spans="1:16" ht="23.4" x14ac:dyDescent="0.45">
      <c r="A1131" s="4" t="s">
        <v>1127</v>
      </c>
      <c r="B1131" s="5" t="s">
        <v>15</v>
      </c>
      <c r="C1131" s="5">
        <v>26394.09</v>
      </c>
      <c r="D1131" s="5">
        <v>69</v>
      </c>
      <c r="E1131" s="5">
        <v>1</v>
      </c>
      <c r="F1131" s="5">
        <v>0.41649999999999998</v>
      </c>
      <c r="G1131" s="5">
        <v>0.24249999999999999</v>
      </c>
      <c r="H1131" s="5">
        <v>5</v>
      </c>
      <c r="I1131" s="5">
        <v>7625</v>
      </c>
      <c r="J1131" s="5">
        <v>12275.12</v>
      </c>
      <c r="K1131" s="5">
        <v>130</v>
      </c>
      <c r="L1131" s="5">
        <v>3</v>
      </c>
      <c r="M1131" s="5">
        <v>1</v>
      </c>
      <c r="N1131" s="5">
        <v>0</v>
      </c>
      <c r="O1131" s="5">
        <v>662.96</v>
      </c>
      <c r="P1131" s="6">
        <v>0</v>
      </c>
    </row>
    <row r="1132" spans="1:16" ht="23.4" x14ac:dyDescent="0.45">
      <c r="A1132" s="4" t="s">
        <v>1128</v>
      </c>
      <c r="B1132" s="5" t="s">
        <v>6</v>
      </c>
      <c r="C1132" s="5">
        <v>37540.65</v>
      </c>
      <c r="D1132" s="5">
        <v>38</v>
      </c>
      <c r="E1132" s="5">
        <v>1</v>
      </c>
      <c r="F1132" s="5">
        <v>0.68120000000000003</v>
      </c>
      <c r="G1132" s="5">
        <v>0.73350000000000004</v>
      </c>
      <c r="H1132" s="5">
        <v>2</v>
      </c>
      <c r="I1132" s="5">
        <v>5139.72</v>
      </c>
      <c r="J1132" s="5">
        <v>10232.84</v>
      </c>
      <c r="K1132" s="5">
        <v>167</v>
      </c>
      <c r="L1132" s="5">
        <v>2</v>
      </c>
      <c r="M1132" s="5">
        <v>1</v>
      </c>
      <c r="N1132" s="5">
        <v>1</v>
      </c>
      <c r="O1132" s="5">
        <v>658.38</v>
      </c>
      <c r="P1132" s="6">
        <v>0</v>
      </c>
    </row>
    <row r="1133" spans="1:16" ht="23.4" x14ac:dyDescent="0.45">
      <c r="A1133" s="4" t="s">
        <v>1129</v>
      </c>
      <c r="B1133" s="5" t="s">
        <v>6</v>
      </c>
      <c r="C1133" s="5">
        <v>108058.12</v>
      </c>
      <c r="D1133" s="5">
        <v>53</v>
      </c>
      <c r="E1133" s="5">
        <v>1</v>
      </c>
      <c r="F1133" s="5">
        <v>0.73380000000000001</v>
      </c>
      <c r="G1133" s="5">
        <v>0.53490000000000004</v>
      </c>
      <c r="H1133" s="5">
        <v>2</v>
      </c>
      <c r="I1133" s="5">
        <v>30970.53</v>
      </c>
      <c r="J1133" s="5">
        <v>21239.71</v>
      </c>
      <c r="K1133" s="5">
        <v>106</v>
      </c>
      <c r="L1133" s="5">
        <v>3</v>
      </c>
      <c r="M1133" s="5">
        <v>3</v>
      </c>
      <c r="N1133" s="5">
        <v>1</v>
      </c>
      <c r="O1133" s="5">
        <v>647.34</v>
      </c>
      <c r="P1133" s="6">
        <v>0</v>
      </c>
    </row>
    <row r="1134" spans="1:16" ht="23.4" x14ac:dyDescent="0.45">
      <c r="A1134" s="4" t="s">
        <v>1130</v>
      </c>
      <c r="B1134" s="5" t="s">
        <v>1</v>
      </c>
      <c r="C1134" s="5">
        <v>2000</v>
      </c>
      <c r="D1134" s="5">
        <v>23</v>
      </c>
      <c r="E1134" s="5">
        <v>0</v>
      </c>
      <c r="F1134" s="5">
        <v>0.89449999999999996</v>
      </c>
      <c r="G1134" s="5">
        <v>1.7500000000000002E-2</v>
      </c>
      <c r="H1134" s="5">
        <v>1</v>
      </c>
      <c r="I1134" s="5">
        <v>500</v>
      </c>
      <c r="J1134" s="5">
        <v>0</v>
      </c>
      <c r="K1134" s="5">
        <v>122</v>
      </c>
      <c r="L1134" s="5">
        <v>1</v>
      </c>
      <c r="M1134" s="5">
        <v>1</v>
      </c>
      <c r="N1134" s="5">
        <v>0</v>
      </c>
      <c r="O1134" s="5">
        <v>681.75</v>
      </c>
      <c r="P1134" s="6">
        <v>0</v>
      </c>
    </row>
    <row r="1135" spans="1:16" ht="23.4" x14ac:dyDescent="0.45">
      <c r="A1135" s="4" t="s">
        <v>1131</v>
      </c>
      <c r="B1135" s="5" t="s">
        <v>18</v>
      </c>
      <c r="C1135" s="5">
        <v>32906.32</v>
      </c>
      <c r="D1135" s="5">
        <v>47</v>
      </c>
      <c r="E1135" s="5">
        <v>0</v>
      </c>
      <c r="F1135" s="5">
        <v>1</v>
      </c>
      <c r="G1135" s="5">
        <v>0.16120000000000001</v>
      </c>
      <c r="H1135" s="5">
        <v>0</v>
      </c>
      <c r="I1135" s="5">
        <v>500</v>
      </c>
      <c r="J1135" s="5">
        <v>0</v>
      </c>
      <c r="K1135" s="5">
        <v>121</v>
      </c>
      <c r="L1135" s="5">
        <v>1</v>
      </c>
      <c r="M1135" s="5">
        <v>2</v>
      </c>
      <c r="N1135" s="5">
        <v>2</v>
      </c>
      <c r="O1135" s="5">
        <v>830.69</v>
      </c>
      <c r="P1135" s="6">
        <v>0</v>
      </c>
    </row>
    <row r="1136" spans="1:16" ht="23.4" x14ac:dyDescent="0.45">
      <c r="A1136" s="4" t="s">
        <v>1132</v>
      </c>
      <c r="B1136" s="5" t="s">
        <v>9</v>
      </c>
      <c r="C1136" s="5">
        <v>60951.79</v>
      </c>
      <c r="D1136" s="5">
        <v>46</v>
      </c>
      <c r="E1136" s="5">
        <v>1</v>
      </c>
      <c r="F1136" s="5">
        <v>0.47049999999999997</v>
      </c>
      <c r="G1136" s="5">
        <v>0.37040000000000001</v>
      </c>
      <c r="H1136" s="5">
        <v>5</v>
      </c>
      <c r="I1136" s="5">
        <v>58347.38</v>
      </c>
      <c r="J1136" s="5">
        <v>39289.31</v>
      </c>
      <c r="K1136" s="5">
        <v>121</v>
      </c>
      <c r="L1136" s="5">
        <v>1</v>
      </c>
      <c r="M1136" s="5">
        <v>1</v>
      </c>
      <c r="N1136" s="5">
        <v>0</v>
      </c>
      <c r="O1136" s="5">
        <v>772.9</v>
      </c>
      <c r="P1136" s="6">
        <v>0</v>
      </c>
    </row>
    <row r="1137" spans="1:16" ht="23.4" x14ac:dyDescent="0.45">
      <c r="A1137" s="4" t="s">
        <v>1133</v>
      </c>
      <c r="B1137" s="5" t="s">
        <v>6</v>
      </c>
      <c r="C1137" s="5">
        <v>127342.63</v>
      </c>
      <c r="D1137" s="5">
        <v>55</v>
      </c>
      <c r="E1137" s="5">
        <v>1</v>
      </c>
      <c r="F1137" s="5">
        <v>0.73380000000000001</v>
      </c>
      <c r="G1137" s="5">
        <v>0.38329999999999997</v>
      </c>
      <c r="H1137" s="5">
        <v>5</v>
      </c>
      <c r="I1137" s="5">
        <v>30891.41</v>
      </c>
      <c r="J1137" s="5">
        <v>22905.99</v>
      </c>
      <c r="K1137" s="5">
        <v>159</v>
      </c>
      <c r="L1137" s="5">
        <v>2</v>
      </c>
      <c r="M1137" s="5">
        <v>1</v>
      </c>
      <c r="N1137" s="5">
        <v>1</v>
      </c>
      <c r="O1137" s="5">
        <v>602.29999999999995</v>
      </c>
      <c r="P1137" s="6">
        <v>0</v>
      </c>
    </row>
    <row r="1138" spans="1:16" ht="23.4" x14ac:dyDescent="0.45">
      <c r="A1138" s="4" t="s">
        <v>1134</v>
      </c>
      <c r="B1138" s="5" t="s">
        <v>15</v>
      </c>
      <c r="C1138" s="5">
        <v>15927.25</v>
      </c>
      <c r="D1138" s="5">
        <v>36</v>
      </c>
      <c r="E1138" s="5">
        <v>0</v>
      </c>
      <c r="F1138" s="5">
        <v>0.58760000000000001</v>
      </c>
      <c r="G1138" s="5">
        <v>0.62160000000000004</v>
      </c>
      <c r="H1138" s="5">
        <v>3</v>
      </c>
      <c r="I1138" s="5">
        <v>8476.0300000000007</v>
      </c>
      <c r="J1138" s="5">
        <v>443.57</v>
      </c>
      <c r="K1138" s="5">
        <v>173</v>
      </c>
      <c r="L1138" s="5">
        <v>1</v>
      </c>
      <c r="M1138" s="5">
        <v>2</v>
      </c>
      <c r="N1138" s="5">
        <v>0</v>
      </c>
      <c r="O1138" s="5">
        <v>583.11</v>
      </c>
      <c r="P1138" s="6">
        <v>1</v>
      </c>
    </row>
    <row r="1139" spans="1:16" ht="23.4" x14ac:dyDescent="0.45">
      <c r="A1139" s="4" t="s">
        <v>1135</v>
      </c>
      <c r="B1139" s="5" t="s">
        <v>6</v>
      </c>
      <c r="C1139" s="5">
        <v>3165.1</v>
      </c>
      <c r="D1139" s="5">
        <v>29</v>
      </c>
      <c r="E1139" s="5">
        <v>1</v>
      </c>
      <c r="F1139" s="5">
        <v>0.99419999999999997</v>
      </c>
      <c r="G1139" s="5">
        <v>0.23</v>
      </c>
      <c r="H1139" s="5">
        <v>2</v>
      </c>
      <c r="I1139" s="5">
        <v>11621.57</v>
      </c>
      <c r="J1139" s="5">
        <v>9058.49</v>
      </c>
      <c r="K1139" s="5">
        <v>115</v>
      </c>
      <c r="L1139" s="5">
        <v>1</v>
      </c>
      <c r="M1139" s="5">
        <v>1</v>
      </c>
      <c r="N1139" s="5">
        <v>0</v>
      </c>
      <c r="O1139" s="5">
        <v>786.52</v>
      </c>
      <c r="P1139" s="6">
        <v>0</v>
      </c>
    </row>
    <row r="1140" spans="1:16" ht="23.4" x14ac:dyDescent="0.45">
      <c r="A1140" s="4" t="s">
        <v>1136</v>
      </c>
      <c r="B1140" s="5" t="s">
        <v>9</v>
      </c>
      <c r="C1140" s="5">
        <v>69455.5</v>
      </c>
      <c r="D1140" s="5">
        <v>56</v>
      </c>
      <c r="E1140" s="5">
        <v>0</v>
      </c>
      <c r="F1140" s="5">
        <v>0.93279999999999996</v>
      </c>
      <c r="G1140" s="5">
        <v>0.33610000000000001</v>
      </c>
      <c r="H1140" s="5">
        <v>2</v>
      </c>
      <c r="I1140" s="5">
        <v>27609.85</v>
      </c>
      <c r="J1140" s="5">
        <v>24720.71</v>
      </c>
      <c r="K1140" s="5">
        <v>6</v>
      </c>
      <c r="L1140" s="5">
        <v>4</v>
      </c>
      <c r="M1140" s="5">
        <v>1</v>
      </c>
      <c r="N1140" s="5">
        <v>1</v>
      </c>
      <c r="O1140" s="5">
        <v>737.57</v>
      </c>
      <c r="P1140" s="6">
        <v>0</v>
      </c>
    </row>
    <row r="1141" spans="1:16" ht="23.4" x14ac:dyDescent="0.45">
      <c r="A1141" s="4" t="s">
        <v>1137</v>
      </c>
      <c r="B1141" s="5" t="s">
        <v>15</v>
      </c>
      <c r="C1141" s="5">
        <v>54345.08</v>
      </c>
      <c r="D1141" s="5">
        <v>69</v>
      </c>
      <c r="E1141" s="5">
        <v>1</v>
      </c>
      <c r="F1141" s="5">
        <v>0.60299999999999998</v>
      </c>
      <c r="G1141" s="5">
        <v>0.43830000000000002</v>
      </c>
      <c r="H1141" s="5">
        <v>3</v>
      </c>
      <c r="I1141" s="5">
        <v>500</v>
      </c>
      <c r="J1141" s="5">
        <v>0</v>
      </c>
      <c r="K1141" s="5">
        <v>177</v>
      </c>
      <c r="L1141" s="5">
        <v>2</v>
      </c>
      <c r="M1141" s="5">
        <v>2</v>
      </c>
      <c r="N1141" s="5">
        <v>0</v>
      </c>
      <c r="O1141" s="5">
        <v>693.91</v>
      </c>
      <c r="P1141" s="6">
        <v>0</v>
      </c>
    </row>
    <row r="1142" spans="1:16" ht="23.4" x14ac:dyDescent="0.45">
      <c r="A1142" s="4" t="s">
        <v>1138</v>
      </c>
      <c r="B1142" s="5" t="s">
        <v>1</v>
      </c>
      <c r="C1142" s="5">
        <v>126393.3</v>
      </c>
      <c r="D1142" s="5">
        <v>55</v>
      </c>
      <c r="E1142" s="5">
        <v>1</v>
      </c>
      <c r="F1142" s="5">
        <v>1</v>
      </c>
      <c r="G1142" s="5">
        <v>0.77810000000000001</v>
      </c>
      <c r="H1142" s="5">
        <v>3</v>
      </c>
      <c r="I1142" s="5">
        <v>116034.97</v>
      </c>
      <c r="J1142" s="5">
        <v>86916.52</v>
      </c>
      <c r="K1142" s="5">
        <v>28</v>
      </c>
      <c r="L1142" s="5">
        <v>4</v>
      </c>
      <c r="M1142" s="5">
        <v>1</v>
      </c>
      <c r="N1142" s="5">
        <v>0</v>
      </c>
      <c r="O1142" s="5">
        <v>616.87</v>
      </c>
      <c r="P1142" s="6">
        <v>0</v>
      </c>
    </row>
    <row r="1143" spans="1:16" ht="23.4" x14ac:dyDescent="0.45">
      <c r="A1143" s="4" t="s">
        <v>1139</v>
      </c>
      <c r="B1143" s="5" t="s">
        <v>15</v>
      </c>
      <c r="C1143" s="5">
        <v>80479.17</v>
      </c>
      <c r="D1143" s="5">
        <v>69</v>
      </c>
      <c r="E1143" s="5">
        <v>1</v>
      </c>
      <c r="F1143" s="5">
        <v>0.66669999999999996</v>
      </c>
      <c r="G1143" s="5">
        <v>0.3548</v>
      </c>
      <c r="H1143" s="5">
        <v>4</v>
      </c>
      <c r="I1143" s="5">
        <v>7374</v>
      </c>
      <c r="J1143" s="5">
        <v>0</v>
      </c>
      <c r="K1143" s="5">
        <v>109</v>
      </c>
      <c r="L1143" s="5">
        <v>1</v>
      </c>
      <c r="M1143" s="5">
        <v>1</v>
      </c>
      <c r="N1143" s="5">
        <v>1</v>
      </c>
      <c r="O1143" s="5">
        <v>746.49</v>
      </c>
      <c r="P1143" s="6">
        <v>0</v>
      </c>
    </row>
    <row r="1144" spans="1:16" ht="23.4" x14ac:dyDescent="0.45">
      <c r="A1144" s="4" t="s">
        <v>1140</v>
      </c>
      <c r="B1144" s="5" t="s">
        <v>6</v>
      </c>
      <c r="C1144" s="5">
        <v>89761.62</v>
      </c>
      <c r="D1144" s="5">
        <v>68</v>
      </c>
      <c r="E1144" s="5">
        <v>0</v>
      </c>
      <c r="F1144" s="5">
        <v>0.62560000000000004</v>
      </c>
      <c r="G1144" s="5">
        <v>0.45319999999999999</v>
      </c>
      <c r="H1144" s="5">
        <v>6</v>
      </c>
      <c r="I1144" s="5">
        <v>55641.72</v>
      </c>
      <c r="J1144" s="5">
        <v>31317.51</v>
      </c>
      <c r="K1144" s="5">
        <v>123</v>
      </c>
      <c r="L1144" s="5">
        <v>2</v>
      </c>
      <c r="M1144" s="5">
        <v>2</v>
      </c>
      <c r="N1144" s="5">
        <v>0</v>
      </c>
      <c r="O1144" s="5">
        <v>752.43</v>
      </c>
      <c r="P1144" s="6">
        <v>1</v>
      </c>
    </row>
    <row r="1145" spans="1:16" ht="23.4" x14ac:dyDescent="0.45">
      <c r="A1145" s="4" t="s">
        <v>1141</v>
      </c>
      <c r="B1145" s="5" t="s">
        <v>15</v>
      </c>
      <c r="C1145" s="5">
        <v>102881.2</v>
      </c>
      <c r="D1145" s="5">
        <v>43</v>
      </c>
      <c r="E1145" s="5">
        <v>0</v>
      </c>
      <c r="F1145" s="5">
        <v>0.99390000000000001</v>
      </c>
      <c r="G1145" s="5">
        <v>0.43969999999999998</v>
      </c>
      <c r="H1145" s="5">
        <v>1</v>
      </c>
      <c r="I1145" s="5">
        <v>55029.02</v>
      </c>
      <c r="J1145" s="5">
        <v>43887.5</v>
      </c>
      <c r="K1145" s="5">
        <v>86</v>
      </c>
      <c r="L1145" s="5">
        <v>3</v>
      </c>
      <c r="M1145" s="5">
        <v>1</v>
      </c>
      <c r="N1145" s="5">
        <v>2</v>
      </c>
      <c r="O1145" s="5">
        <v>726.76</v>
      </c>
      <c r="P1145" s="6">
        <v>0</v>
      </c>
    </row>
    <row r="1146" spans="1:16" ht="23.4" x14ac:dyDescent="0.45">
      <c r="A1146" s="4" t="s">
        <v>1142</v>
      </c>
      <c r="B1146" s="5" t="s">
        <v>9</v>
      </c>
      <c r="C1146" s="5">
        <v>69249.87</v>
      </c>
      <c r="D1146" s="5">
        <v>29</v>
      </c>
      <c r="E1146" s="5">
        <v>0</v>
      </c>
      <c r="F1146" s="5">
        <v>0.66249999999999998</v>
      </c>
      <c r="G1146" s="5">
        <v>8.6900000000000005E-2</v>
      </c>
      <c r="H1146" s="5">
        <v>1</v>
      </c>
      <c r="I1146" s="5">
        <v>500</v>
      </c>
      <c r="J1146" s="5">
        <v>0</v>
      </c>
      <c r="K1146" s="5">
        <v>36</v>
      </c>
      <c r="L1146" s="5">
        <v>2</v>
      </c>
      <c r="M1146" s="5">
        <v>1</v>
      </c>
      <c r="N1146" s="5">
        <v>2</v>
      </c>
      <c r="O1146" s="5">
        <v>701.33</v>
      </c>
      <c r="P1146" s="6">
        <v>0</v>
      </c>
    </row>
    <row r="1147" spans="1:16" ht="23.4" x14ac:dyDescent="0.45">
      <c r="A1147" s="4" t="s">
        <v>1143</v>
      </c>
      <c r="B1147" s="5" t="s">
        <v>4</v>
      </c>
      <c r="C1147" s="5">
        <v>125516.91</v>
      </c>
      <c r="D1147" s="5">
        <v>39</v>
      </c>
      <c r="E1147" s="5">
        <v>1</v>
      </c>
      <c r="F1147" s="5">
        <v>0.79210000000000003</v>
      </c>
      <c r="G1147" s="5">
        <v>0.42870000000000003</v>
      </c>
      <c r="H1147" s="5">
        <v>5</v>
      </c>
      <c r="I1147" s="5">
        <v>45527.61</v>
      </c>
      <c r="J1147" s="5">
        <v>44979.76</v>
      </c>
      <c r="K1147" s="5">
        <v>103</v>
      </c>
      <c r="L1147" s="5">
        <v>4</v>
      </c>
      <c r="M1147" s="5">
        <v>1</v>
      </c>
      <c r="N1147" s="5">
        <v>2</v>
      </c>
      <c r="O1147" s="5">
        <v>709.83</v>
      </c>
      <c r="P1147" s="6">
        <v>0</v>
      </c>
    </row>
    <row r="1148" spans="1:16" ht="23.4" x14ac:dyDescent="0.45">
      <c r="A1148" s="4" t="s">
        <v>1144</v>
      </c>
      <c r="B1148" s="5" t="s">
        <v>6</v>
      </c>
      <c r="C1148" s="5">
        <v>132274.43</v>
      </c>
      <c r="D1148" s="5">
        <v>52</v>
      </c>
      <c r="E1148" s="5">
        <v>1</v>
      </c>
      <c r="F1148" s="5">
        <v>0.6704</v>
      </c>
      <c r="G1148" s="5">
        <v>0.32429999999999998</v>
      </c>
      <c r="H1148" s="5">
        <v>4</v>
      </c>
      <c r="I1148" s="5">
        <v>84768.01</v>
      </c>
      <c r="J1148" s="5">
        <v>59850.09</v>
      </c>
      <c r="K1148" s="5">
        <v>89</v>
      </c>
      <c r="L1148" s="5">
        <v>1</v>
      </c>
      <c r="M1148" s="5">
        <v>1</v>
      </c>
      <c r="N1148" s="5">
        <v>0</v>
      </c>
      <c r="O1148" s="5">
        <v>624.33000000000004</v>
      </c>
      <c r="P1148" s="6">
        <v>0</v>
      </c>
    </row>
    <row r="1149" spans="1:16" ht="23.4" x14ac:dyDescent="0.45">
      <c r="A1149" s="4" t="s">
        <v>1145</v>
      </c>
      <c r="B1149" s="5" t="s">
        <v>4</v>
      </c>
      <c r="C1149" s="5">
        <v>80493.509999999995</v>
      </c>
      <c r="D1149" s="5">
        <v>28</v>
      </c>
      <c r="E1149" s="5">
        <v>0</v>
      </c>
      <c r="F1149" s="5">
        <v>0.82950000000000002</v>
      </c>
      <c r="G1149" s="5">
        <v>0.51019999999999999</v>
      </c>
      <c r="H1149" s="5">
        <v>1</v>
      </c>
      <c r="I1149" s="5">
        <v>68230.66</v>
      </c>
      <c r="J1149" s="5">
        <v>52201.5</v>
      </c>
      <c r="K1149" s="5">
        <v>26</v>
      </c>
      <c r="L1149" s="5">
        <v>1</v>
      </c>
      <c r="M1149" s="5">
        <v>1</v>
      </c>
      <c r="N1149" s="5">
        <v>2</v>
      </c>
      <c r="O1149" s="5">
        <v>746.51</v>
      </c>
      <c r="P1149" s="6">
        <v>0</v>
      </c>
    </row>
    <row r="1150" spans="1:16" ht="23.4" x14ac:dyDescent="0.45">
      <c r="A1150" s="4" t="s">
        <v>1146</v>
      </c>
      <c r="B1150" s="5" t="s">
        <v>15</v>
      </c>
      <c r="C1150" s="5">
        <v>3871.1</v>
      </c>
      <c r="D1150" s="5">
        <v>66</v>
      </c>
      <c r="E1150" s="5">
        <v>1</v>
      </c>
      <c r="F1150" s="5">
        <v>0.59840000000000004</v>
      </c>
      <c r="G1150" s="5">
        <v>8.7300000000000003E-2</v>
      </c>
      <c r="H1150" s="5">
        <v>0</v>
      </c>
      <c r="I1150" s="5">
        <v>500</v>
      </c>
      <c r="J1150" s="5">
        <v>0</v>
      </c>
      <c r="K1150" s="5">
        <v>147</v>
      </c>
      <c r="L1150" s="5">
        <v>2</v>
      </c>
      <c r="M1150" s="5">
        <v>1</v>
      </c>
      <c r="N1150" s="5">
        <v>0</v>
      </c>
      <c r="O1150" s="5">
        <v>761.87</v>
      </c>
      <c r="P1150" s="6">
        <v>0</v>
      </c>
    </row>
    <row r="1151" spans="1:16" ht="23.4" x14ac:dyDescent="0.45">
      <c r="A1151" s="4" t="s">
        <v>1147</v>
      </c>
      <c r="B1151" s="5" t="s">
        <v>15</v>
      </c>
      <c r="C1151" s="5">
        <v>73607.62</v>
      </c>
      <c r="D1151" s="5">
        <v>26</v>
      </c>
      <c r="E1151" s="5">
        <v>0</v>
      </c>
      <c r="F1151" s="5">
        <v>0.61339999999999995</v>
      </c>
      <c r="G1151" s="5">
        <v>0.23430000000000001</v>
      </c>
      <c r="H1151" s="5">
        <v>2</v>
      </c>
      <c r="I1151" s="5">
        <v>19064.93</v>
      </c>
      <c r="J1151" s="5">
        <v>22418.99</v>
      </c>
      <c r="K1151" s="5">
        <v>33</v>
      </c>
      <c r="L1151" s="5">
        <v>3</v>
      </c>
      <c r="M1151" s="5">
        <v>1</v>
      </c>
      <c r="N1151" s="5">
        <v>2</v>
      </c>
      <c r="O1151" s="5">
        <v>679.68</v>
      </c>
      <c r="P1151" s="6">
        <v>0</v>
      </c>
    </row>
    <row r="1152" spans="1:16" ht="23.4" x14ac:dyDescent="0.45">
      <c r="A1152" s="4" t="s">
        <v>1148</v>
      </c>
      <c r="B1152" s="5" t="s">
        <v>18</v>
      </c>
      <c r="C1152" s="5">
        <v>110717.07</v>
      </c>
      <c r="D1152" s="5">
        <v>56</v>
      </c>
      <c r="E1152" s="5">
        <v>1</v>
      </c>
      <c r="F1152" s="5">
        <v>0.7732</v>
      </c>
      <c r="G1152" s="5">
        <v>0.54900000000000004</v>
      </c>
      <c r="H1152" s="5">
        <v>2</v>
      </c>
      <c r="I1152" s="5">
        <v>55948</v>
      </c>
      <c r="J1152" s="5">
        <v>44104.04</v>
      </c>
      <c r="K1152" s="5">
        <v>151</v>
      </c>
      <c r="L1152" s="5">
        <v>2</v>
      </c>
      <c r="M1152" s="5">
        <v>1</v>
      </c>
      <c r="N1152" s="5">
        <v>2</v>
      </c>
      <c r="O1152" s="5">
        <v>603.62</v>
      </c>
      <c r="P1152" s="6">
        <v>0</v>
      </c>
    </row>
    <row r="1153" spans="1:16" ht="23.4" x14ac:dyDescent="0.45">
      <c r="A1153" s="4" t="s">
        <v>1149</v>
      </c>
      <c r="B1153" s="5" t="s">
        <v>1</v>
      </c>
      <c r="C1153" s="5">
        <v>103479.4</v>
      </c>
      <c r="D1153" s="5">
        <v>68</v>
      </c>
      <c r="E1153" s="5">
        <v>0</v>
      </c>
      <c r="F1153" s="5">
        <v>1</v>
      </c>
      <c r="G1153" s="5">
        <v>0.2676</v>
      </c>
      <c r="H1153" s="5">
        <v>0</v>
      </c>
      <c r="I1153" s="5">
        <v>24937.05</v>
      </c>
      <c r="J1153" s="5">
        <v>29677.919999999998</v>
      </c>
      <c r="K1153" s="5">
        <v>75</v>
      </c>
      <c r="L1153" s="5">
        <v>2</v>
      </c>
      <c r="M1153" s="5">
        <v>2</v>
      </c>
      <c r="N1153" s="5">
        <v>2</v>
      </c>
      <c r="O1153" s="5">
        <v>751.01</v>
      </c>
      <c r="P1153" s="6">
        <v>0</v>
      </c>
    </row>
    <row r="1154" spans="1:16" ht="23.4" x14ac:dyDescent="0.45">
      <c r="A1154" s="4" t="s">
        <v>1150</v>
      </c>
      <c r="B1154" s="5" t="s">
        <v>15</v>
      </c>
      <c r="C1154" s="5">
        <v>93618.94</v>
      </c>
      <c r="D1154" s="5">
        <v>60</v>
      </c>
      <c r="E1154" s="5">
        <v>0</v>
      </c>
      <c r="F1154" s="5">
        <v>0.91139999999999999</v>
      </c>
      <c r="G1154" s="5">
        <v>0.31850000000000001</v>
      </c>
      <c r="H1154" s="5">
        <v>1</v>
      </c>
      <c r="I1154" s="5">
        <v>16242.57</v>
      </c>
      <c r="J1154" s="5">
        <v>11141.75</v>
      </c>
      <c r="K1154" s="5">
        <v>109</v>
      </c>
      <c r="L1154" s="5">
        <v>4</v>
      </c>
      <c r="M1154" s="5">
        <v>1</v>
      </c>
      <c r="N1154" s="5">
        <v>1</v>
      </c>
      <c r="O1154" s="5">
        <v>723.81</v>
      </c>
      <c r="P1154" s="6">
        <v>0</v>
      </c>
    </row>
    <row r="1155" spans="1:16" ht="23.4" x14ac:dyDescent="0.45">
      <c r="A1155" s="4" t="s">
        <v>1151</v>
      </c>
      <c r="B1155" s="5" t="s">
        <v>18</v>
      </c>
      <c r="C1155" s="5">
        <v>151832.28</v>
      </c>
      <c r="D1155" s="5">
        <v>66</v>
      </c>
      <c r="E1155" s="5">
        <v>0</v>
      </c>
      <c r="F1155" s="5">
        <v>0.44640000000000002</v>
      </c>
      <c r="G1155" s="5">
        <v>0.57369999999999999</v>
      </c>
      <c r="H1155" s="5">
        <v>0</v>
      </c>
      <c r="I1155" s="5">
        <v>87706.76</v>
      </c>
      <c r="J1155" s="5">
        <v>46424.3</v>
      </c>
      <c r="K1155" s="5">
        <v>70</v>
      </c>
      <c r="L1155" s="5">
        <v>2</v>
      </c>
      <c r="M1155" s="5">
        <v>2</v>
      </c>
      <c r="N1155" s="5">
        <v>2</v>
      </c>
      <c r="O1155" s="5">
        <v>679.53</v>
      </c>
      <c r="P1155" s="6">
        <v>0</v>
      </c>
    </row>
    <row r="1156" spans="1:16" ht="23.4" x14ac:dyDescent="0.45">
      <c r="A1156" s="4" t="s">
        <v>1152</v>
      </c>
      <c r="B1156" s="5" t="s">
        <v>1</v>
      </c>
      <c r="C1156" s="5">
        <v>123315.8</v>
      </c>
      <c r="D1156" s="5">
        <v>66</v>
      </c>
      <c r="E1156" s="5">
        <v>1</v>
      </c>
      <c r="F1156" s="5">
        <v>0.66900000000000004</v>
      </c>
      <c r="G1156" s="5">
        <v>1</v>
      </c>
      <c r="H1156" s="5">
        <v>7</v>
      </c>
      <c r="I1156" s="5">
        <v>122533.7</v>
      </c>
      <c r="J1156" s="5">
        <v>68842.39</v>
      </c>
      <c r="K1156" s="5">
        <v>107</v>
      </c>
      <c r="L1156" s="5">
        <v>1</v>
      </c>
      <c r="M1156" s="5">
        <v>1</v>
      </c>
      <c r="N1156" s="5">
        <v>3</v>
      </c>
      <c r="O1156" s="5">
        <v>572.52</v>
      </c>
      <c r="P1156" s="6">
        <v>0</v>
      </c>
    </row>
    <row r="1157" spans="1:16" ht="23.4" x14ac:dyDescent="0.45">
      <c r="A1157" s="4" t="s">
        <v>1153</v>
      </c>
      <c r="B1157" s="5" t="s">
        <v>4</v>
      </c>
      <c r="C1157" s="5">
        <v>60478.239999999998</v>
      </c>
      <c r="D1157" s="5">
        <v>65</v>
      </c>
      <c r="E1157" s="5">
        <v>0</v>
      </c>
      <c r="F1157" s="5">
        <v>0.79479999999999995</v>
      </c>
      <c r="G1157" s="5">
        <v>0.4103</v>
      </c>
      <c r="H1157" s="5">
        <v>3</v>
      </c>
      <c r="I1157" s="5">
        <v>32875.71</v>
      </c>
      <c r="J1157" s="5">
        <v>21345.78</v>
      </c>
      <c r="K1157" s="5">
        <v>100</v>
      </c>
      <c r="L1157" s="5">
        <v>1</v>
      </c>
      <c r="M1157" s="5">
        <v>1</v>
      </c>
      <c r="N1157" s="5">
        <v>1</v>
      </c>
      <c r="O1157" s="5">
        <v>608.62</v>
      </c>
      <c r="P1157" s="6">
        <v>0</v>
      </c>
    </row>
    <row r="1158" spans="1:16" ht="23.4" x14ac:dyDescent="0.45">
      <c r="A1158" s="4" t="s">
        <v>1154</v>
      </c>
      <c r="B1158" s="5" t="s">
        <v>9</v>
      </c>
      <c r="C1158" s="5">
        <v>61696.03</v>
      </c>
      <c r="D1158" s="5">
        <v>61</v>
      </c>
      <c r="E1158" s="5">
        <v>1</v>
      </c>
      <c r="F1158" s="5">
        <v>0.74670000000000003</v>
      </c>
      <c r="G1158" s="5">
        <v>0.55100000000000005</v>
      </c>
      <c r="H1158" s="5">
        <v>5</v>
      </c>
      <c r="I1158" s="5">
        <v>42430.559999999998</v>
      </c>
      <c r="J1158" s="5">
        <v>40603.46</v>
      </c>
      <c r="K1158" s="5">
        <v>175</v>
      </c>
      <c r="L1158" s="5">
        <v>1</v>
      </c>
      <c r="M1158" s="5">
        <v>1</v>
      </c>
      <c r="N1158" s="5">
        <v>0</v>
      </c>
      <c r="O1158" s="5">
        <v>700</v>
      </c>
      <c r="P1158" s="6">
        <v>0</v>
      </c>
    </row>
    <row r="1159" spans="1:16" ht="23.4" x14ac:dyDescent="0.45">
      <c r="A1159" s="4" t="s">
        <v>1155</v>
      </c>
      <c r="B1159" s="5" t="s">
        <v>18</v>
      </c>
      <c r="C1159" s="5">
        <v>91065.75</v>
      </c>
      <c r="D1159" s="5">
        <v>24</v>
      </c>
      <c r="E1159" s="5">
        <v>1</v>
      </c>
      <c r="F1159" s="5">
        <v>0.7742</v>
      </c>
      <c r="G1159" s="5">
        <v>0</v>
      </c>
      <c r="H1159" s="5">
        <v>0</v>
      </c>
      <c r="I1159" s="5">
        <v>500</v>
      </c>
      <c r="J1159" s="5">
        <v>1461.58</v>
      </c>
      <c r="K1159" s="5">
        <v>79</v>
      </c>
      <c r="L1159" s="5">
        <v>1</v>
      </c>
      <c r="M1159" s="5">
        <v>1</v>
      </c>
      <c r="N1159" s="5">
        <v>0</v>
      </c>
      <c r="O1159" s="5">
        <v>770.72</v>
      </c>
      <c r="P1159" s="6">
        <v>0</v>
      </c>
    </row>
    <row r="1160" spans="1:16" ht="23.4" x14ac:dyDescent="0.45">
      <c r="A1160" s="4" t="s">
        <v>1156</v>
      </c>
      <c r="B1160" s="5" t="s">
        <v>1</v>
      </c>
      <c r="C1160" s="5">
        <v>102291.39</v>
      </c>
      <c r="D1160" s="5">
        <v>58</v>
      </c>
      <c r="E1160" s="5">
        <v>1</v>
      </c>
      <c r="F1160" s="5">
        <v>0.46050000000000002</v>
      </c>
      <c r="G1160" s="5">
        <v>0.19620000000000001</v>
      </c>
      <c r="H1160" s="5">
        <v>2</v>
      </c>
      <c r="I1160" s="5">
        <v>21678.880000000001</v>
      </c>
      <c r="J1160" s="5">
        <v>17953.599999999999</v>
      </c>
      <c r="K1160" s="5">
        <v>76</v>
      </c>
      <c r="L1160" s="5">
        <v>3</v>
      </c>
      <c r="M1160" s="5">
        <v>3</v>
      </c>
      <c r="N1160" s="5">
        <v>0</v>
      </c>
      <c r="O1160" s="5">
        <v>625.64</v>
      </c>
      <c r="P1160" s="6">
        <v>0</v>
      </c>
    </row>
    <row r="1161" spans="1:16" ht="23.4" x14ac:dyDescent="0.45">
      <c r="A1161" s="4" t="s">
        <v>1157</v>
      </c>
      <c r="B1161" s="5" t="s">
        <v>9</v>
      </c>
      <c r="C1161" s="5">
        <v>95950.5</v>
      </c>
      <c r="D1161" s="5">
        <v>70</v>
      </c>
      <c r="E1161" s="5">
        <v>1</v>
      </c>
      <c r="F1161" s="5">
        <v>0.72250000000000003</v>
      </c>
      <c r="G1161" s="5">
        <v>0.68700000000000006</v>
      </c>
      <c r="H1161" s="5">
        <v>5</v>
      </c>
      <c r="I1161" s="5">
        <v>101758.64</v>
      </c>
      <c r="J1161" s="5">
        <v>51496.95</v>
      </c>
      <c r="K1161" s="5">
        <v>34</v>
      </c>
      <c r="L1161" s="5">
        <v>1</v>
      </c>
      <c r="M1161" s="5">
        <v>1</v>
      </c>
      <c r="N1161" s="5">
        <v>0</v>
      </c>
      <c r="O1161" s="5">
        <v>673.23</v>
      </c>
      <c r="P1161" s="6">
        <v>1</v>
      </c>
    </row>
    <row r="1162" spans="1:16" ht="23.4" x14ac:dyDescent="0.45">
      <c r="A1162" s="4" t="s">
        <v>1158</v>
      </c>
      <c r="B1162" s="5" t="s">
        <v>6</v>
      </c>
      <c r="C1162" s="5">
        <v>125102.97</v>
      </c>
      <c r="D1162" s="5">
        <v>40</v>
      </c>
      <c r="E1162" s="5">
        <v>0</v>
      </c>
      <c r="F1162" s="5">
        <v>0.51619999999999999</v>
      </c>
      <c r="G1162" s="5">
        <v>0.39889999999999998</v>
      </c>
      <c r="H1162" s="5">
        <v>2</v>
      </c>
      <c r="I1162" s="5">
        <v>21447.98</v>
      </c>
      <c r="J1162" s="5">
        <v>6195.95</v>
      </c>
      <c r="K1162" s="5">
        <v>67</v>
      </c>
      <c r="L1162" s="5">
        <v>3</v>
      </c>
      <c r="M1162" s="5">
        <v>1</v>
      </c>
      <c r="N1162" s="5">
        <v>0</v>
      </c>
      <c r="O1162" s="5">
        <v>814.04</v>
      </c>
      <c r="P1162" s="6">
        <v>0</v>
      </c>
    </row>
    <row r="1163" spans="1:16" ht="23.4" x14ac:dyDescent="0.45">
      <c r="A1163" s="4" t="s">
        <v>1159</v>
      </c>
      <c r="B1163" s="5" t="s">
        <v>1</v>
      </c>
      <c r="C1163" s="5">
        <v>62626.91</v>
      </c>
      <c r="D1163" s="5">
        <v>57</v>
      </c>
      <c r="E1163" s="5">
        <v>0</v>
      </c>
      <c r="F1163" s="5">
        <v>0.77449999999999997</v>
      </c>
      <c r="G1163" s="5">
        <v>0.10730000000000001</v>
      </c>
      <c r="H1163" s="5">
        <v>2</v>
      </c>
      <c r="I1163" s="5">
        <v>22765.66</v>
      </c>
      <c r="J1163" s="5">
        <v>11684.49</v>
      </c>
      <c r="K1163" s="5">
        <v>11</v>
      </c>
      <c r="L1163" s="5">
        <v>1</v>
      </c>
      <c r="M1163" s="5">
        <v>2</v>
      </c>
      <c r="N1163" s="5">
        <v>1</v>
      </c>
      <c r="O1163" s="5">
        <v>728.32</v>
      </c>
      <c r="P1163" s="6">
        <v>0</v>
      </c>
    </row>
    <row r="1164" spans="1:16" ht="23.4" x14ac:dyDescent="0.45">
      <c r="A1164" s="4" t="s">
        <v>1160</v>
      </c>
      <c r="B1164" s="5" t="s">
        <v>1</v>
      </c>
      <c r="C1164" s="5">
        <v>119503.88</v>
      </c>
      <c r="D1164" s="5">
        <v>27</v>
      </c>
      <c r="E1164" s="5">
        <v>1</v>
      </c>
      <c r="F1164" s="5">
        <v>0.70120000000000005</v>
      </c>
      <c r="G1164" s="5">
        <v>0.35649999999999998</v>
      </c>
      <c r="H1164" s="5">
        <v>0</v>
      </c>
      <c r="I1164" s="5">
        <v>21983.759999999998</v>
      </c>
      <c r="J1164" s="5">
        <v>20574.98</v>
      </c>
      <c r="K1164" s="5">
        <v>75</v>
      </c>
      <c r="L1164" s="5">
        <v>2</v>
      </c>
      <c r="M1164" s="5">
        <v>2</v>
      </c>
      <c r="N1164" s="5">
        <v>1</v>
      </c>
      <c r="O1164" s="5">
        <v>780.71</v>
      </c>
      <c r="P1164" s="6">
        <v>0</v>
      </c>
    </row>
    <row r="1165" spans="1:16" ht="23.4" x14ac:dyDescent="0.45">
      <c r="A1165" s="4" t="s">
        <v>1161</v>
      </c>
      <c r="B1165" s="5" t="s">
        <v>18</v>
      </c>
      <c r="C1165" s="5">
        <v>75787.42</v>
      </c>
      <c r="D1165" s="5">
        <v>45</v>
      </c>
      <c r="E1165" s="5">
        <v>0</v>
      </c>
      <c r="F1165" s="5">
        <v>0.56989999999999996</v>
      </c>
      <c r="G1165" s="5">
        <v>0.42909999999999998</v>
      </c>
      <c r="H1165" s="5">
        <v>3</v>
      </c>
      <c r="I1165" s="5">
        <v>37109.300000000003</v>
      </c>
      <c r="J1165" s="5">
        <v>18648.21</v>
      </c>
      <c r="K1165" s="5">
        <v>67</v>
      </c>
      <c r="L1165" s="5">
        <v>2</v>
      </c>
      <c r="M1165" s="5">
        <v>1</v>
      </c>
      <c r="N1165" s="5">
        <v>0</v>
      </c>
      <c r="O1165" s="5">
        <v>742.12</v>
      </c>
      <c r="P1165" s="6">
        <v>0</v>
      </c>
    </row>
    <row r="1166" spans="1:16" ht="23.4" x14ac:dyDescent="0.45">
      <c r="A1166" s="4" t="s">
        <v>1162</v>
      </c>
      <c r="B1166" s="5" t="s">
        <v>6</v>
      </c>
      <c r="C1166" s="5">
        <v>82235.289999999994</v>
      </c>
      <c r="D1166" s="5">
        <v>29</v>
      </c>
      <c r="E1166" s="5">
        <v>1</v>
      </c>
      <c r="F1166" s="5">
        <v>0.61329999999999996</v>
      </c>
      <c r="G1166" s="5">
        <v>0.45879999999999999</v>
      </c>
      <c r="H1166" s="5">
        <v>7</v>
      </c>
      <c r="I1166" s="5">
        <v>42048.94</v>
      </c>
      <c r="J1166" s="5">
        <v>35055.61</v>
      </c>
      <c r="K1166" s="5">
        <v>24</v>
      </c>
      <c r="L1166" s="5">
        <v>1</v>
      </c>
      <c r="M1166" s="5">
        <v>3</v>
      </c>
      <c r="N1166" s="5">
        <v>1</v>
      </c>
      <c r="O1166" s="5">
        <v>678.54</v>
      </c>
      <c r="P1166" s="6">
        <v>0</v>
      </c>
    </row>
    <row r="1167" spans="1:16" ht="23.4" x14ac:dyDescent="0.45">
      <c r="A1167" s="4" t="s">
        <v>1163</v>
      </c>
      <c r="B1167" s="5" t="s">
        <v>6</v>
      </c>
      <c r="C1167" s="5">
        <v>58841.54</v>
      </c>
      <c r="D1167" s="5">
        <v>44</v>
      </c>
      <c r="E1167" s="5">
        <v>0</v>
      </c>
      <c r="F1167" s="5">
        <v>0.82630000000000003</v>
      </c>
      <c r="G1167" s="5">
        <v>0.51</v>
      </c>
      <c r="H1167" s="5">
        <v>5</v>
      </c>
      <c r="I1167" s="5">
        <v>22446.06</v>
      </c>
      <c r="J1167" s="5">
        <v>27863.01</v>
      </c>
      <c r="K1167" s="5">
        <v>121</v>
      </c>
      <c r="L1167" s="5">
        <v>3</v>
      </c>
      <c r="M1167" s="5">
        <v>1</v>
      </c>
      <c r="N1167" s="5">
        <v>2</v>
      </c>
      <c r="O1167" s="5">
        <v>703.66</v>
      </c>
      <c r="P1167" s="6">
        <v>0</v>
      </c>
    </row>
    <row r="1168" spans="1:16" ht="23.4" x14ac:dyDescent="0.45">
      <c r="A1168" s="4" t="s">
        <v>1164</v>
      </c>
      <c r="B1168" s="5" t="s">
        <v>15</v>
      </c>
      <c r="C1168" s="5">
        <v>118430.56</v>
      </c>
      <c r="D1168" s="5">
        <v>59</v>
      </c>
      <c r="E1168" s="5">
        <v>0</v>
      </c>
      <c r="F1168" s="5">
        <v>0.78420000000000001</v>
      </c>
      <c r="G1168" s="5">
        <v>5.7299999999999997E-2</v>
      </c>
      <c r="H1168" s="5">
        <v>0</v>
      </c>
      <c r="I1168" s="5">
        <v>7095.94</v>
      </c>
      <c r="J1168" s="5">
        <v>2665.07</v>
      </c>
      <c r="K1168" s="5">
        <v>76</v>
      </c>
      <c r="L1168" s="5">
        <v>2</v>
      </c>
      <c r="M1168" s="5">
        <v>2</v>
      </c>
      <c r="N1168" s="5">
        <v>1</v>
      </c>
      <c r="O1168" s="5">
        <v>850</v>
      </c>
      <c r="P1168" s="6">
        <v>0</v>
      </c>
    </row>
    <row r="1169" spans="1:16" ht="23.4" x14ac:dyDescent="0.45">
      <c r="A1169" s="4" t="s">
        <v>1165</v>
      </c>
      <c r="B1169" s="5" t="s">
        <v>1</v>
      </c>
      <c r="C1169" s="5">
        <v>93451.99</v>
      </c>
      <c r="D1169" s="5">
        <v>34</v>
      </c>
      <c r="E1169" s="5">
        <v>0</v>
      </c>
      <c r="F1169" s="5">
        <v>0.81850000000000001</v>
      </c>
      <c r="G1169" s="5">
        <v>0</v>
      </c>
      <c r="H1169" s="5">
        <v>2</v>
      </c>
      <c r="I1169" s="5">
        <v>10444.879999999999</v>
      </c>
      <c r="J1169" s="5">
        <v>8954.08</v>
      </c>
      <c r="K1169" s="5">
        <v>6</v>
      </c>
      <c r="L1169" s="5">
        <v>2</v>
      </c>
      <c r="M1169" s="5">
        <v>1</v>
      </c>
      <c r="N1169" s="5">
        <v>0</v>
      </c>
      <c r="O1169" s="5">
        <v>826.12</v>
      </c>
      <c r="P1169" s="6">
        <v>0</v>
      </c>
    </row>
    <row r="1170" spans="1:16" ht="23.4" x14ac:dyDescent="0.45">
      <c r="A1170" s="4" t="s">
        <v>1166</v>
      </c>
      <c r="B1170" s="5" t="s">
        <v>1</v>
      </c>
      <c r="C1170" s="5">
        <v>86498.67</v>
      </c>
      <c r="D1170" s="5">
        <v>27</v>
      </c>
      <c r="E1170" s="5">
        <v>0</v>
      </c>
      <c r="F1170" s="5">
        <v>0.65600000000000003</v>
      </c>
      <c r="G1170" s="5">
        <v>0.72319999999999995</v>
      </c>
      <c r="H1170" s="5">
        <v>4</v>
      </c>
      <c r="I1170" s="5">
        <v>57682.39</v>
      </c>
      <c r="J1170" s="5">
        <v>33666.46</v>
      </c>
      <c r="K1170" s="5">
        <v>46</v>
      </c>
      <c r="L1170" s="5">
        <v>1</v>
      </c>
      <c r="M1170" s="5">
        <v>1</v>
      </c>
      <c r="N1170" s="5">
        <v>0</v>
      </c>
      <c r="O1170" s="5">
        <v>689.44</v>
      </c>
      <c r="P1170" s="6">
        <v>0</v>
      </c>
    </row>
    <row r="1171" spans="1:16" ht="23.4" x14ac:dyDescent="0.45">
      <c r="A1171" s="4" t="s">
        <v>1167</v>
      </c>
      <c r="B1171" s="5" t="s">
        <v>15</v>
      </c>
      <c r="C1171" s="5">
        <v>63588.21</v>
      </c>
      <c r="D1171" s="5">
        <v>24</v>
      </c>
      <c r="E1171" s="5">
        <v>1</v>
      </c>
      <c r="F1171" s="5">
        <v>0.62460000000000004</v>
      </c>
      <c r="G1171" s="5">
        <v>0.24809999999999999</v>
      </c>
      <c r="H1171" s="5">
        <v>2</v>
      </c>
      <c r="I1171" s="5">
        <v>21393.81</v>
      </c>
      <c r="J1171" s="5">
        <v>18508</v>
      </c>
      <c r="K1171" s="5">
        <v>166</v>
      </c>
      <c r="L1171" s="5">
        <v>3</v>
      </c>
      <c r="M1171" s="5">
        <v>2</v>
      </c>
      <c r="N1171" s="5">
        <v>2</v>
      </c>
      <c r="O1171" s="5">
        <v>683.87</v>
      </c>
      <c r="P1171" s="6">
        <v>0</v>
      </c>
    </row>
    <row r="1172" spans="1:16" ht="23.4" x14ac:dyDescent="0.45">
      <c r="A1172" s="4" t="s">
        <v>1168</v>
      </c>
      <c r="B1172" s="5" t="s">
        <v>6</v>
      </c>
      <c r="C1172" s="5">
        <v>57591.63</v>
      </c>
      <c r="D1172" s="5">
        <v>31</v>
      </c>
      <c r="E1172" s="5">
        <v>0</v>
      </c>
      <c r="F1172" s="5">
        <v>0.34970000000000001</v>
      </c>
      <c r="G1172" s="5">
        <v>0.3695</v>
      </c>
      <c r="H1172" s="5">
        <v>2</v>
      </c>
      <c r="I1172" s="5">
        <v>8228.4500000000007</v>
      </c>
      <c r="J1172" s="5">
        <v>11443.68</v>
      </c>
      <c r="K1172" s="5">
        <v>113</v>
      </c>
      <c r="L1172" s="5">
        <v>1</v>
      </c>
      <c r="M1172" s="5">
        <v>2</v>
      </c>
      <c r="N1172" s="5">
        <v>0</v>
      </c>
      <c r="O1172" s="5">
        <v>678.75</v>
      </c>
      <c r="P1172" s="6">
        <v>0</v>
      </c>
    </row>
    <row r="1173" spans="1:16" ht="23.4" x14ac:dyDescent="0.45">
      <c r="A1173" s="4" t="s">
        <v>1169</v>
      </c>
      <c r="B1173" s="5" t="s">
        <v>15</v>
      </c>
      <c r="C1173" s="5">
        <v>107735.99</v>
      </c>
      <c r="D1173" s="5">
        <v>31</v>
      </c>
      <c r="E1173" s="5">
        <v>1</v>
      </c>
      <c r="F1173" s="5">
        <v>0.67549999999999999</v>
      </c>
      <c r="G1173" s="5">
        <v>0.70150000000000001</v>
      </c>
      <c r="H1173" s="5">
        <v>1</v>
      </c>
      <c r="I1173" s="5">
        <v>67931.64</v>
      </c>
      <c r="J1173" s="5">
        <v>63169.94</v>
      </c>
      <c r="K1173" s="5">
        <v>155</v>
      </c>
      <c r="L1173" s="5">
        <v>4</v>
      </c>
      <c r="M1173" s="5">
        <v>2</v>
      </c>
      <c r="N1173" s="5">
        <v>0</v>
      </c>
      <c r="O1173" s="5">
        <v>631.91</v>
      </c>
      <c r="P1173" s="6">
        <v>0</v>
      </c>
    </row>
    <row r="1174" spans="1:16" ht="23.4" x14ac:dyDescent="0.45">
      <c r="A1174" s="4" t="s">
        <v>1170</v>
      </c>
      <c r="B1174" s="5" t="s">
        <v>6</v>
      </c>
      <c r="C1174" s="5">
        <v>32989.53</v>
      </c>
      <c r="D1174" s="5">
        <v>49</v>
      </c>
      <c r="E1174" s="5">
        <v>1</v>
      </c>
      <c r="F1174" s="5">
        <v>0.64690000000000003</v>
      </c>
      <c r="G1174" s="5">
        <v>9.4E-2</v>
      </c>
      <c r="H1174" s="5">
        <v>2</v>
      </c>
      <c r="I1174" s="5">
        <v>6467.53</v>
      </c>
      <c r="J1174" s="5">
        <v>0</v>
      </c>
      <c r="K1174" s="5">
        <v>72</v>
      </c>
      <c r="L1174" s="5">
        <v>2</v>
      </c>
      <c r="M1174" s="5">
        <v>3</v>
      </c>
      <c r="N1174" s="5">
        <v>1</v>
      </c>
      <c r="O1174" s="5">
        <v>740.43</v>
      </c>
      <c r="P1174" s="6">
        <v>0</v>
      </c>
    </row>
    <row r="1175" spans="1:16" ht="23.4" x14ac:dyDescent="0.45">
      <c r="A1175" s="4" t="s">
        <v>1171</v>
      </c>
      <c r="B1175" s="5" t="s">
        <v>18</v>
      </c>
      <c r="C1175" s="5">
        <v>64454.95</v>
      </c>
      <c r="D1175" s="5">
        <v>70</v>
      </c>
      <c r="E1175" s="5">
        <v>0</v>
      </c>
      <c r="F1175" s="5">
        <v>0.25340000000000001</v>
      </c>
      <c r="G1175" s="5">
        <v>0.27360000000000001</v>
      </c>
      <c r="H1175" s="5">
        <v>3</v>
      </c>
      <c r="I1175" s="5">
        <v>12372.86</v>
      </c>
      <c r="J1175" s="5">
        <v>328.49</v>
      </c>
      <c r="K1175" s="5">
        <v>64</v>
      </c>
      <c r="L1175" s="5">
        <v>2</v>
      </c>
      <c r="M1175" s="5">
        <v>2</v>
      </c>
      <c r="N1175" s="5">
        <v>2</v>
      </c>
      <c r="O1175" s="5">
        <v>537.29</v>
      </c>
      <c r="P1175" s="6">
        <v>0</v>
      </c>
    </row>
    <row r="1176" spans="1:16" ht="23.4" x14ac:dyDescent="0.45">
      <c r="A1176" s="4" t="s">
        <v>1172</v>
      </c>
      <c r="B1176" s="5" t="s">
        <v>15</v>
      </c>
      <c r="C1176" s="5">
        <v>38600.36</v>
      </c>
      <c r="D1176" s="5">
        <v>66</v>
      </c>
      <c r="E1176" s="5">
        <v>1</v>
      </c>
      <c r="F1176" s="5">
        <v>0.87809999999999999</v>
      </c>
      <c r="G1176" s="5">
        <v>0.38950000000000001</v>
      </c>
      <c r="H1176" s="5">
        <v>1</v>
      </c>
      <c r="I1176" s="5">
        <v>500</v>
      </c>
      <c r="J1176" s="5">
        <v>0</v>
      </c>
      <c r="K1176" s="5">
        <v>65</v>
      </c>
      <c r="L1176" s="5">
        <v>3</v>
      </c>
      <c r="M1176" s="5">
        <v>1</v>
      </c>
      <c r="N1176" s="5">
        <v>0</v>
      </c>
      <c r="O1176" s="5">
        <v>771.5</v>
      </c>
      <c r="P1176" s="6">
        <v>0</v>
      </c>
    </row>
    <row r="1177" spans="1:16" ht="23.4" x14ac:dyDescent="0.45">
      <c r="A1177" s="4" t="s">
        <v>1173</v>
      </c>
      <c r="B1177" s="5" t="s">
        <v>1</v>
      </c>
      <c r="C1177" s="5">
        <v>46186.86</v>
      </c>
      <c r="D1177" s="5">
        <v>55</v>
      </c>
      <c r="E1177" s="5">
        <v>1</v>
      </c>
      <c r="F1177" s="5">
        <v>0.52769999999999995</v>
      </c>
      <c r="G1177" s="5">
        <v>0.3266</v>
      </c>
      <c r="H1177" s="5">
        <v>1</v>
      </c>
      <c r="I1177" s="5">
        <v>12364.58</v>
      </c>
      <c r="J1177" s="5">
        <v>5421.08</v>
      </c>
      <c r="K1177" s="5">
        <v>51</v>
      </c>
      <c r="L1177" s="5">
        <v>1</v>
      </c>
      <c r="M1177" s="5">
        <v>1</v>
      </c>
      <c r="N1177" s="5">
        <v>2</v>
      </c>
      <c r="O1177" s="5">
        <v>715.44</v>
      </c>
      <c r="P1177" s="6">
        <v>0</v>
      </c>
    </row>
    <row r="1178" spans="1:16" ht="23.4" x14ac:dyDescent="0.45">
      <c r="A1178" s="4" t="s">
        <v>1174</v>
      </c>
      <c r="B1178" s="5" t="s">
        <v>6</v>
      </c>
      <c r="C1178" s="5">
        <v>107348.3</v>
      </c>
      <c r="D1178" s="5">
        <v>26</v>
      </c>
      <c r="E1178" s="5">
        <v>1</v>
      </c>
      <c r="F1178" s="5">
        <v>0.39989999999999998</v>
      </c>
      <c r="G1178" s="5">
        <v>5.2200000000000003E-2</v>
      </c>
      <c r="H1178" s="5">
        <v>0</v>
      </c>
      <c r="I1178" s="5">
        <v>27189.759999999998</v>
      </c>
      <c r="J1178" s="5">
        <v>20771.48</v>
      </c>
      <c r="K1178" s="5">
        <v>145</v>
      </c>
      <c r="L1178" s="5">
        <v>1</v>
      </c>
      <c r="M1178" s="5">
        <v>2</v>
      </c>
      <c r="N1178" s="5">
        <v>1</v>
      </c>
      <c r="O1178" s="5">
        <v>615.05999999999995</v>
      </c>
      <c r="P1178" s="6">
        <v>0</v>
      </c>
    </row>
    <row r="1179" spans="1:16" ht="23.4" x14ac:dyDescent="0.45">
      <c r="A1179" s="4" t="s">
        <v>1175</v>
      </c>
      <c r="B1179" s="5" t="s">
        <v>15</v>
      </c>
      <c r="C1179" s="5">
        <v>2000</v>
      </c>
      <c r="D1179" s="5">
        <v>23</v>
      </c>
      <c r="E1179" s="5">
        <v>0</v>
      </c>
      <c r="F1179" s="5">
        <v>0.73380000000000001</v>
      </c>
      <c r="G1179" s="5">
        <v>0</v>
      </c>
      <c r="H1179" s="5">
        <v>1</v>
      </c>
      <c r="I1179" s="5">
        <v>500</v>
      </c>
      <c r="J1179" s="5">
        <v>8696.48</v>
      </c>
      <c r="K1179" s="5">
        <v>27</v>
      </c>
      <c r="L1179" s="5">
        <v>1</v>
      </c>
      <c r="M1179" s="5">
        <v>2</v>
      </c>
      <c r="N1179" s="5">
        <v>2</v>
      </c>
      <c r="O1179" s="5">
        <v>665.09</v>
      </c>
      <c r="P1179" s="6">
        <v>0</v>
      </c>
    </row>
    <row r="1180" spans="1:16" ht="23.4" x14ac:dyDescent="0.45">
      <c r="A1180" s="4" t="s">
        <v>1176</v>
      </c>
      <c r="B1180" s="5" t="s">
        <v>1</v>
      </c>
      <c r="C1180" s="5">
        <v>115394.92</v>
      </c>
      <c r="D1180" s="5">
        <v>27</v>
      </c>
      <c r="E1180" s="5">
        <v>1</v>
      </c>
      <c r="F1180" s="5">
        <v>0.76449999999999996</v>
      </c>
      <c r="G1180" s="5">
        <v>0</v>
      </c>
      <c r="H1180" s="5">
        <v>2</v>
      </c>
      <c r="I1180" s="5">
        <v>500</v>
      </c>
      <c r="J1180" s="5">
        <v>0</v>
      </c>
      <c r="K1180" s="5">
        <v>167</v>
      </c>
      <c r="L1180" s="5">
        <v>2</v>
      </c>
      <c r="M1180" s="5">
        <v>2</v>
      </c>
      <c r="N1180" s="5">
        <v>1</v>
      </c>
      <c r="O1180" s="5">
        <v>793.58</v>
      </c>
      <c r="P1180" s="6">
        <v>0</v>
      </c>
    </row>
    <row r="1181" spans="1:16" ht="23.4" x14ac:dyDescent="0.45">
      <c r="A1181" s="4" t="s">
        <v>1177</v>
      </c>
      <c r="B1181" s="5" t="s">
        <v>4</v>
      </c>
      <c r="C1181" s="5">
        <v>87162.08</v>
      </c>
      <c r="D1181" s="5">
        <v>53</v>
      </c>
      <c r="E1181" s="5">
        <v>1</v>
      </c>
      <c r="F1181" s="5">
        <v>0.49619999999999997</v>
      </c>
      <c r="G1181" s="5">
        <v>6.8900000000000003E-2</v>
      </c>
      <c r="H1181" s="5">
        <v>1</v>
      </c>
      <c r="I1181" s="5">
        <v>12314.8</v>
      </c>
      <c r="J1181" s="5">
        <v>11533</v>
      </c>
      <c r="K1181" s="5">
        <v>153</v>
      </c>
      <c r="L1181" s="5">
        <v>2</v>
      </c>
      <c r="M1181" s="5">
        <v>1</v>
      </c>
      <c r="N1181" s="5">
        <v>1</v>
      </c>
      <c r="O1181" s="5">
        <v>629</v>
      </c>
      <c r="P1181" s="6">
        <v>0</v>
      </c>
    </row>
    <row r="1182" spans="1:16" ht="23.4" x14ac:dyDescent="0.45">
      <c r="A1182" s="4" t="s">
        <v>1178</v>
      </c>
      <c r="B1182" s="5" t="s">
        <v>18</v>
      </c>
      <c r="C1182" s="5">
        <v>139085.97</v>
      </c>
      <c r="D1182" s="5">
        <v>39</v>
      </c>
      <c r="E1182" s="5">
        <v>0</v>
      </c>
      <c r="F1182" s="5">
        <v>1</v>
      </c>
      <c r="G1182" s="5">
        <v>0</v>
      </c>
      <c r="H1182" s="5">
        <v>0</v>
      </c>
      <c r="I1182" s="5">
        <v>500</v>
      </c>
      <c r="J1182" s="5">
        <v>8679.2000000000007</v>
      </c>
      <c r="K1182" s="5">
        <v>135</v>
      </c>
      <c r="L1182" s="5">
        <v>2</v>
      </c>
      <c r="M1182" s="5">
        <v>1</v>
      </c>
      <c r="N1182" s="5">
        <v>1</v>
      </c>
      <c r="O1182" s="5">
        <v>816.69</v>
      </c>
      <c r="P1182" s="6">
        <v>0</v>
      </c>
    </row>
    <row r="1183" spans="1:16" ht="23.4" x14ac:dyDescent="0.45">
      <c r="A1183" s="4" t="s">
        <v>1179</v>
      </c>
      <c r="B1183" s="5" t="s">
        <v>9</v>
      </c>
      <c r="C1183" s="5">
        <v>90615.13</v>
      </c>
      <c r="D1183" s="5">
        <v>43</v>
      </c>
      <c r="E1183" s="5">
        <v>0</v>
      </c>
      <c r="F1183" s="5">
        <v>0.64370000000000005</v>
      </c>
      <c r="G1183" s="5">
        <v>0.31840000000000002</v>
      </c>
      <c r="H1183" s="5">
        <v>2</v>
      </c>
      <c r="I1183" s="5">
        <v>16984.990000000002</v>
      </c>
      <c r="J1183" s="5">
        <v>15748.95</v>
      </c>
      <c r="K1183" s="5">
        <v>37</v>
      </c>
      <c r="L1183" s="5">
        <v>1</v>
      </c>
      <c r="M1183" s="5">
        <v>1</v>
      </c>
      <c r="N1183" s="5">
        <v>0</v>
      </c>
      <c r="O1183" s="5">
        <v>749.04</v>
      </c>
      <c r="P1183" s="6">
        <v>0</v>
      </c>
    </row>
    <row r="1184" spans="1:16" ht="23.4" x14ac:dyDescent="0.45">
      <c r="A1184" s="4" t="s">
        <v>1180</v>
      </c>
      <c r="B1184" s="5" t="s">
        <v>4</v>
      </c>
      <c r="C1184" s="5">
        <v>61189.19</v>
      </c>
      <c r="D1184" s="5">
        <v>44</v>
      </c>
      <c r="E1184" s="5">
        <v>1</v>
      </c>
      <c r="F1184" s="5">
        <v>0.96499999999999997</v>
      </c>
      <c r="G1184" s="5">
        <v>0.34370000000000001</v>
      </c>
      <c r="H1184" s="5">
        <v>3</v>
      </c>
      <c r="I1184" s="5">
        <v>500</v>
      </c>
      <c r="J1184" s="5">
        <v>0</v>
      </c>
      <c r="K1184" s="5">
        <v>147</v>
      </c>
      <c r="L1184" s="5">
        <v>2</v>
      </c>
      <c r="M1184" s="5">
        <v>2</v>
      </c>
      <c r="N1184" s="5">
        <v>0</v>
      </c>
      <c r="O1184" s="5">
        <v>754.42</v>
      </c>
      <c r="P1184" s="6">
        <v>0</v>
      </c>
    </row>
    <row r="1185" spans="1:16" ht="23.4" x14ac:dyDescent="0.45">
      <c r="A1185" s="4" t="s">
        <v>1181</v>
      </c>
      <c r="B1185" s="5" t="s">
        <v>1</v>
      </c>
      <c r="C1185" s="5">
        <v>134633.26999999999</v>
      </c>
      <c r="D1185" s="5">
        <v>56</v>
      </c>
      <c r="E1185" s="5">
        <v>0</v>
      </c>
      <c r="F1185" s="5">
        <v>0.51859999999999995</v>
      </c>
      <c r="G1185" s="5">
        <v>0.4582</v>
      </c>
      <c r="H1185" s="5">
        <v>6</v>
      </c>
      <c r="I1185" s="5">
        <v>61484.56</v>
      </c>
      <c r="J1185" s="5">
        <v>40885.980000000003</v>
      </c>
      <c r="K1185" s="5">
        <v>140</v>
      </c>
      <c r="L1185" s="5">
        <v>1</v>
      </c>
      <c r="M1185" s="5">
        <v>1</v>
      </c>
      <c r="N1185" s="5">
        <v>0</v>
      </c>
      <c r="O1185" s="5">
        <v>529.53</v>
      </c>
      <c r="P1185" s="6">
        <v>1</v>
      </c>
    </row>
    <row r="1186" spans="1:16" ht="23.4" x14ac:dyDescent="0.45">
      <c r="A1186" s="4" t="s">
        <v>1182</v>
      </c>
      <c r="B1186" s="5" t="s">
        <v>1</v>
      </c>
      <c r="C1186" s="5">
        <v>122237.73</v>
      </c>
      <c r="D1186" s="5">
        <v>54</v>
      </c>
      <c r="E1186" s="5">
        <v>1</v>
      </c>
      <c r="F1186" s="5">
        <v>0.8387</v>
      </c>
      <c r="G1186" s="5">
        <v>0.62619999999999998</v>
      </c>
      <c r="H1186" s="5">
        <v>5</v>
      </c>
      <c r="I1186" s="5">
        <v>75078.05</v>
      </c>
      <c r="J1186" s="5">
        <v>55071.96</v>
      </c>
      <c r="K1186" s="5">
        <v>166</v>
      </c>
      <c r="L1186" s="5">
        <v>2</v>
      </c>
      <c r="M1186" s="5">
        <v>3</v>
      </c>
      <c r="N1186" s="5">
        <v>1</v>
      </c>
      <c r="O1186" s="5">
        <v>635.57000000000005</v>
      </c>
      <c r="P1186" s="6">
        <v>0</v>
      </c>
    </row>
    <row r="1187" spans="1:16" ht="23.4" x14ac:dyDescent="0.45">
      <c r="A1187" s="4" t="s">
        <v>1183</v>
      </c>
      <c r="B1187" s="5" t="s">
        <v>18</v>
      </c>
      <c r="C1187" s="5">
        <v>75016.02</v>
      </c>
      <c r="D1187" s="5">
        <v>36</v>
      </c>
      <c r="E1187" s="5">
        <v>0</v>
      </c>
      <c r="F1187" s="5">
        <v>0.50600000000000001</v>
      </c>
      <c r="G1187" s="5">
        <v>0.37609999999999999</v>
      </c>
      <c r="H1187" s="5">
        <v>3</v>
      </c>
      <c r="I1187" s="5">
        <v>9891.0400000000009</v>
      </c>
      <c r="J1187" s="5">
        <v>11768.46</v>
      </c>
      <c r="K1187" s="5">
        <v>45</v>
      </c>
      <c r="L1187" s="5">
        <v>2</v>
      </c>
      <c r="M1187" s="5">
        <v>1</v>
      </c>
      <c r="N1187" s="5">
        <v>0</v>
      </c>
      <c r="O1187" s="5">
        <v>699.22</v>
      </c>
      <c r="P1187" s="6">
        <v>0</v>
      </c>
    </row>
    <row r="1188" spans="1:16" ht="23.4" x14ac:dyDescent="0.45">
      <c r="A1188" s="4" t="s">
        <v>167</v>
      </c>
      <c r="B1188" s="5" t="s">
        <v>9</v>
      </c>
      <c r="C1188" s="5">
        <v>81785.929999999993</v>
      </c>
      <c r="D1188" s="5">
        <v>62</v>
      </c>
      <c r="E1188" s="5">
        <v>0</v>
      </c>
      <c r="F1188" s="5">
        <v>0.45979999999999999</v>
      </c>
      <c r="G1188" s="5">
        <v>0.20380000000000001</v>
      </c>
      <c r="H1188" s="5">
        <v>0</v>
      </c>
      <c r="I1188" s="5">
        <v>9298.1200000000008</v>
      </c>
      <c r="J1188" s="5">
        <v>8007.22</v>
      </c>
      <c r="K1188" s="5">
        <v>68</v>
      </c>
      <c r="L1188" s="5">
        <v>3</v>
      </c>
      <c r="M1188" s="5">
        <v>2</v>
      </c>
      <c r="N1188" s="5">
        <v>0</v>
      </c>
      <c r="O1188" s="5">
        <v>668.78</v>
      </c>
      <c r="P1188" s="6">
        <v>0</v>
      </c>
    </row>
    <row r="1189" spans="1:16" ht="23.4" x14ac:dyDescent="0.45">
      <c r="A1189" s="4" t="s">
        <v>1184</v>
      </c>
      <c r="B1189" s="5" t="s">
        <v>4</v>
      </c>
      <c r="C1189" s="5">
        <v>4417.84</v>
      </c>
      <c r="D1189" s="5">
        <v>27</v>
      </c>
      <c r="E1189" s="5">
        <v>1</v>
      </c>
      <c r="F1189" s="5">
        <v>0.57299999999999995</v>
      </c>
      <c r="G1189" s="5">
        <v>0.80389999999999995</v>
      </c>
      <c r="H1189" s="5">
        <v>8</v>
      </c>
      <c r="I1189" s="5">
        <v>18607.099999999999</v>
      </c>
      <c r="J1189" s="5">
        <v>14613.18</v>
      </c>
      <c r="K1189" s="5">
        <v>167</v>
      </c>
      <c r="L1189" s="5">
        <v>2</v>
      </c>
      <c r="M1189" s="5">
        <v>1</v>
      </c>
      <c r="N1189" s="5">
        <v>1</v>
      </c>
      <c r="O1189" s="5">
        <v>609.65</v>
      </c>
      <c r="P1189" s="6">
        <v>0</v>
      </c>
    </row>
    <row r="1190" spans="1:16" ht="23.4" x14ac:dyDescent="0.45">
      <c r="A1190" s="4" t="s">
        <v>1185</v>
      </c>
      <c r="B1190" s="5" t="s">
        <v>15</v>
      </c>
      <c r="C1190" s="5">
        <v>98830.6</v>
      </c>
      <c r="D1190" s="5">
        <v>46</v>
      </c>
      <c r="E1190" s="5">
        <v>0</v>
      </c>
      <c r="F1190" s="5">
        <v>0.65620000000000001</v>
      </c>
      <c r="G1190" s="5">
        <v>0.49609999999999999</v>
      </c>
      <c r="H1190" s="5">
        <v>0</v>
      </c>
      <c r="I1190" s="5">
        <v>36252.879999999997</v>
      </c>
      <c r="J1190" s="5">
        <v>31360.6</v>
      </c>
      <c r="K1190" s="5">
        <v>53</v>
      </c>
      <c r="L1190" s="5">
        <v>1</v>
      </c>
      <c r="M1190" s="5">
        <v>3</v>
      </c>
      <c r="N1190" s="5">
        <v>2</v>
      </c>
      <c r="O1190" s="5">
        <v>714.02</v>
      </c>
      <c r="P1190" s="6">
        <v>0</v>
      </c>
    </row>
    <row r="1191" spans="1:16" ht="23.4" x14ac:dyDescent="0.45">
      <c r="A1191" s="4" t="s">
        <v>1186</v>
      </c>
      <c r="B1191" s="5" t="s">
        <v>18</v>
      </c>
      <c r="C1191" s="5">
        <v>92755.98</v>
      </c>
      <c r="D1191" s="5">
        <v>47</v>
      </c>
      <c r="E1191" s="5">
        <v>0</v>
      </c>
      <c r="F1191" s="5">
        <v>0.80430000000000001</v>
      </c>
      <c r="G1191" s="5">
        <v>0</v>
      </c>
      <c r="H1191" s="5">
        <v>0</v>
      </c>
      <c r="I1191" s="5">
        <v>500</v>
      </c>
      <c r="J1191" s="5">
        <v>0</v>
      </c>
      <c r="K1191" s="5">
        <v>11</v>
      </c>
      <c r="L1191" s="5">
        <v>3</v>
      </c>
      <c r="M1191" s="5">
        <v>2</v>
      </c>
      <c r="N1191" s="5">
        <v>0</v>
      </c>
      <c r="O1191" s="5">
        <v>721.18</v>
      </c>
      <c r="P1191" s="6">
        <v>0</v>
      </c>
    </row>
    <row r="1192" spans="1:16" ht="23.4" x14ac:dyDescent="0.45">
      <c r="A1192" s="4" t="s">
        <v>1187</v>
      </c>
      <c r="B1192" s="5" t="s">
        <v>6</v>
      </c>
      <c r="C1192" s="5">
        <v>61785.26</v>
      </c>
      <c r="D1192" s="5">
        <v>38</v>
      </c>
      <c r="E1192" s="5">
        <v>1</v>
      </c>
      <c r="F1192" s="5">
        <v>0.69920000000000004</v>
      </c>
      <c r="G1192" s="5">
        <v>7.1400000000000005E-2</v>
      </c>
      <c r="H1192" s="5">
        <v>6</v>
      </c>
      <c r="I1192" s="5">
        <v>500</v>
      </c>
      <c r="J1192" s="5">
        <v>3571.47</v>
      </c>
      <c r="K1192" s="5">
        <v>21</v>
      </c>
      <c r="L1192" s="5">
        <v>2</v>
      </c>
      <c r="M1192" s="5">
        <v>1</v>
      </c>
      <c r="N1192" s="5">
        <v>0</v>
      </c>
      <c r="O1192" s="5">
        <v>606.65</v>
      </c>
      <c r="P1192" s="6">
        <v>0</v>
      </c>
    </row>
    <row r="1193" spans="1:16" ht="23.4" x14ac:dyDescent="0.45">
      <c r="A1193" s="4" t="s">
        <v>1188</v>
      </c>
      <c r="B1193" s="5" t="s">
        <v>9</v>
      </c>
      <c r="C1193" s="5">
        <v>2000</v>
      </c>
      <c r="D1193" s="5">
        <v>34</v>
      </c>
      <c r="E1193" s="5">
        <v>1</v>
      </c>
      <c r="F1193" s="5">
        <v>0.81850000000000001</v>
      </c>
      <c r="G1193" s="5">
        <v>0.31419999999999998</v>
      </c>
      <c r="H1193" s="5">
        <v>2</v>
      </c>
      <c r="I1193" s="5">
        <v>500</v>
      </c>
      <c r="J1193" s="5">
        <v>3288.91</v>
      </c>
      <c r="K1193" s="5">
        <v>86</v>
      </c>
      <c r="L1193" s="5">
        <v>3</v>
      </c>
      <c r="M1193" s="5">
        <v>1</v>
      </c>
      <c r="N1193" s="5">
        <v>1</v>
      </c>
      <c r="O1193" s="5">
        <v>682.28</v>
      </c>
      <c r="P1193" s="6">
        <v>0</v>
      </c>
    </row>
    <row r="1194" spans="1:16" ht="23.4" x14ac:dyDescent="0.45">
      <c r="A1194" s="4" t="s">
        <v>1189</v>
      </c>
      <c r="B1194" s="5" t="s">
        <v>6</v>
      </c>
      <c r="C1194" s="5">
        <v>96731.88</v>
      </c>
      <c r="D1194" s="5">
        <v>66</v>
      </c>
      <c r="E1194" s="5">
        <v>0</v>
      </c>
      <c r="F1194" s="5">
        <v>0.61839999999999995</v>
      </c>
      <c r="G1194" s="5">
        <v>0.15260000000000001</v>
      </c>
      <c r="H1194" s="5">
        <v>0</v>
      </c>
      <c r="I1194" s="5">
        <v>10021.709999999999</v>
      </c>
      <c r="J1194" s="5">
        <v>0</v>
      </c>
      <c r="K1194" s="5">
        <v>145</v>
      </c>
      <c r="L1194" s="5">
        <v>1</v>
      </c>
      <c r="M1194" s="5">
        <v>3</v>
      </c>
      <c r="N1194" s="5">
        <v>0</v>
      </c>
      <c r="O1194" s="5">
        <v>787.91</v>
      </c>
      <c r="P1194" s="6">
        <v>0</v>
      </c>
    </row>
    <row r="1195" spans="1:16" ht="23.4" x14ac:dyDescent="0.45">
      <c r="A1195" s="4" t="s">
        <v>1190</v>
      </c>
      <c r="B1195" s="5" t="s">
        <v>9</v>
      </c>
      <c r="C1195" s="5">
        <v>126847.88</v>
      </c>
      <c r="D1195" s="5">
        <v>29</v>
      </c>
      <c r="E1195" s="5">
        <v>1</v>
      </c>
      <c r="F1195" s="5">
        <v>0.55389999999999995</v>
      </c>
      <c r="G1195" s="5">
        <v>0.52410000000000001</v>
      </c>
      <c r="H1195" s="5">
        <v>4</v>
      </c>
      <c r="I1195" s="5">
        <v>97158.71</v>
      </c>
      <c r="J1195" s="5">
        <v>68238.37</v>
      </c>
      <c r="K1195" s="5">
        <v>27</v>
      </c>
      <c r="L1195" s="5">
        <v>3</v>
      </c>
      <c r="M1195" s="5">
        <v>2</v>
      </c>
      <c r="N1195" s="5">
        <v>1</v>
      </c>
      <c r="O1195" s="5">
        <v>598.46</v>
      </c>
      <c r="P1195" s="6">
        <v>0</v>
      </c>
    </row>
    <row r="1196" spans="1:16" ht="23.4" x14ac:dyDescent="0.45">
      <c r="A1196" s="4" t="s">
        <v>1191</v>
      </c>
      <c r="B1196" s="5" t="s">
        <v>18</v>
      </c>
      <c r="C1196" s="5">
        <v>69101.119999999995</v>
      </c>
      <c r="D1196" s="5">
        <v>50</v>
      </c>
      <c r="E1196" s="5">
        <v>1</v>
      </c>
      <c r="F1196" s="5">
        <v>0.87560000000000004</v>
      </c>
      <c r="G1196" s="5">
        <v>0.87929999999999997</v>
      </c>
      <c r="H1196" s="5">
        <v>4</v>
      </c>
      <c r="I1196" s="5">
        <v>65088.53</v>
      </c>
      <c r="J1196" s="5">
        <v>36271.85</v>
      </c>
      <c r="K1196" s="5">
        <v>140</v>
      </c>
      <c r="L1196" s="5">
        <v>3</v>
      </c>
      <c r="M1196" s="5">
        <v>1</v>
      </c>
      <c r="N1196" s="5">
        <v>0</v>
      </c>
      <c r="O1196" s="5">
        <v>772.9</v>
      </c>
      <c r="P1196" s="6">
        <v>1</v>
      </c>
    </row>
    <row r="1197" spans="1:16" ht="23.4" x14ac:dyDescent="0.45">
      <c r="A1197" s="4" t="s">
        <v>1192</v>
      </c>
      <c r="B1197" s="5" t="s">
        <v>18</v>
      </c>
      <c r="C1197" s="5">
        <v>2000</v>
      </c>
      <c r="D1197" s="5">
        <v>27</v>
      </c>
      <c r="E1197" s="5">
        <v>1</v>
      </c>
      <c r="F1197" s="5">
        <v>0.59499999999999997</v>
      </c>
      <c r="G1197" s="5">
        <v>0.62319999999999998</v>
      </c>
      <c r="H1197" s="5">
        <v>0</v>
      </c>
      <c r="I1197" s="5">
        <v>500</v>
      </c>
      <c r="J1197" s="5">
        <v>0</v>
      </c>
      <c r="K1197" s="5">
        <v>102</v>
      </c>
      <c r="L1197" s="5">
        <v>1</v>
      </c>
      <c r="M1197" s="5">
        <v>2</v>
      </c>
      <c r="N1197" s="5">
        <v>1</v>
      </c>
      <c r="O1197" s="5">
        <v>670.09</v>
      </c>
      <c r="P1197" s="6">
        <v>0</v>
      </c>
    </row>
    <row r="1198" spans="1:16" ht="23.4" x14ac:dyDescent="0.45">
      <c r="A1198" s="4" t="s">
        <v>1193</v>
      </c>
      <c r="B1198" s="5" t="s">
        <v>15</v>
      </c>
      <c r="C1198" s="5">
        <v>116841.62</v>
      </c>
      <c r="D1198" s="5">
        <v>67</v>
      </c>
      <c r="E1198" s="5">
        <v>1</v>
      </c>
      <c r="F1198" s="5">
        <v>0.45860000000000001</v>
      </c>
      <c r="G1198" s="5">
        <v>0.86670000000000003</v>
      </c>
      <c r="H1198" s="5">
        <v>2</v>
      </c>
      <c r="I1198" s="5">
        <v>117992.14</v>
      </c>
      <c r="J1198" s="5">
        <v>60698.36</v>
      </c>
      <c r="K1198" s="5">
        <v>106</v>
      </c>
      <c r="L1198" s="5">
        <v>2</v>
      </c>
      <c r="M1198" s="5">
        <v>2</v>
      </c>
      <c r="N1198" s="5">
        <v>0</v>
      </c>
      <c r="O1198" s="5">
        <v>684.11</v>
      </c>
      <c r="P1198" s="6">
        <v>1</v>
      </c>
    </row>
    <row r="1199" spans="1:16" ht="23.4" x14ac:dyDescent="0.45">
      <c r="A1199" s="4" t="s">
        <v>1194</v>
      </c>
      <c r="B1199" s="5" t="s">
        <v>6</v>
      </c>
      <c r="C1199" s="5">
        <v>103837.27</v>
      </c>
      <c r="D1199" s="5">
        <v>28</v>
      </c>
      <c r="E1199" s="5">
        <v>1</v>
      </c>
      <c r="F1199" s="5">
        <v>0.89659999999999995</v>
      </c>
      <c r="G1199" s="5">
        <v>0.14099999999999999</v>
      </c>
      <c r="H1199" s="5">
        <v>0</v>
      </c>
      <c r="I1199" s="5">
        <v>11374.99</v>
      </c>
      <c r="J1199" s="5">
        <v>7107.25</v>
      </c>
      <c r="K1199" s="5">
        <v>141</v>
      </c>
      <c r="L1199" s="5">
        <v>2</v>
      </c>
      <c r="M1199" s="5">
        <v>2</v>
      </c>
      <c r="N1199" s="5">
        <v>1</v>
      </c>
      <c r="O1199" s="5">
        <v>788.31</v>
      </c>
      <c r="P1199" s="6">
        <v>0</v>
      </c>
    </row>
    <row r="1200" spans="1:16" ht="23.4" x14ac:dyDescent="0.45">
      <c r="A1200" s="4" t="s">
        <v>1195</v>
      </c>
      <c r="B1200" s="5" t="s">
        <v>6</v>
      </c>
      <c r="C1200" s="5">
        <v>67016.3</v>
      </c>
      <c r="D1200" s="5">
        <v>67</v>
      </c>
      <c r="E1200" s="5">
        <v>0</v>
      </c>
      <c r="F1200" s="5">
        <v>0.76729999999999998</v>
      </c>
      <c r="G1200" s="5">
        <v>0.4955</v>
      </c>
      <c r="H1200" s="5">
        <v>4</v>
      </c>
      <c r="I1200" s="5">
        <v>26402.41</v>
      </c>
      <c r="J1200" s="5">
        <v>15959.16</v>
      </c>
      <c r="K1200" s="5">
        <v>67</v>
      </c>
      <c r="L1200" s="5">
        <v>2</v>
      </c>
      <c r="M1200" s="5">
        <v>1</v>
      </c>
      <c r="N1200" s="5">
        <v>0</v>
      </c>
      <c r="O1200" s="5">
        <v>819.42</v>
      </c>
      <c r="P1200" s="6">
        <v>0</v>
      </c>
    </row>
    <row r="1201" spans="1:16" ht="23.4" x14ac:dyDescent="0.45">
      <c r="A1201" s="4" t="s">
        <v>1196</v>
      </c>
      <c r="B1201" s="5" t="s">
        <v>4</v>
      </c>
      <c r="C1201" s="5">
        <v>147416.47</v>
      </c>
      <c r="D1201" s="5">
        <v>67</v>
      </c>
      <c r="E1201" s="5">
        <v>0</v>
      </c>
      <c r="F1201" s="5">
        <v>0.63400000000000001</v>
      </c>
      <c r="G1201" s="5">
        <v>0.69130000000000003</v>
      </c>
      <c r="H1201" s="5">
        <v>1</v>
      </c>
      <c r="I1201" s="5">
        <v>115596.79</v>
      </c>
      <c r="J1201" s="5">
        <v>80964.759999999995</v>
      </c>
      <c r="K1201" s="5">
        <v>92</v>
      </c>
      <c r="L1201" s="5">
        <v>1</v>
      </c>
      <c r="M1201" s="5">
        <v>3</v>
      </c>
      <c r="N1201" s="5">
        <v>0</v>
      </c>
      <c r="O1201" s="5">
        <v>596.47</v>
      </c>
      <c r="P1201" s="6">
        <v>0</v>
      </c>
    </row>
    <row r="1202" spans="1:16" ht="23.4" x14ac:dyDescent="0.45">
      <c r="A1202" s="4" t="s">
        <v>1197</v>
      </c>
      <c r="B1202" s="5" t="s">
        <v>18</v>
      </c>
      <c r="C1202" s="5">
        <v>87863.95</v>
      </c>
      <c r="D1202" s="5">
        <v>27</v>
      </c>
      <c r="E1202" s="5">
        <v>0</v>
      </c>
      <c r="F1202" s="5">
        <v>0.45810000000000001</v>
      </c>
      <c r="G1202" s="5">
        <v>0.49759999999999999</v>
      </c>
      <c r="H1202" s="5">
        <v>4</v>
      </c>
      <c r="I1202" s="5">
        <v>44265.49</v>
      </c>
      <c r="J1202" s="5">
        <v>24321.42</v>
      </c>
      <c r="K1202" s="5">
        <v>16</v>
      </c>
      <c r="L1202" s="5">
        <v>3</v>
      </c>
      <c r="M1202" s="5">
        <v>2</v>
      </c>
      <c r="N1202" s="5">
        <v>0</v>
      </c>
      <c r="O1202" s="5">
        <v>707.76</v>
      </c>
      <c r="P1202" s="6">
        <v>0</v>
      </c>
    </row>
    <row r="1203" spans="1:16" ht="23.4" x14ac:dyDescent="0.45">
      <c r="A1203" s="4" t="s">
        <v>1198</v>
      </c>
      <c r="B1203" s="5" t="s">
        <v>4</v>
      </c>
      <c r="C1203" s="5">
        <v>61807.17</v>
      </c>
      <c r="D1203" s="5">
        <v>59</v>
      </c>
      <c r="E1203" s="5">
        <v>1</v>
      </c>
      <c r="F1203" s="5">
        <v>1</v>
      </c>
      <c r="G1203" s="5">
        <v>0.66690000000000005</v>
      </c>
      <c r="H1203" s="5">
        <v>5</v>
      </c>
      <c r="I1203" s="5">
        <v>42695.88</v>
      </c>
      <c r="J1203" s="5">
        <v>27397.11</v>
      </c>
      <c r="K1203" s="5">
        <v>60</v>
      </c>
      <c r="L1203" s="5">
        <v>1</v>
      </c>
      <c r="M1203" s="5">
        <v>1</v>
      </c>
      <c r="N1203" s="5">
        <v>0</v>
      </c>
      <c r="O1203" s="5">
        <v>731.16</v>
      </c>
      <c r="P1203" s="6">
        <v>0</v>
      </c>
    </row>
    <row r="1204" spans="1:16" ht="23.4" x14ac:dyDescent="0.45">
      <c r="A1204" s="4" t="s">
        <v>1199</v>
      </c>
      <c r="B1204" s="5" t="s">
        <v>4</v>
      </c>
      <c r="C1204" s="5">
        <v>38809.79</v>
      </c>
      <c r="D1204" s="5">
        <v>53</v>
      </c>
      <c r="E1204" s="5">
        <v>0</v>
      </c>
      <c r="F1204" s="5">
        <v>0.99029999999999996</v>
      </c>
      <c r="G1204" s="5">
        <v>0.14560000000000001</v>
      </c>
      <c r="H1204" s="5">
        <v>1</v>
      </c>
      <c r="I1204" s="5">
        <v>21971.34</v>
      </c>
      <c r="J1204" s="5">
        <v>24580.52</v>
      </c>
      <c r="K1204" s="5">
        <v>130</v>
      </c>
      <c r="L1204" s="5">
        <v>2</v>
      </c>
      <c r="M1204" s="5">
        <v>2</v>
      </c>
      <c r="N1204" s="5">
        <v>2</v>
      </c>
      <c r="O1204" s="5">
        <v>632.36</v>
      </c>
      <c r="P1204" s="6">
        <v>0</v>
      </c>
    </row>
    <row r="1205" spans="1:16" ht="23.4" x14ac:dyDescent="0.45">
      <c r="A1205" s="4" t="s">
        <v>1200</v>
      </c>
      <c r="B1205" s="5" t="s">
        <v>1</v>
      </c>
      <c r="C1205" s="5">
        <v>2000</v>
      </c>
      <c r="D1205" s="5">
        <v>39</v>
      </c>
      <c r="E1205" s="5">
        <v>1</v>
      </c>
      <c r="F1205" s="5">
        <v>0.69989999999999997</v>
      </c>
      <c r="G1205" s="5">
        <v>0.32829999999999998</v>
      </c>
      <c r="H1205" s="5">
        <v>2</v>
      </c>
      <c r="I1205" s="5">
        <v>32555.81</v>
      </c>
      <c r="J1205" s="5">
        <v>31932.01</v>
      </c>
      <c r="K1205" s="5">
        <v>120</v>
      </c>
      <c r="L1205" s="5">
        <v>3</v>
      </c>
      <c r="M1205" s="5">
        <v>1</v>
      </c>
      <c r="N1205" s="5">
        <v>0</v>
      </c>
      <c r="O1205" s="5">
        <v>710.01</v>
      </c>
      <c r="P1205" s="6">
        <v>0</v>
      </c>
    </row>
    <row r="1206" spans="1:16" ht="23.4" x14ac:dyDescent="0.45">
      <c r="A1206" s="4" t="s">
        <v>615</v>
      </c>
      <c r="B1206" s="5" t="s">
        <v>1</v>
      </c>
      <c r="C1206" s="5">
        <v>152732.82</v>
      </c>
      <c r="D1206" s="5">
        <v>54</v>
      </c>
      <c r="E1206" s="5">
        <v>0</v>
      </c>
      <c r="F1206" s="5">
        <v>0.52969999999999995</v>
      </c>
      <c r="G1206" s="5">
        <v>0.45029999999999998</v>
      </c>
      <c r="H1206" s="5">
        <v>3</v>
      </c>
      <c r="I1206" s="5">
        <v>70250.61</v>
      </c>
      <c r="J1206" s="5">
        <v>50691.23</v>
      </c>
      <c r="K1206" s="5">
        <v>37</v>
      </c>
      <c r="L1206" s="5">
        <v>1</v>
      </c>
      <c r="M1206" s="5">
        <v>2</v>
      </c>
      <c r="N1206" s="5">
        <v>1</v>
      </c>
      <c r="O1206" s="5">
        <v>649.30999999999995</v>
      </c>
      <c r="P1206" s="6">
        <v>1</v>
      </c>
    </row>
    <row r="1207" spans="1:16" ht="23.4" x14ac:dyDescent="0.45">
      <c r="A1207" s="4" t="s">
        <v>1201</v>
      </c>
      <c r="B1207" s="5" t="s">
        <v>15</v>
      </c>
      <c r="C1207" s="5">
        <v>32374.05</v>
      </c>
      <c r="D1207" s="5">
        <v>44</v>
      </c>
      <c r="E1207" s="5">
        <v>0</v>
      </c>
      <c r="F1207" s="5">
        <v>0.96350000000000002</v>
      </c>
      <c r="G1207" s="5">
        <v>0.38590000000000002</v>
      </c>
      <c r="H1207" s="5">
        <v>4</v>
      </c>
      <c r="I1207" s="5">
        <v>17405.47</v>
      </c>
      <c r="J1207" s="5">
        <v>0</v>
      </c>
      <c r="K1207" s="5">
        <v>121</v>
      </c>
      <c r="L1207" s="5">
        <v>4</v>
      </c>
      <c r="M1207" s="5">
        <v>2</v>
      </c>
      <c r="N1207" s="5">
        <v>0</v>
      </c>
      <c r="O1207" s="5">
        <v>671.78</v>
      </c>
      <c r="P1207" s="6">
        <v>0</v>
      </c>
    </row>
    <row r="1208" spans="1:16" ht="23.4" x14ac:dyDescent="0.45">
      <c r="A1208" s="4" t="s">
        <v>1202</v>
      </c>
      <c r="B1208" s="5" t="s">
        <v>1</v>
      </c>
      <c r="C1208" s="5">
        <v>72886.850000000006</v>
      </c>
      <c r="D1208" s="5">
        <v>61</v>
      </c>
      <c r="E1208" s="5">
        <v>0</v>
      </c>
      <c r="F1208" s="5">
        <v>0.43090000000000001</v>
      </c>
      <c r="G1208" s="5">
        <v>9.2600000000000002E-2</v>
      </c>
      <c r="H1208" s="5">
        <v>2</v>
      </c>
      <c r="I1208" s="5">
        <v>17552.560000000001</v>
      </c>
      <c r="J1208" s="5">
        <v>0</v>
      </c>
      <c r="K1208" s="5">
        <v>174</v>
      </c>
      <c r="L1208" s="5">
        <v>1</v>
      </c>
      <c r="M1208" s="5">
        <v>2</v>
      </c>
      <c r="N1208" s="5">
        <v>1</v>
      </c>
      <c r="O1208" s="5">
        <v>615.89</v>
      </c>
      <c r="P1208" s="6">
        <v>0</v>
      </c>
    </row>
    <row r="1209" spans="1:16" ht="23.4" x14ac:dyDescent="0.45">
      <c r="A1209" s="4" t="s">
        <v>1203</v>
      </c>
      <c r="B1209" s="5" t="s">
        <v>9</v>
      </c>
      <c r="C1209" s="5">
        <v>47097.04</v>
      </c>
      <c r="D1209" s="5">
        <v>50</v>
      </c>
      <c r="E1209" s="5">
        <v>1</v>
      </c>
      <c r="F1209" s="5">
        <v>0.90549999999999997</v>
      </c>
      <c r="G1209" s="5">
        <v>0.56230000000000002</v>
      </c>
      <c r="H1209" s="5">
        <v>5</v>
      </c>
      <c r="I1209" s="5">
        <v>47233.91</v>
      </c>
      <c r="J1209" s="5">
        <v>26000.11</v>
      </c>
      <c r="K1209" s="5">
        <v>151</v>
      </c>
      <c r="L1209" s="5">
        <v>1</v>
      </c>
      <c r="M1209" s="5">
        <v>1</v>
      </c>
      <c r="N1209" s="5">
        <v>0</v>
      </c>
      <c r="O1209" s="5">
        <v>672.88</v>
      </c>
      <c r="P1209" s="6">
        <v>1</v>
      </c>
    </row>
    <row r="1210" spans="1:16" ht="23.4" x14ac:dyDescent="0.45">
      <c r="A1210" s="4" t="s">
        <v>1204</v>
      </c>
      <c r="B1210" s="5" t="s">
        <v>1</v>
      </c>
      <c r="C1210" s="5">
        <v>51264.87</v>
      </c>
      <c r="D1210" s="5">
        <v>60</v>
      </c>
      <c r="E1210" s="5">
        <v>1</v>
      </c>
      <c r="F1210" s="5">
        <v>0.69950000000000001</v>
      </c>
      <c r="G1210" s="5">
        <v>0.52949999999999997</v>
      </c>
      <c r="H1210" s="5">
        <v>0</v>
      </c>
      <c r="I1210" s="5">
        <v>57345.16</v>
      </c>
      <c r="J1210" s="5">
        <v>34115.64</v>
      </c>
      <c r="K1210" s="5">
        <v>33</v>
      </c>
      <c r="L1210" s="5">
        <v>1</v>
      </c>
      <c r="M1210" s="5">
        <v>2</v>
      </c>
      <c r="N1210" s="5">
        <v>2</v>
      </c>
      <c r="O1210" s="5">
        <v>682.46</v>
      </c>
      <c r="P1210" s="6">
        <v>0</v>
      </c>
    </row>
    <row r="1211" spans="1:16" ht="23.4" x14ac:dyDescent="0.45">
      <c r="A1211" s="4" t="s">
        <v>1205</v>
      </c>
      <c r="B1211" s="5" t="s">
        <v>15</v>
      </c>
      <c r="C1211" s="5">
        <v>113876.3</v>
      </c>
      <c r="D1211" s="5">
        <v>46</v>
      </c>
      <c r="E1211" s="5">
        <v>0</v>
      </c>
      <c r="F1211" s="5">
        <v>0.23180000000000001</v>
      </c>
      <c r="G1211" s="5">
        <v>0.15140000000000001</v>
      </c>
      <c r="H1211" s="5">
        <v>4</v>
      </c>
      <c r="I1211" s="5">
        <v>24307.72</v>
      </c>
      <c r="J1211" s="5">
        <v>22091.919999999998</v>
      </c>
      <c r="K1211" s="5">
        <v>45</v>
      </c>
      <c r="L1211" s="5">
        <v>2</v>
      </c>
      <c r="M1211" s="5">
        <v>1</v>
      </c>
      <c r="N1211" s="5">
        <v>1</v>
      </c>
      <c r="O1211" s="5">
        <v>676.72</v>
      </c>
      <c r="P1211" s="6">
        <v>0</v>
      </c>
    </row>
    <row r="1212" spans="1:16" ht="23.4" x14ac:dyDescent="0.45">
      <c r="A1212" s="4" t="s">
        <v>1206</v>
      </c>
      <c r="B1212" s="5" t="s">
        <v>18</v>
      </c>
      <c r="C1212" s="5">
        <v>137716.38</v>
      </c>
      <c r="D1212" s="5">
        <v>68</v>
      </c>
      <c r="E1212" s="5">
        <v>0</v>
      </c>
      <c r="F1212" s="5">
        <v>0.74119999999999997</v>
      </c>
      <c r="G1212" s="5">
        <v>0.46829999999999999</v>
      </c>
      <c r="H1212" s="5">
        <v>5</v>
      </c>
      <c r="I1212" s="5">
        <v>75274.509999999995</v>
      </c>
      <c r="J1212" s="5">
        <v>52234.45</v>
      </c>
      <c r="K1212" s="5">
        <v>161</v>
      </c>
      <c r="L1212" s="5">
        <v>1</v>
      </c>
      <c r="M1212" s="5">
        <v>2</v>
      </c>
      <c r="N1212" s="5">
        <v>1</v>
      </c>
      <c r="O1212" s="5">
        <v>672.49</v>
      </c>
      <c r="P1212" s="6">
        <v>0</v>
      </c>
    </row>
    <row r="1213" spans="1:16" ht="23.4" x14ac:dyDescent="0.45">
      <c r="A1213" s="4" t="s">
        <v>1207</v>
      </c>
      <c r="B1213" s="5" t="s">
        <v>15</v>
      </c>
      <c r="C1213" s="5">
        <v>115686.86</v>
      </c>
      <c r="D1213" s="5">
        <v>29</v>
      </c>
      <c r="E1213" s="5">
        <v>0</v>
      </c>
      <c r="F1213" s="5">
        <v>0.55869999999999997</v>
      </c>
      <c r="G1213" s="5">
        <v>0.1321</v>
      </c>
      <c r="H1213" s="5">
        <v>5</v>
      </c>
      <c r="I1213" s="5">
        <v>18323.23</v>
      </c>
      <c r="J1213" s="5">
        <v>11288.77</v>
      </c>
      <c r="K1213" s="5">
        <v>94</v>
      </c>
      <c r="L1213" s="5">
        <v>4</v>
      </c>
      <c r="M1213" s="5">
        <v>2</v>
      </c>
      <c r="N1213" s="5">
        <v>0</v>
      </c>
      <c r="O1213" s="5">
        <v>711.08</v>
      </c>
      <c r="P1213" s="6">
        <v>0</v>
      </c>
    </row>
    <row r="1214" spans="1:16" ht="23.4" x14ac:dyDescent="0.45">
      <c r="A1214" s="4" t="s">
        <v>1208</v>
      </c>
      <c r="B1214" s="5" t="s">
        <v>18</v>
      </c>
      <c r="C1214" s="5">
        <v>69133.73</v>
      </c>
      <c r="D1214" s="5">
        <v>42</v>
      </c>
      <c r="E1214" s="5">
        <v>0</v>
      </c>
      <c r="F1214" s="5">
        <v>0.44169999999999998</v>
      </c>
      <c r="G1214" s="5">
        <v>0.84379999999999999</v>
      </c>
      <c r="H1214" s="5">
        <v>5</v>
      </c>
      <c r="I1214" s="5">
        <v>61587.91</v>
      </c>
      <c r="J1214" s="5">
        <v>27534.17</v>
      </c>
      <c r="K1214" s="5">
        <v>97</v>
      </c>
      <c r="L1214" s="5">
        <v>2</v>
      </c>
      <c r="M1214" s="5">
        <v>1</v>
      </c>
      <c r="N1214" s="5">
        <v>1</v>
      </c>
      <c r="O1214" s="5">
        <v>698.66</v>
      </c>
      <c r="P1214" s="6">
        <v>0</v>
      </c>
    </row>
    <row r="1215" spans="1:16" ht="23.4" x14ac:dyDescent="0.45">
      <c r="A1215" s="4" t="s">
        <v>1209</v>
      </c>
      <c r="B1215" s="5" t="s">
        <v>6</v>
      </c>
      <c r="C1215" s="5">
        <v>121545.95</v>
      </c>
      <c r="D1215" s="5">
        <v>43</v>
      </c>
      <c r="E1215" s="5">
        <v>0</v>
      </c>
      <c r="F1215" s="5">
        <v>0.63519999999999999</v>
      </c>
      <c r="G1215" s="5">
        <v>0.45369999999999999</v>
      </c>
      <c r="H1215" s="5">
        <v>3</v>
      </c>
      <c r="I1215" s="5">
        <v>52854.32</v>
      </c>
      <c r="J1215" s="5">
        <v>26195.49</v>
      </c>
      <c r="K1215" s="5">
        <v>178</v>
      </c>
      <c r="L1215" s="5">
        <v>3</v>
      </c>
      <c r="M1215" s="5">
        <v>2</v>
      </c>
      <c r="N1215" s="5">
        <v>1</v>
      </c>
      <c r="O1215" s="5">
        <v>697.09</v>
      </c>
      <c r="P1215" s="6">
        <v>0</v>
      </c>
    </row>
    <row r="1216" spans="1:16" ht="23.4" x14ac:dyDescent="0.45">
      <c r="A1216" s="4" t="s">
        <v>1210</v>
      </c>
      <c r="B1216" s="5" t="s">
        <v>6</v>
      </c>
      <c r="C1216" s="5">
        <v>74109.119999999995</v>
      </c>
      <c r="D1216" s="5">
        <v>69</v>
      </c>
      <c r="E1216" s="5">
        <v>0</v>
      </c>
      <c r="F1216" s="5">
        <v>0.86699999999999999</v>
      </c>
      <c r="G1216" s="5">
        <v>0.75049999999999994</v>
      </c>
      <c r="H1216" s="5">
        <v>7</v>
      </c>
      <c r="I1216" s="5">
        <v>58193.11</v>
      </c>
      <c r="J1216" s="5">
        <v>35506.57</v>
      </c>
      <c r="K1216" s="5">
        <v>44</v>
      </c>
      <c r="L1216" s="5">
        <v>1</v>
      </c>
      <c r="M1216" s="5">
        <v>2</v>
      </c>
      <c r="N1216" s="5">
        <v>0</v>
      </c>
      <c r="O1216" s="5">
        <v>609.98</v>
      </c>
      <c r="P1216" s="6">
        <v>1</v>
      </c>
    </row>
    <row r="1217" spans="1:16" ht="23.4" x14ac:dyDescent="0.45">
      <c r="A1217" s="4" t="s">
        <v>1211</v>
      </c>
      <c r="B1217" s="5" t="s">
        <v>15</v>
      </c>
      <c r="C1217" s="5">
        <v>86420.41</v>
      </c>
      <c r="D1217" s="5">
        <v>22</v>
      </c>
      <c r="E1217" s="5">
        <v>1</v>
      </c>
      <c r="F1217" s="5">
        <v>0.75939999999999996</v>
      </c>
      <c r="G1217" s="5">
        <v>0.26989999999999997</v>
      </c>
      <c r="H1217" s="5">
        <v>2</v>
      </c>
      <c r="I1217" s="5">
        <v>22663.84</v>
      </c>
      <c r="J1217" s="5">
        <v>11200.24</v>
      </c>
      <c r="K1217" s="5">
        <v>159</v>
      </c>
      <c r="L1217" s="5">
        <v>2</v>
      </c>
      <c r="M1217" s="5">
        <v>2</v>
      </c>
      <c r="N1217" s="5">
        <v>0</v>
      </c>
      <c r="O1217" s="5">
        <v>656.88</v>
      </c>
      <c r="P1217" s="6">
        <v>0</v>
      </c>
    </row>
    <row r="1218" spans="1:16" ht="23.4" x14ac:dyDescent="0.45">
      <c r="A1218" s="4" t="s">
        <v>1212</v>
      </c>
      <c r="B1218" s="5" t="s">
        <v>6</v>
      </c>
      <c r="C1218" s="5">
        <v>128350.51</v>
      </c>
      <c r="D1218" s="5">
        <v>53</v>
      </c>
      <c r="E1218" s="5">
        <v>0</v>
      </c>
      <c r="F1218" s="5">
        <v>0.40639999999999998</v>
      </c>
      <c r="G1218" s="5">
        <v>0.43049999999999999</v>
      </c>
      <c r="H1218" s="5">
        <v>3</v>
      </c>
      <c r="I1218" s="5">
        <v>62452.28</v>
      </c>
      <c r="J1218" s="5">
        <v>45449.18</v>
      </c>
      <c r="K1218" s="5">
        <v>12</v>
      </c>
      <c r="L1218" s="5">
        <v>1</v>
      </c>
      <c r="M1218" s="5">
        <v>1</v>
      </c>
      <c r="N1218" s="5">
        <v>1</v>
      </c>
      <c r="O1218" s="5">
        <v>627.32000000000005</v>
      </c>
      <c r="P1218" s="6">
        <v>0</v>
      </c>
    </row>
    <row r="1219" spans="1:16" ht="23.4" x14ac:dyDescent="0.45">
      <c r="A1219" s="4" t="s">
        <v>1213</v>
      </c>
      <c r="B1219" s="5" t="s">
        <v>9</v>
      </c>
      <c r="C1219" s="5">
        <v>66424.27</v>
      </c>
      <c r="D1219" s="5">
        <v>59</v>
      </c>
      <c r="E1219" s="5">
        <v>1</v>
      </c>
      <c r="F1219" s="5">
        <v>0.99319999999999997</v>
      </c>
      <c r="G1219" s="5">
        <v>0.58150000000000002</v>
      </c>
      <c r="H1219" s="5">
        <v>5</v>
      </c>
      <c r="I1219" s="5">
        <v>43763.49</v>
      </c>
      <c r="J1219" s="5">
        <v>39872.239999999998</v>
      </c>
      <c r="K1219" s="5">
        <v>56</v>
      </c>
      <c r="L1219" s="5">
        <v>3</v>
      </c>
      <c r="M1219" s="5">
        <v>3</v>
      </c>
      <c r="N1219" s="5">
        <v>1</v>
      </c>
      <c r="O1219" s="5">
        <v>798.53</v>
      </c>
      <c r="P1219" s="6">
        <v>0</v>
      </c>
    </row>
    <row r="1220" spans="1:16" ht="23.4" x14ac:dyDescent="0.45">
      <c r="A1220" s="4" t="s">
        <v>1214</v>
      </c>
      <c r="B1220" s="5" t="s">
        <v>4</v>
      </c>
      <c r="C1220" s="5">
        <v>130999.72</v>
      </c>
      <c r="D1220" s="5">
        <v>61</v>
      </c>
      <c r="E1220" s="5">
        <v>1</v>
      </c>
      <c r="F1220" s="5">
        <v>0.75960000000000005</v>
      </c>
      <c r="G1220" s="5">
        <v>0.39140000000000003</v>
      </c>
      <c r="H1220" s="5">
        <v>3</v>
      </c>
      <c r="I1220" s="5">
        <v>35064.21</v>
      </c>
      <c r="J1220" s="5">
        <v>24936.52</v>
      </c>
      <c r="K1220" s="5">
        <v>78</v>
      </c>
      <c r="L1220" s="5">
        <v>2</v>
      </c>
      <c r="M1220" s="5">
        <v>1</v>
      </c>
      <c r="N1220" s="5">
        <v>2</v>
      </c>
      <c r="O1220" s="5">
        <v>782.43</v>
      </c>
      <c r="P1220" s="6">
        <v>0</v>
      </c>
    </row>
    <row r="1221" spans="1:16" ht="23.4" x14ac:dyDescent="0.45">
      <c r="A1221" s="4" t="s">
        <v>1215</v>
      </c>
      <c r="B1221" s="5" t="s">
        <v>18</v>
      </c>
      <c r="C1221" s="5">
        <v>42261.64</v>
      </c>
      <c r="D1221" s="5">
        <v>47</v>
      </c>
      <c r="E1221" s="5">
        <v>0</v>
      </c>
      <c r="F1221" s="5">
        <v>0.57230000000000003</v>
      </c>
      <c r="G1221" s="5">
        <v>0.10349999999999999</v>
      </c>
      <c r="H1221" s="5">
        <v>0</v>
      </c>
      <c r="I1221" s="5">
        <v>20202.34</v>
      </c>
      <c r="J1221" s="5">
        <v>26299.17</v>
      </c>
      <c r="K1221" s="5">
        <v>166</v>
      </c>
      <c r="L1221" s="5">
        <v>3</v>
      </c>
      <c r="M1221" s="5">
        <v>3</v>
      </c>
      <c r="N1221" s="5">
        <v>2</v>
      </c>
      <c r="O1221" s="5">
        <v>776.97</v>
      </c>
      <c r="P1221" s="6">
        <v>0</v>
      </c>
    </row>
    <row r="1222" spans="1:16" ht="23.4" x14ac:dyDescent="0.45">
      <c r="A1222" s="4" t="s">
        <v>1216</v>
      </c>
      <c r="B1222" s="5" t="s">
        <v>6</v>
      </c>
      <c r="C1222" s="5">
        <v>2000</v>
      </c>
      <c r="D1222" s="5">
        <v>25</v>
      </c>
      <c r="E1222" s="5">
        <v>1</v>
      </c>
      <c r="F1222" s="5">
        <v>0.51449999999999996</v>
      </c>
      <c r="G1222" s="5">
        <v>0.4234</v>
      </c>
      <c r="H1222" s="5">
        <v>1</v>
      </c>
      <c r="I1222" s="5">
        <v>500</v>
      </c>
      <c r="J1222" s="5">
        <v>6166.32</v>
      </c>
      <c r="K1222" s="5">
        <v>142</v>
      </c>
      <c r="L1222" s="5">
        <v>1</v>
      </c>
      <c r="M1222" s="5">
        <v>3</v>
      </c>
      <c r="N1222" s="5">
        <v>0</v>
      </c>
      <c r="O1222" s="5">
        <v>653.01</v>
      </c>
      <c r="P1222" s="6">
        <v>0</v>
      </c>
    </row>
    <row r="1223" spans="1:16" ht="23.4" x14ac:dyDescent="0.45">
      <c r="A1223" s="4" t="s">
        <v>1217</v>
      </c>
      <c r="B1223" s="5" t="s">
        <v>6</v>
      </c>
      <c r="C1223" s="5">
        <v>95559.55</v>
      </c>
      <c r="D1223" s="5">
        <v>41</v>
      </c>
      <c r="E1223" s="5">
        <v>1</v>
      </c>
      <c r="F1223" s="5">
        <v>0.4103</v>
      </c>
      <c r="G1223" s="5">
        <v>0.8498</v>
      </c>
      <c r="H1223" s="5">
        <v>6</v>
      </c>
      <c r="I1223" s="5">
        <v>113113.45</v>
      </c>
      <c r="J1223" s="5">
        <v>56502.84</v>
      </c>
      <c r="K1223" s="5">
        <v>26</v>
      </c>
      <c r="L1223" s="5">
        <v>2</v>
      </c>
      <c r="M1223" s="5">
        <v>1</v>
      </c>
      <c r="N1223" s="5">
        <v>3</v>
      </c>
      <c r="O1223" s="5">
        <v>670.37</v>
      </c>
      <c r="P1223" s="6">
        <v>0</v>
      </c>
    </row>
    <row r="1224" spans="1:16" ht="23.4" x14ac:dyDescent="0.45">
      <c r="A1224" s="4" t="s">
        <v>1218</v>
      </c>
      <c r="B1224" s="5" t="s">
        <v>6</v>
      </c>
      <c r="C1224" s="5">
        <v>82044.58</v>
      </c>
      <c r="D1224" s="5">
        <v>31</v>
      </c>
      <c r="E1224" s="5">
        <v>1</v>
      </c>
      <c r="F1224" s="5">
        <v>0.62719999999999998</v>
      </c>
      <c r="G1224" s="5">
        <v>0.5222</v>
      </c>
      <c r="H1224" s="5">
        <v>3</v>
      </c>
      <c r="I1224" s="5">
        <v>42867.91</v>
      </c>
      <c r="J1224" s="5">
        <v>22004.01</v>
      </c>
      <c r="K1224" s="5">
        <v>137</v>
      </c>
      <c r="L1224" s="5">
        <v>4</v>
      </c>
      <c r="M1224" s="5">
        <v>1</v>
      </c>
      <c r="N1224" s="5">
        <v>1</v>
      </c>
      <c r="O1224" s="5">
        <v>526.05999999999995</v>
      </c>
      <c r="P1224" s="6">
        <v>0</v>
      </c>
    </row>
    <row r="1225" spans="1:16" ht="23.4" x14ac:dyDescent="0.45">
      <c r="A1225" s="4" t="s">
        <v>1219</v>
      </c>
      <c r="B1225" s="5" t="s">
        <v>15</v>
      </c>
      <c r="C1225" s="5">
        <v>54801.02</v>
      </c>
      <c r="D1225" s="5">
        <v>33</v>
      </c>
      <c r="E1225" s="5">
        <v>1</v>
      </c>
      <c r="F1225" s="5">
        <v>0.71560000000000001</v>
      </c>
      <c r="G1225" s="5">
        <v>0.49630000000000002</v>
      </c>
      <c r="H1225" s="5">
        <v>2</v>
      </c>
      <c r="I1225" s="5">
        <v>16251.28</v>
      </c>
      <c r="J1225" s="5">
        <v>10919.4</v>
      </c>
      <c r="K1225" s="5">
        <v>49</v>
      </c>
      <c r="L1225" s="5">
        <v>3</v>
      </c>
      <c r="M1225" s="5">
        <v>1</v>
      </c>
      <c r="N1225" s="5">
        <v>0</v>
      </c>
      <c r="O1225" s="5">
        <v>715.14</v>
      </c>
      <c r="P1225" s="6">
        <v>0</v>
      </c>
    </row>
    <row r="1226" spans="1:16" ht="23.4" x14ac:dyDescent="0.45">
      <c r="A1226" s="4" t="s">
        <v>1220</v>
      </c>
      <c r="B1226" s="5" t="s">
        <v>9</v>
      </c>
      <c r="C1226" s="5">
        <v>2000</v>
      </c>
      <c r="D1226" s="5">
        <v>27</v>
      </c>
      <c r="E1226" s="5">
        <v>0</v>
      </c>
      <c r="F1226" s="5">
        <v>0.6653</v>
      </c>
      <c r="G1226" s="5">
        <v>0.2142</v>
      </c>
      <c r="H1226" s="5">
        <v>2</v>
      </c>
      <c r="I1226" s="5">
        <v>15973.67</v>
      </c>
      <c r="J1226" s="5">
        <v>13502.45</v>
      </c>
      <c r="K1226" s="5">
        <v>180</v>
      </c>
      <c r="L1226" s="5">
        <v>1</v>
      </c>
      <c r="M1226" s="5">
        <v>1</v>
      </c>
      <c r="N1226" s="5">
        <v>1</v>
      </c>
      <c r="O1226" s="5">
        <v>738.5</v>
      </c>
      <c r="P1226" s="6">
        <v>0</v>
      </c>
    </row>
    <row r="1227" spans="1:16" ht="23.4" x14ac:dyDescent="0.45">
      <c r="A1227" s="4" t="s">
        <v>1221</v>
      </c>
      <c r="B1227" s="5" t="s">
        <v>4</v>
      </c>
      <c r="C1227" s="5">
        <v>105653.58</v>
      </c>
      <c r="D1227" s="5">
        <v>52</v>
      </c>
      <c r="E1227" s="5">
        <v>1</v>
      </c>
      <c r="F1227" s="5">
        <v>0.63929999999999998</v>
      </c>
      <c r="G1227" s="5">
        <v>0.26740000000000003</v>
      </c>
      <c r="H1227" s="5">
        <v>2</v>
      </c>
      <c r="I1227" s="5">
        <v>30575.26</v>
      </c>
      <c r="J1227" s="5">
        <v>21907.29</v>
      </c>
      <c r="K1227" s="5">
        <v>131</v>
      </c>
      <c r="L1227" s="5">
        <v>3</v>
      </c>
      <c r="M1227" s="5">
        <v>2</v>
      </c>
      <c r="N1227" s="5">
        <v>2</v>
      </c>
      <c r="O1227" s="5">
        <v>727.74</v>
      </c>
      <c r="P1227" s="6">
        <v>0</v>
      </c>
    </row>
    <row r="1228" spans="1:16" ht="23.4" x14ac:dyDescent="0.45">
      <c r="A1228" s="4" t="s">
        <v>1222</v>
      </c>
      <c r="B1228" s="5" t="s">
        <v>6</v>
      </c>
      <c r="C1228" s="5">
        <v>108972.39</v>
      </c>
      <c r="D1228" s="5">
        <v>47</v>
      </c>
      <c r="E1228" s="5">
        <v>1</v>
      </c>
      <c r="F1228" s="5">
        <v>0.92700000000000005</v>
      </c>
      <c r="G1228" s="5">
        <v>0.54859999999999998</v>
      </c>
      <c r="H1228" s="5">
        <v>5</v>
      </c>
      <c r="I1228" s="5">
        <v>58088.67</v>
      </c>
      <c r="J1228" s="5">
        <v>35516.25</v>
      </c>
      <c r="K1228" s="5">
        <v>161</v>
      </c>
      <c r="L1228" s="5">
        <v>2</v>
      </c>
      <c r="M1228" s="5">
        <v>2</v>
      </c>
      <c r="N1228" s="5">
        <v>2</v>
      </c>
      <c r="O1228" s="5">
        <v>730.2</v>
      </c>
      <c r="P1228" s="6">
        <v>0</v>
      </c>
    </row>
    <row r="1229" spans="1:16" ht="23.4" x14ac:dyDescent="0.45">
      <c r="A1229" s="4" t="s">
        <v>1223</v>
      </c>
      <c r="B1229" s="5" t="s">
        <v>6</v>
      </c>
      <c r="C1229" s="5">
        <v>173124.58</v>
      </c>
      <c r="D1229" s="5">
        <v>28</v>
      </c>
      <c r="E1229" s="5">
        <v>0</v>
      </c>
      <c r="F1229" s="5">
        <v>0.7722</v>
      </c>
      <c r="G1229" s="5">
        <v>0.27260000000000001</v>
      </c>
      <c r="H1229" s="5">
        <v>1</v>
      </c>
      <c r="I1229" s="5">
        <v>35251.06</v>
      </c>
      <c r="J1229" s="5">
        <v>30660.54</v>
      </c>
      <c r="K1229" s="5">
        <v>121</v>
      </c>
      <c r="L1229" s="5">
        <v>4</v>
      </c>
      <c r="M1229" s="5">
        <v>1</v>
      </c>
      <c r="N1229" s="5">
        <v>1</v>
      </c>
      <c r="O1229" s="5">
        <v>728.74</v>
      </c>
      <c r="P1229" s="6">
        <v>0</v>
      </c>
    </row>
    <row r="1230" spans="1:16" ht="23.4" x14ac:dyDescent="0.45">
      <c r="A1230" s="4" t="s">
        <v>287</v>
      </c>
      <c r="B1230" s="5" t="s">
        <v>9</v>
      </c>
      <c r="C1230" s="5">
        <v>80837.66</v>
      </c>
      <c r="D1230" s="5">
        <v>64</v>
      </c>
      <c r="E1230" s="5">
        <v>0</v>
      </c>
      <c r="F1230" s="5">
        <v>0.49230000000000002</v>
      </c>
      <c r="G1230" s="5">
        <v>0.51290000000000002</v>
      </c>
      <c r="H1230" s="5">
        <v>3</v>
      </c>
      <c r="I1230" s="5">
        <v>36182.85</v>
      </c>
      <c r="J1230" s="5">
        <v>21984.39</v>
      </c>
      <c r="K1230" s="5">
        <v>133</v>
      </c>
      <c r="L1230" s="5">
        <v>1</v>
      </c>
      <c r="M1230" s="5">
        <v>1</v>
      </c>
      <c r="N1230" s="5">
        <v>1</v>
      </c>
      <c r="O1230" s="5">
        <v>732.44</v>
      </c>
      <c r="P1230" s="6">
        <v>0</v>
      </c>
    </row>
    <row r="1231" spans="1:16" ht="23.4" x14ac:dyDescent="0.45">
      <c r="A1231" s="4" t="s">
        <v>1224</v>
      </c>
      <c r="B1231" s="5" t="s">
        <v>4</v>
      </c>
      <c r="C1231" s="5">
        <v>153522.01</v>
      </c>
      <c r="D1231" s="5">
        <v>21</v>
      </c>
      <c r="E1231" s="5">
        <v>1</v>
      </c>
      <c r="F1231" s="5">
        <v>0.62070000000000003</v>
      </c>
      <c r="G1231" s="5">
        <v>0.49769999999999998</v>
      </c>
      <c r="H1231" s="5">
        <v>2</v>
      </c>
      <c r="I1231" s="5">
        <v>68694.33</v>
      </c>
      <c r="J1231" s="5">
        <v>45743.45</v>
      </c>
      <c r="K1231" s="5">
        <v>178</v>
      </c>
      <c r="L1231" s="5">
        <v>1</v>
      </c>
      <c r="M1231" s="5">
        <v>3</v>
      </c>
      <c r="N1231" s="5">
        <v>1</v>
      </c>
      <c r="O1231" s="5">
        <v>739.54</v>
      </c>
      <c r="P1231" s="6">
        <v>0</v>
      </c>
    </row>
    <row r="1232" spans="1:16" ht="23.4" x14ac:dyDescent="0.45">
      <c r="A1232" s="4" t="s">
        <v>1225</v>
      </c>
      <c r="B1232" s="5" t="s">
        <v>6</v>
      </c>
      <c r="C1232" s="5">
        <v>130475.56</v>
      </c>
      <c r="D1232" s="5">
        <v>49</v>
      </c>
      <c r="E1232" s="5">
        <v>0</v>
      </c>
      <c r="F1232" s="5">
        <v>0.71679999999999999</v>
      </c>
      <c r="G1232" s="5">
        <v>0.75149999999999995</v>
      </c>
      <c r="H1232" s="5">
        <v>3</v>
      </c>
      <c r="I1232" s="5">
        <v>90973.97</v>
      </c>
      <c r="J1232" s="5">
        <v>65042.48</v>
      </c>
      <c r="K1232" s="5">
        <v>24</v>
      </c>
      <c r="L1232" s="5">
        <v>2</v>
      </c>
      <c r="M1232" s="5">
        <v>2</v>
      </c>
      <c r="N1232" s="5">
        <v>0</v>
      </c>
      <c r="O1232" s="5">
        <v>708.47</v>
      </c>
      <c r="P1232" s="6">
        <v>0</v>
      </c>
    </row>
    <row r="1233" spans="1:16" ht="23.4" x14ac:dyDescent="0.45">
      <c r="A1233" s="4" t="s">
        <v>1226</v>
      </c>
      <c r="B1233" s="5" t="s">
        <v>9</v>
      </c>
      <c r="C1233" s="5">
        <v>87178.53</v>
      </c>
      <c r="D1233" s="5">
        <v>50</v>
      </c>
      <c r="E1233" s="5">
        <v>0</v>
      </c>
      <c r="F1233" s="5">
        <v>0.71550000000000002</v>
      </c>
      <c r="G1233" s="5">
        <v>0</v>
      </c>
      <c r="H1233" s="5">
        <v>0</v>
      </c>
      <c r="I1233" s="5">
        <v>500</v>
      </c>
      <c r="J1233" s="5">
        <v>0</v>
      </c>
      <c r="K1233" s="5">
        <v>165</v>
      </c>
      <c r="L1233" s="5">
        <v>2</v>
      </c>
      <c r="M1233" s="5">
        <v>1</v>
      </c>
      <c r="N1233" s="5">
        <v>1</v>
      </c>
      <c r="O1233" s="5">
        <v>695.89</v>
      </c>
      <c r="P1233" s="6">
        <v>0</v>
      </c>
    </row>
    <row r="1234" spans="1:16" ht="23.4" x14ac:dyDescent="0.45">
      <c r="A1234" s="4" t="s">
        <v>1227</v>
      </c>
      <c r="B1234" s="5" t="s">
        <v>1</v>
      </c>
      <c r="C1234" s="5">
        <v>141725.72</v>
      </c>
      <c r="D1234" s="5">
        <v>23</v>
      </c>
      <c r="E1234" s="5">
        <v>1</v>
      </c>
      <c r="F1234" s="5">
        <v>1</v>
      </c>
      <c r="G1234" s="5">
        <v>0.66500000000000004</v>
      </c>
      <c r="H1234" s="5">
        <v>1</v>
      </c>
      <c r="I1234" s="5">
        <v>116191.29</v>
      </c>
      <c r="J1234" s="5">
        <v>89262.95</v>
      </c>
      <c r="K1234" s="5">
        <v>64</v>
      </c>
      <c r="L1234" s="5">
        <v>2</v>
      </c>
      <c r="M1234" s="5">
        <v>2</v>
      </c>
      <c r="N1234" s="5">
        <v>3</v>
      </c>
      <c r="O1234" s="5">
        <v>641.77</v>
      </c>
      <c r="P1234" s="6">
        <v>0</v>
      </c>
    </row>
    <row r="1235" spans="1:16" ht="23.4" x14ac:dyDescent="0.45">
      <c r="A1235" s="4" t="s">
        <v>1228</v>
      </c>
      <c r="B1235" s="5" t="s">
        <v>15</v>
      </c>
      <c r="C1235" s="5">
        <v>50065.67</v>
      </c>
      <c r="D1235" s="5">
        <v>39</v>
      </c>
      <c r="E1235" s="5">
        <v>1</v>
      </c>
      <c r="F1235" s="5">
        <v>0.59970000000000001</v>
      </c>
      <c r="G1235" s="5">
        <v>0.2311</v>
      </c>
      <c r="H1235" s="5">
        <v>0</v>
      </c>
      <c r="I1235" s="5">
        <v>500</v>
      </c>
      <c r="J1235" s="5">
        <v>0</v>
      </c>
      <c r="K1235" s="5">
        <v>22</v>
      </c>
      <c r="L1235" s="5">
        <v>2</v>
      </c>
      <c r="M1235" s="5">
        <v>1</v>
      </c>
      <c r="N1235" s="5">
        <v>1</v>
      </c>
      <c r="O1235" s="5">
        <v>655.01</v>
      </c>
      <c r="P1235" s="6">
        <v>0</v>
      </c>
    </row>
    <row r="1236" spans="1:16" ht="23.4" x14ac:dyDescent="0.45">
      <c r="A1236" s="4" t="s">
        <v>1229</v>
      </c>
      <c r="B1236" s="5" t="s">
        <v>1</v>
      </c>
      <c r="C1236" s="5">
        <v>10810.03</v>
      </c>
      <c r="D1236" s="5">
        <v>23</v>
      </c>
      <c r="E1236" s="5">
        <v>1</v>
      </c>
      <c r="F1236" s="5">
        <v>0.7954</v>
      </c>
      <c r="G1236" s="5">
        <v>0.30909999999999999</v>
      </c>
      <c r="H1236" s="5">
        <v>0</v>
      </c>
      <c r="I1236" s="5">
        <v>500</v>
      </c>
      <c r="J1236" s="5">
        <v>4291.9399999999996</v>
      </c>
      <c r="K1236" s="5">
        <v>145</v>
      </c>
      <c r="L1236" s="5">
        <v>2</v>
      </c>
      <c r="M1236" s="5">
        <v>1</v>
      </c>
      <c r="N1236" s="5">
        <v>0</v>
      </c>
      <c r="O1236" s="5">
        <v>731.23</v>
      </c>
      <c r="P1236" s="6">
        <v>0</v>
      </c>
    </row>
    <row r="1237" spans="1:16" ht="23.4" x14ac:dyDescent="0.45">
      <c r="A1237" s="4" t="s">
        <v>104</v>
      </c>
      <c r="B1237" s="5" t="s">
        <v>4</v>
      </c>
      <c r="C1237" s="5">
        <v>24668.080000000002</v>
      </c>
      <c r="D1237" s="5">
        <v>60</v>
      </c>
      <c r="E1237" s="5">
        <v>0</v>
      </c>
      <c r="F1237" s="5">
        <v>0.5131</v>
      </c>
      <c r="G1237" s="5">
        <v>0.47270000000000001</v>
      </c>
      <c r="H1237" s="5">
        <v>5</v>
      </c>
      <c r="I1237" s="5">
        <v>21401.040000000001</v>
      </c>
      <c r="J1237" s="5">
        <v>10696.85</v>
      </c>
      <c r="K1237" s="5">
        <v>124</v>
      </c>
      <c r="L1237" s="5">
        <v>2</v>
      </c>
      <c r="M1237" s="5">
        <v>2</v>
      </c>
      <c r="N1237" s="5">
        <v>0</v>
      </c>
      <c r="O1237" s="5">
        <v>586.82000000000005</v>
      </c>
      <c r="P1237" s="6">
        <v>0</v>
      </c>
    </row>
    <row r="1238" spans="1:16" ht="23.4" x14ac:dyDescent="0.45">
      <c r="A1238" s="4" t="s">
        <v>1230</v>
      </c>
      <c r="B1238" s="5" t="s">
        <v>6</v>
      </c>
      <c r="C1238" s="5">
        <v>18692.28</v>
      </c>
      <c r="D1238" s="5">
        <v>53</v>
      </c>
      <c r="E1238" s="5">
        <v>1</v>
      </c>
      <c r="F1238" s="5">
        <v>0.38840000000000002</v>
      </c>
      <c r="G1238" s="5">
        <v>0</v>
      </c>
      <c r="H1238" s="5">
        <v>1</v>
      </c>
      <c r="I1238" s="5">
        <v>4108.2299999999996</v>
      </c>
      <c r="J1238" s="5">
        <v>0</v>
      </c>
      <c r="K1238" s="5">
        <v>138</v>
      </c>
      <c r="L1238" s="5">
        <v>2</v>
      </c>
      <c r="M1238" s="5">
        <v>1</v>
      </c>
      <c r="N1238" s="5">
        <v>1</v>
      </c>
      <c r="O1238" s="5">
        <v>715.24</v>
      </c>
      <c r="P1238" s="6">
        <v>0</v>
      </c>
    </row>
    <row r="1239" spans="1:16" ht="23.4" x14ac:dyDescent="0.45">
      <c r="A1239" s="4" t="s">
        <v>1231</v>
      </c>
      <c r="B1239" s="5" t="s">
        <v>4</v>
      </c>
      <c r="C1239" s="5">
        <v>36323.910000000003</v>
      </c>
      <c r="D1239" s="5">
        <v>21</v>
      </c>
      <c r="E1239" s="5">
        <v>0</v>
      </c>
      <c r="F1239" s="5">
        <v>0.5968</v>
      </c>
      <c r="G1239" s="5">
        <v>0.4955</v>
      </c>
      <c r="H1239" s="5">
        <v>2</v>
      </c>
      <c r="I1239" s="5">
        <v>10177.6</v>
      </c>
      <c r="J1239" s="5">
        <v>12504.56</v>
      </c>
      <c r="K1239" s="5">
        <v>13</v>
      </c>
      <c r="L1239" s="5">
        <v>2</v>
      </c>
      <c r="M1239" s="5">
        <v>2</v>
      </c>
      <c r="N1239" s="5">
        <v>1</v>
      </c>
      <c r="O1239" s="5">
        <v>697.2</v>
      </c>
      <c r="P1239" s="6">
        <v>0</v>
      </c>
    </row>
    <row r="1240" spans="1:16" ht="23.4" x14ac:dyDescent="0.45">
      <c r="A1240" s="4" t="s">
        <v>1232</v>
      </c>
      <c r="B1240" s="5" t="s">
        <v>15</v>
      </c>
      <c r="C1240" s="5">
        <v>84353.03</v>
      </c>
      <c r="D1240" s="5">
        <v>50</v>
      </c>
      <c r="E1240" s="5">
        <v>1</v>
      </c>
      <c r="F1240" s="5">
        <v>0.52210000000000001</v>
      </c>
      <c r="G1240" s="5">
        <v>0.34339999999999998</v>
      </c>
      <c r="H1240" s="5">
        <v>2</v>
      </c>
      <c r="I1240" s="5">
        <v>37569.449999999997</v>
      </c>
      <c r="J1240" s="5">
        <v>27450.74</v>
      </c>
      <c r="K1240" s="5">
        <v>144</v>
      </c>
      <c r="L1240" s="5">
        <v>1</v>
      </c>
      <c r="M1240" s="5">
        <v>2</v>
      </c>
      <c r="N1240" s="5">
        <v>2</v>
      </c>
      <c r="O1240" s="5">
        <v>680.81</v>
      </c>
      <c r="P1240" s="6">
        <v>0</v>
      </c>
    </row>
    <row r="1241" spans="1:16" ht="23.4" x14ac:dyDescent="0.45">
      <c r="A1241" s="4" t="s">
        <v>1233</v>
      </c>
      <c r="B1241" s="5" t="s">
        <v>18</v>
      </c>
      <c r="C1241" s="5">
        <v>118383.07</v>
      </c>
      <c r="D1241" s="5">
        <v>50</v>
      </c>
      <c r="E1241" s="5">
        <v>0</v>
      </c>
      <c r="F1241" s="5">
        <v>0.59009999999999996</v>
      </c>
      <c r="G1241" s="5">
        <v>0.30840000000000001</v>
      </c>
      <c r="H1241" s="5">
        <v>0</v>
      </c>
      <c r="I1241" s="5">
        <v>58494.7</v>
      </c>
      <c r="J1241" s="5">
        <v>34078.379999999997</v>
      </c>
      <c r="K1241" s="5">
        <v>168</v>
      </c>
      <c r="L1241" s="5">
        <v>4</v>
      </c>
      <c r="M1241" s="5">
        <v>2</v>
      </c>
      <c r="N1241" s="5">
        <v>1</v>
      </c>
      <c r="O1241" s="5">
        <v>778.43</v>
      </c>
      <c r="P1241" s="6">
        <v>0</v>
      </c>
    </row>
    <row r="1242" spans="1:16" ht="23.4" x14ac:dyDescent="0.45">
      <c r="A1242" s="4" t="s">
        <v>1234</v>
      </c>
      <c r="B1242" s="5" t="s">
        <v>1</v>
      </c>
      <c r="C1242" s="5">
        <v>110838.36</v>
      </c>
      <c r="D1242" s="5">
        <v>35</v>
      </c>
      <c r="E1242" s="5">
        <v>0</v>
      </c>
      <c r="F1242" s="5">
        <v>0.33489999999999998</v>
      </c>
      <c r="G1242" s="5">
        <v>0.50980000000000003</v>
      </c>
      <c r="H1242" s="5">
        <v>2</v>
      </c>
      <c r="I1242" s="5">
        <v>89490.42</v>
      </c>
      <c r="J1242" s="5">
        <v>43321.4</v>
      </c>
      <c r="K1242" s="5">
        <v>32</v>
      </c>
      <c r="L1242" s="5">
        <v>1</v>
      </c>
      <c r="M1242" s="5">
        <v>1</v>
      </c>
      <c r="N1242" s="5">
        <v>0</v>
      </c>
      <c r="O1242" s="5">
        <v>626.79</v>
      </c>
      <c r="P1242" s="6">
        <v>0</v>
      </c>
    </row>
    <row r="1243" spans="1:16" ht="23.4" x14ac:dyDescent="0.45">
      <c r="A1243" s="4" t="s">
        <v>1235</v>
      </c>
      <c r="B1243" s="5" t="s">
        <v>15</v>
      </c>
      <c r="C1243" s="5">
        <v>53647.03</v>
      </c>
      <c r="D1243" s="5">
        <v>42</v>
      </c>
      <c r="E1243" s="5">
        <v>0</v>
      </c>
      <c r="F1243" s="5">
        <v>0.62</v>
      </c>
      <c r="G1243" s="5">
        <v>0</v>
      </c>
      <c r="H1243" s="5">
        <v>3</v>
      </c>
      <c r="I1243" s="5">
        <v>32485.599999999999</v>
      </c>
      <c r="J1243" s="5">
        <v>4909.34</v>
      </c>
      <c r="K1243" s="5">
        <v>49</v>
      </c>
      <c r="L1243" s="5">
        <v>2</v>
      </c>
      <c r="M1243" s="5">
        <v>2</v>
      </c>
      <c r="N1243" s="5">
        <v>2</v>
      </c>
      <c r="O1243" s="5">
        <v>825.74</v>
      </c>
      <c r="P1243" s="6">
        <v>0</v>
      </c>
    </row>
    <row r="1244" spans="1:16" ht="23.4" x14ac:dyDescent="0.45">
      <c r="A1244" s="4" t="s">
        <v>1236</v>
      </c>
      <c r="B1244" s="5" t="s">
        <v>1</v>
      </c>
      <c r="C1244" s="5">
        <v>12859.97</v>
      </c>
      <c r="D1244" s="5">
        <v>44</v>
      </c>
      <c r="E1244" s="5">
        <v>0</v>
      </c>
      <c r="F1244" s="5">
        <v>0.63519999999999999</v>
      </c>
      <c r="G1244" s="5">
        <v>0.79730000000000001</v>
      </c>
      <c r="H1244" s="5">
        <v>7</v>
      </c>
      <c r="I1244" s="5">
        <v>16855.3</v>
      </c>
      <c r="J1244" s="5">
        <v>9619.65</v>
      </c>
      <c r="K1244" s="5">
        <v>106</v>
      </c>
      <c r="L1244" s="5">
        <v>2</v>
      </c>
      <c r="M1244" s="5">
        <v>1</v>
      </c>
      <c r="N1244" s="5">
        <v>1</v>
      </c>
      <c r="O1244" s="5">
        <v>513.39</v>
      </c>
      <c r="P1244" s="6">
        <v>0</v>
      </c>
    </row>
    <row r="1245" spans="1:16" ht="23.4" x14ac:dyDescent="0.45">
      <c r="A1245" s="4" t="s">
        <v>1237</v>
      </c>
      <c r="B1245" s="5" t="s">
        <v>18</v>
      </c>
      <c r="C1245" s="5">
        <v>76637.649999999994</v>
      </c>
      <c r="D1245" s="5">
        <v>56</v>
      </c>
      <c r="E1245" s="5">
        <v>1</v>
      </c>
      <c r="F1245" s="5">
        <v>0.57640000000000002</v>
      </c>
      <c r="G1245" s="5">
        <v>0.70620000000000005</v>
      </c>
      <c r="H1245" s="5">
        <v>4</v>
      </c>
      <c r="I1245" s="5">
        <v>28311.49</v>
      </c>
      <c r="J1245" s="5">
        <v>16404.439999999999</v>
      </c>
      <c r="K1245" s="5">
        <v>7</v>
      </c>
      <c r="L1245" s="5">
        <v>1</v>
      </c>
      <c r="M1245" s="5">
        <v>2</v>
      </c>
      <c r="N1245" s="5">
        <v>0</v>
      </c>
      <c r="O1245" s="5">
        <v>708.13</v>
      </c>
      <c r="P1245" s="6">
        <v>0</v>
      </c>
    </row>
    <row r="1246" spans="1:16" ht="23.4" x14ac:dyDescent="0.45">
      <c r="A1246" s="4" t="s">
        <v>1238</v>
      </c>
      <c r="B1246" s="5" t="s">
        <v>15</v>
      </c>
      <c r="C1246" s="5">
        <v>31149.26</v>
      </c>
      <c r="D1246" s="5">
        <v>28</v>
      </c>
      <c r="E1246" s="5">
        <v>1</v>
      </c>
      <c r="F1246" s="5">
        <v>0.67969999999999997</v>
      </c>
      <c r="G1246" s="5">
        <v>0.68969999999999998</v>
      </c>
      <c r="H1246" s="5">
        <v>3</v>
      </c>
      <c r="I1246" s="5">
        <v>26582.07</v>
      </c>
      <c r="J1246" s="5">
        <v>22446.25</v>
      </c>
      <c r="K1246" s="5">
        <v>91</v>
      </c>
      <c r="L1246" s="5">
        <v>2</v>
      </c>
      <c r="M1246" s="5">
        <v>1</v>
      </c>
      <c r="N1246" s="5">
        <v>0</v>
      </c>
      <c r="O1246" s="5">
        <v>698.16</v>
      </c>
      <c r="P1246" s="6">
        <v>0</v>
      </c>
    </row>
    <row r="1247" spans="1:16" ht="23.4" x14ac:dyDescent="0.45">
      <c r="A1247" s="4" t="s">
        <v>1239</v>
      </c>
      <c r="B1247" s="5" t="s">
        <v>6</v>
      </c>
      <c r="C1247" s="5">
        <v>63750.58</v>
      </c>
      <c r="D1247" s="5">
        <v>41</v>
      </c>
      <c r="E1247" s="5">
        <v>1</v>
      </c>
      <c r="F1247" s="5">
        <v>0.67420000000000002</v>
      </c>
      <c r="G1247" s="5">
        <v>0.51480000000000004</v>
      </c>
      <c r="H1247" s="5">
        <v>4</v>
      </c>
      <c r="I1247" s="5">
        <v>23908.13</v>
      </c>
      <c r="J1247" s="5">
        <v>17039.45</v>
      </c>
      <c r="K1247" s="5">
        <v>164</v>
      </c>
      <c r="L1247" s="5">
        <v>3</v>
      </c>
      <c r="M1247" s="5">
        <v>2</v>
      </c>
      <c r="N1247" s="5">
        <v>1</v>
      </c>
      <c r="O1247" s="5">
        <v>725.95</v>
      </c>
      <c r="P1247" s="6">
        <v>0</v>
      </c>
    </row>
    <row r="1248" spans="1:16" ht="23.4" x14ac:dyDescent="0.45">
      <c r="A1248" s="4" t="s">
        <v>1240</v>
      </c>
      <c r="B1248" s="5" t="s">
        <v>9</v>
      </c>
      <c r="C1248" s="5">
        <v>57202.67</v>
      </c>
      <c r="D1248" s="5">
        <v>48</v>
      </c>
      <c r="E1248" s="5">
        <v>1</v>
      </c>
      <c r="F1248" s="5">
        <v>0.6774</v>
      </c>
      <c r="G1248" s="5">
        <v>0.19339999999999999</v>
      </c>
      <c r="H1248" s="5">
        <v>2</v>
      </c>
      <c r="I1248" s="5">
        <v>31846.01</v>
      </c>
      <c r="J1248" s="5">
        <v>22488.91</v>
      </c>
      <c r="K1248" s="5">
        <v>44</v>
      </c>
      <c r="L1248" s="5">
        <v>2</v>
      </c>
      <c r="M1248" s="5">
        <v>2</v>
      </c>
      <c r="N1248" s="5">
        <v>0</v>
      </c>
      <c r="O1248" s="5">
        <v>817.08</v>
      </c>
      <c r="P1248" s="6">
        <v>0</v>
      </c>
    </row>
    <row r="1249" spans="1:16" ht="23.4" x14ac:dyDescent="0.45">
      <c r="A1249" s="4" t="s">
        <v>1241</v>
      </c>
      <c r="B1249" s="5" t="s">
        <v>4</v>
      </c>
      <c r="C1249" s="5">
        <v>65524.59</v>
      </c>
      <c r="D1249" s="5">
        <v>43</v>
      </c>
      <c r="E1249" s="5">
        <v>1</v>
      </c>
      <c r="F1249" s="5">
        <v>0.78669999999999995</v>
      </c>
      <c r="G1249" s="5">
        <v>0.62050000000000005</v>
      </c>
      <c r="H1249" s="5">
        <v>0</v>
      </c>
      <c r="I1249" s="5">
        <v>31149.99</v>
      </c>
      <c r="J1249" s="5">
        <v>19023.28</v>
      </c>
      <c r="K1249" s="5">
        <v>149</v>
      </c>
      <c r="L1249" s="5">
        <v>1</v>
      </c>
      <c r="M1249" s="5">
        <v>2</v>
      </c>
      <c r="N1249" s="5">
        <v>0</v>
      </c>
      <c r="O1249" s="5">
        <v>625.83000000000004</v>
      </c>
      <c r="P1249" s="6">
        <v>0</v>
      </c>
    </row>
    <row r="1250" spans="1:16" ht="23.4" x14ac:dyDescent="0.45">
      <c r="A1250" s="4" t="s">
        <v>1242</v>
      </c>
      <c r="B1250" s="5" t="s">
        <v>9</v>
      </c>
      <c r="C1250" s="5">
        <v>86777.61</v>
      </c>
      <c r="D1250" s="5">
        <v>53</v>
      </c>
      <c r="E1250" s="5">
        <v>0</v>
      </c>
      <c r="F1250" s="5">
        <v>0.80449999999999999</v>
      </c>
      <c r="G1250" s="5">
        <v>0</v>
      </c>
      <c r="H1250" s="5">
        <v>0</v>
      </c>
      <c r="I1250" s="5">
        <v>500</v>
      </c>
      <c r="J1250" s="5">
        <v>4248.51</v>
      </c>
      <c r="K1250" s="5">
        <v>41</v>
      </c>
      <c r="L1250" s="5">
        <v>3</v>
      </c>
      <c r="M1250" s="5">
        <v>2</v>
      </c>
      <c r="N1250" s="5">
        <v>2</v>
      </c>
      <c r="O1250" s="5">
        <v>756.6</v>
      </c>
      <c r="P1250" s="6">
        <v>0</v>
      </c>
    </row>
    <row r="1251" spans="1:16" ht="23.4" x14ac:dyDescent="0.45">
      <c r="A1251" s="4" t="s">
        <v>1243</v>
      </c>
      <c r="B1251" s="5" t="s">
        <v>15</v>
      </c>
      <c r="C1251" s="5">
        <v>43936.24</v>
      </c>
      <c r="D1251" s="5">
        <v>70</v>
      </c>
      <c r="E1251" s="5">
        <v>0</v>
      </c>
      <c r="F1251" s="5">
        <v>0.52059999999999995</v>
      </c>
      <c r="G1251" s="5">
        <v>0.27010000000000001</v>
      </c>
      <c r="H1251" s="5">
        <v>2</v>
      </c>
      <c r="I1251" s="5">
        <v>500</v>
      </c>
      <c r="J1251" s="5">
        <v>0</v>
      </c>
      <c r="K1251" s="5">
        <v>41</v>
      </c>
      <c r="L1251" s="5">
        <v>2</v>
      </c>
      <c r="M1251" s="5">
        <v>1</v>
      </c>
      <c r="N1251" s="5">
        <v>0</v>
      </c>
      <c r="O1251" s="5">
        <v>808.36</v>
      </c>
      <c r="P1251" s="6">
        <v>0</v>
      </c>
    </row>
    <row r="1252" spans="1:16" ht="23.4" x14ac:dyDescent="0.45">
      <c r="A1252" s="4" t="s">
        <v>1244</v>
      </c>
      <c r="B1252" s="5" t="s">
        <v>18</v>
      </c>
      <c r="C1252" s="5">
        <v>62720.57</v>
      </c>
      <c r="D1252" s="5">
        <v>42</v>
      </c>
      <c r="E1252" s="5">
        <v>1</v>
      </c>
      <c r="F1252" s="5">
        <v>0.48170000000000002</v>
      </c>
      <c r="G1252" s="5">
        <v>0.37190000000000001</v>
      </c>
      <c r="H1252" s="5">
        <v>0</v>
      </c>
      <c r="I1252" s="5">
        <v>3592.41</v>
      </c>
      <c r="J1252" s="5">
        <v>14264.12</v>
      </c>
      <c r="K1252" s="5">
        <v>163</v>
      </c>
      <c r="L1252" s="5">
        <v>1</v>
      </c>
      <c r="M1252" s="5">
        <v>2</v>
      </c>
      <c r="N1252" s="5">
        <v>0</v>
      </c>
      <c r="O1252" s="5">
        <v>655.35</v>
      </c>
      <c r="P1252" s="6">
        <v>0</v>
      </c>
    </row>
    <row r="1253" spans="1:16" ht="23.4" x14ac:dyDescent="0.45">
      <c r="A1253" s="4" t="s">
        <v>1245</v>
      </c>
      <c r="B1253" s="5" t="s">
        <v>15</v>
      </c>
      <c r="C1253" s="5">
        <v>75108.69</v>
      </c>
      <c r="D1253" s="5">
        <v>65</v>
      </c>
      <c r="E1253" s="5">
        <v>0</v>
      </c>
      <c r="F1253" s="5">
        <v>0.5383</v>
      </c>
      <c r="G1253" s="5">
        <v>0.49809999999999999</v>
      </c>
      <c r="H1253" s="5">
        <v>6</v>
      </c>
      <c r="I1253" s="5">
        <v>59502.63</v>
      </c>
      <c r="J1253" s="5">
        <v>38364.11</v>
      </c>
      <c r="K1253" s="5">
        <v>84</v>
      </c>
      <c r="L1253" s="5">
        <v>2</v>
      </c>
      <c r="M1253" s="5">
        <v>1</v>
      </c>
      <c r="N1253" s="5">
        <v>1</v>
      </c>
      <c r="O1253" s="5">
        <v>662.79</v>
      </c>
      <c r="P1253" s="6">
        <v>0</v>
      </c>
    </row>
    <row r="1254" spans="1:16" ht="23.4" x14ac:dyDescent="0.45">
      <c r="A1254" s="4" t="s">
        <v>1246</v>
      </c>
      <c r="B1254" s="5" t="s">
        <v>9</v>
      </c>
      <c r="C1254" s="5">
        <v>113051.26</v>
      </c>
      <c r="D1254" s="5">
        <v>28</v>
      </c>
      <c r="E1254" s="5">
        <v>1</v>
      </c>
      <c r="F1254" s="5">
        <v>0.67259999999999998</v>
      </c>
      <c r="G1254" s="5">
        <v>0.55349999999999999</v>
      </c>
      <c r="H1254" s="5">
        <v>0</v>
      </c>
      <c r="I1254" s="5">
        <v>64015.98</v>
      </c>
      <c r="J1254" s="5">
        <v>43186.559999999998</v>
      </c>
      <c r="K1254" s="5">
        <v>93</v>
      </c>
      <c r="L1254" s="5">
        <v>2</v>
      </c>
      <c r="M1254" s="5">
        <v>2</v>
      </c>
      <c r="N1254" s="5">
        <v>1</v>
      </c>
      <c r="O1254" s="5">
        <v>598.72</v>
      </c>
      <c r="P1254" s="6">
        <v>0</v>
      </c>
    </row>
    <row r="1255" spans="1:16" ht="23.4" x14ac:dyDescent="0.45">
      <c r="A1255" s="4" t="s">
        <v>1247</v>
      </c>
      <c r="B1255" s="5" t="s">
        <v>18</v>
      </c>
      <c r="C1255" s="5">
        <v>123162.77</v>
      </c>
      <c r="D1255" s="5">
        <v>39</v>
      </c>
      <c r="E1255" s="5">
        <v>1</v>
      </c>
      <c r="F1255" s="5">
        <v>0.57179999999999997</v>
      </c>
      <c r="G1255" s="5">
        <v>0.8609</v>
      </c>
      <c r="H1255" s="5">
        <v>3</v>
      </c>
      <c r="I1255" s="5">
        <v>103739.14</v>
      </c>
      <c r="J1255" s="5">
        <v>42884.79</v>
      </c>
      <c r="K1255" s="5">
        <v>131</v>
      </c>
      <c r="L1255" s="5">
        <v>1</v>
      </c>
      <c r="M1255" s="5">
        <v>3</v>
      </c>
      <c r="N1255" s="5">
        <v>1</v>
      </c>
      <c r="O1255" s="5">
        <v>548.62</v>
      </c>
      <c r="P1255" s="6">
        <v>0</v>
      </c>
    </row>
    <row r="1256" spans="1:16" ht="23.4" x14ac:dyDescent="0.45">
      <c r="A1256" s="4" t="s">
        <v>1248</v>
      </c>
      <c r="B1256" s="5" t="s">
        <v>15</v>
      </c>
      <c r="C1256" s="5">
        <v>4703.28</v>
      </c>
      <c r="D1256" s="5">
        <v>49</v>
      </c>
      <c r="E1256" s="5">
        <v>1</v>
      </c>
      <c r="F1256" s="5">
        <v>0.89900000000000002</v>
      </c>
      <c r="G1256" s="5">
        <v>0.36020000000000002</v>
      </c>
      <c r="H1256" s="5">
        <v>1</v>
      </c>
      <c r="I1256" s="5">
        <v>500</v>
      </c>
      <c r="J1256" s="5">
        <v>7253.47</v>
      </c>
      <c r="K1256" s="5">
        <v>39</v>
      </c>
      <c r="L1256" s="5">
        <v>2</v>
      </c>
      <c r="M1256" s="5">
        <v>2</v>
      </c>
      <c r="N1256" s="5">
        <v>1</v>
      </c>
      <c r="O1256" s="5">
        <v>757.52</v>
      </c>
      <c r="P1256" s="6">
        <v>0</v>
      </c>
    </row>
    <row r="1257" spans="1:16" ht="23.4" x14ac:dyDescent="0.45">
      <c r="A1257" s="4" t="s">
        <v>1249</v>
      </c>
      <c r="B1257" s="5" t="s">
        <v>4</v>
      </c>
      <c r="C1257" s="5">
        <v>127527.96</v>
      </c>
      <c r="D1257" s="5">
        <v>25</v>
      </c>
      <c r="E1257" s="5">
        <v>0</v>
      </c>
      <c r="F1257" s="5">
        <v>0.34289999999999998</v>
      </c>
      <c r="G1257" s="5">
        <v>0.32690000000000002</v>
      </c>
      <c r="H1257" s="5">
        <v>3</v>
      </c>
      <c r="I1257" s="5">
        <v>58310.36</v>
      </c>
      <c r="J1257" s="5">
        <v>36617.120000000003</v>
      </c>
      <c r="K1257" s="5">
        <v>54</v>
      </c>
      <c r="L1257" s="5">
        <v>3</v>
      </c>
      <c r="M1257" s="5">
        <v>1</v>
      </c>
      <c r="N1257" s="5">
        <v>1</v>
      </c>
      <c r="O1257" s="5">
        <v>575.33000000000004</v>
      </c>
      <c r="P1257" s="6">
        <v>0</v>
      </c>
    </row>
    <row r="1258" spans="1:16" ht="23.4" x14ac:dyDescent="0.45">
      <c r="A1258" s="4" t="s">
        <v>1250</v>
      </c>
      <c r="B1258" s="5" t="s">
        <v>6</v>
      </c>
      <c r="C1258" s="5">
        <v>51316.41</v>
      </c>
      <c r="D1258" s="5">
        <v>60</v>
      </c>
      <c r="E1258" s="5">
        <v>1</v>
      </c>
      <c r="F1258" s="5">
        <v>0.47789999999999999</v>
      </c>
      <c r="G1258" s="5">
        <v>0.60319999999999996</v>
      </c>
      <c r="H1258" s="5">
        <v>5</v>
      </c>
      <c r="I1258" s="5">
        <v>37456.74</v>
      </c>
      <c r="J1258" s="5">
        <v>22320.26</v>
      </c>
      <c r="K1258" s="5">
        <v>68</v>
      </c>
      <c r="L1258" s="5">
        <v>2</v>
      </c>
      <c r="M1258" s="5">
        <v>1</v>
      </c>
      <c r="N1258" s="5">
        <v>0</v>
      </c>
      <c r="O1258" s="5">
        <v>606.9</v>
      </c>
      <c r="P1258" s="6">
        <v>0</v>
      </c>
    </row>
    <row r="1259" spans="1:16" ht="23.4" x14ac:dyDescent="0.45">
      <c r="A1259" s="4" t="s">
        <v>1251</v>
      </c>
      <c r="B1259" s="5" t="s">
        <v>18</v>
      </c>
      <c r="C1259" s="5">
        <v>76530.399999999994</v>
      </c>
      <c r="D1259" s="5">
        <v>70</v>
      </c>
      <c r="E1259" s="5">
        <v>1</v>
      </c>
      <c r="F1259" s="5">
        <v>0.46200000000000002</v>
      </c>
      <c r="G1259" s="5">
        <v>0.45350000000000001</v>
      </c>
      <c r="H1259" s="5">
        <v>5</v>
      </c>
      <c r="I1259" s="5">
        <v>43322.73</v>
      </c>
      <c r="J1259" s="5">
        <v>29280.35</v>
      </c>
      <c r="K1259" s="5">
        <v>128</v>
      </c>
      <c r="L1259" s="5">
        <v>2</v>
      </c>
      <c r="M1259" s="5">
        <v>1</v>
      </c>
      <c r="N1259" s="5">
        <v>3</v>
      </c>
      <c r="O1259" s="5">
        <v>543.88</v>
      </c>
      <c r="P1259" s="6">
        <v>0</v>
      </c>
    </row>
    <row r="1260" spans="1:16" ht="23.4" x14ac:dyDescent="0.45">
      <c r="A1260" s="4" t="s">
        <v>1252</v>
      </c>
      <c r="B1260" s="5" t="s">
        <v>9</v>
      </c>
      <c r="C1260" s="5">
        <v>87617.4</v>
      </c>
      <c r="D1260" s="5">
        <v>30</v>
      </c>
      <c r="E1260" s="5">
        <v>0</v>
      </c>
      <c r="F1260" s="5">
        <v>0.8075</v>
      </c>
      <c r="G1260" s="5">
        <v>0.7883</v>
      </c>
      <c r="H1260" s="5">
        <v>1</v>
      </c>
      <c r="I1260" s="5">
        <v>59562.01</v>
      </c>
      <c r="J1260" s="5">
        <v>52946.18</v>
      </c>
      <c r="K1260" s="5">
        <v>136</v>
      </c>
      <c r="L1260" s="5">
        <v>3</v>
      </c>
      <c r="M1260" s="5">
        <v>2</v>
      </c>
      <c r="N1260" s="5">
        <v>1</v>
      </c>
      <c r="O1260" s="5">
        <v>618.89</v>
      </c>
      <c r="P1260" s="6">
        <v>0</v>
      </c>
    </row>
    <row r="1261" spans="1:16" ht="23.4" x14ac:dyDescent="0.45">
      <c r="A1261" s="4" t="s">
        <v>1253</v>
      </c>
      <c r="B1261" s="5" t="s">
        <v>4</v>
      </c>
      <c r="C1261" s="5">
        <v>134372.10999999999</v>
      </c>
      <c r="D1261" s="5">
        <v>27</v>
      </c>
      <c r="E1261" s="5">
        <v>1</v>
      </c>
      <c r="F1261" s="5">
        <v>0.50290000000000001</v>
      </c>
      <c r="G1261" s="5">
        <v>0.59740000000000004</v>
      </c>
      <c r="H1261" s="5">
        <v>4</v>
      </c>
      <c r="I1261" s="5">
        <v>94945.57</v>
      </c>
      <c r="J1261" s="5">
        <v>63601.78</v>
      </c>
      <c r="K1261" s="5">
        <v>22</v>
      </c>
      <c r="L1261" s="5">
        <v>2</v>
      </c>
      <c r="M1261" s="5">
        <v>1</v>
      </c>
      <c r="N1261" s="5">
        <v>0</v>
      </c>
      <c r="O1261" s="5">
        <v>709.05</v>
      </c>
      <c r="P1261" s="6">
        <v>0</v>
      </c>
    </row>
    <row r="1262" spans="1:16" ht="23.4" x14ac:dyDescent="0.45">
      <c r="A1262" s="4" t="s">
        <v>1254</v>
      </c>
      <c r="B1262" s="5" t="s">
        <v>18</v>
      </c>
      <c r="C1262" s="5">
        <v>101848.09</v>
      </c>
      <c r="D1262" s="5">
        <v>58</v>
      </c>
      <c r="E1262" s="5">
        <v>1</v>
      </c>
      <c r="F1262" s="5">
        <v>0.95240000000000002</v>
      </c>
      <c r="G1262" s="5">
        <v>1</v>
      </c>
      <c r="H1262" s="5">
        <v>4</v>
      </c>
      <c r="I1262" s="5">
        <v>113757.17</v>
      </c>
      <c r="J1262" s="5">
        <v>85659.76</v>
      </c>
      <c r="K1262" s="5">
        <v>50</v>
      </c>
      <c r="L1262" s="5">
        <v>1</v>
      </c>
      <c r="M1262" s="5">
        <v>3</v>
      </c>
      <c r="N1262" s="5">
        <v>2</v>
      </c>
      <c r="O1262" s="5">
        <v>698.12</v>
      </c>
      <c r="P1262" s="6">
        <v>0</v>
      </c>
    </row>
    <row r="1263" spans="1:16" ht="23.4" x14ac:dyDescent="0.45">
      <c r="A1263" s="4" t="s">
        <v>1255</v>
      </c>
      <c r="B1263" s="5" t="s">
        <v>1</v>
      </c>
      <c r="C1263" s="5">
        <v>135196.04</v>
      </c>
      <c r="D1263" s="5">
        <v>27</v>
      </c>
      <c r="E1263" s="5">
        <v>1</v>
      </c>
      <c r="F1263" s="5">
        <v>0.6613</v>
      </c>
      <c r="G1263" s="5">
        <v>0</v>
      </c>
      <c r="H1263" s="5">
        <v>0</v>
      </c>
      <c r="I1263" s="5">
        <v>500</v>
      </c>
      <c r="J1263" s="5">
        <v>0</v>
      </c>
      <c r="K1263" s="5">
        <v>146</v>
      </c>
      <c r="L1263" s="5">
        <v>1</v>
      </c>
      <c r="M1263" s="5">
        <v>2</v>
      </c>
      <c r="N1263" s="5">
        <v>0</v>
      </c>
      <c r="O1263" s="5">
        <v>695.35</v>
      </c>
      <c r="P1263" s="6">
        <v>0</v>
      </c>
    </row>
    <row r="1264" spans="1:16" ht="23.4" x14ac:dyDescent="0.45">
      <c r="A1264" s="4" t="s">
        <v>1256</v>
      </c>
      <c r="B1264" s="5" t="s">
        <v>15</v>
      </c>
      <c r="C1264" s="5">
        <v>167417.54999999999</v>
      </c>
      <c r="D1264" s="5">
        <v>55</v>
      </c>
      <c r="E1264" s="5">
        <v>1</v>
      </c>
      <c r="F1264" s="5">
        <v>0.62119999999999997</v>
      </c>
      <c r="G1264" s="5">
        <v>0.4924</v>
      </c>
      <c r="H1264" s="5">
        <v>5</v>
      </c>
      <c r="I1264" s="5">
        <v>76861.5</v>
      </c>
      <c r="J1264" s="5">
        <v>57616.37</v>
      </c>
      <c r="K1264" s="5">
        <v>131</v>
      </c>
      <c r="L1264" s="5">
        <v>2</v>
      </c>
      <c r="M1264" s="5">
        <v>1</v>
      </c>
      <c r="N1264" s="5">
        <v>1</v>
      </c>
      <c r="O1264" s="5">
        <v>649.57000000000005</v>
      </c>
      <c r="P1264" s="6">
        <v>0</v>
      </c>
    </row>
    <row r="1265" spans="1:16" ht="23.4" x14ac:dyDescent="0.45">
      <c r="A1265" s="4" t="s">
        <v>1257</v>
      </c>
      <c r="B1265" s="5" t="s">
        <v>15</v>
      </c>
      <c r="C1265" s="5">
        <v>91157.52</v>
      </c>
      <c r="D1265" s="5">
        <v>36</v>
      </c>
      <c r="E1265" s="5">
        <v>1</v>
      </c>
      <c r="F1265" s="5">
        <v>0.94310000000000005</v>
      </c>
      <c r="G1265" s="5">
        <v>0.28389999999999999</v>
      </c>
      <c r="H1265" s="5">
        <v>2</v>
      </c>
      <c r="I1265" s="5">
        <v>37330.300000000003</v>
      </c>
      <c r="J1265" s="5">
        <v>34161.83</v>
      </c>
      <c r="K1265" s="5">
        <v>162</v>
      </c>
      <c r="L1265" s="5">
        <v>2</v>
      </c>
      <c r="M1265" s="5">
        <v>1</v>
      </c>
      <c r="N1265" s="5">
        <v>2</v>
      </c>
      <c r="O1265" s="5">
        <v>644.29999999999995</v>
      </c>
      <c r="P1265" s="6">
        <v>0</v>
      </c>
    </row>
    <row r="1266" spans="1:16" ht="23.4" x14ac:dyDescent="0.45">
      <c r="A1266" s="4" t="s">
        <v>1258</v>
      </c>
      <c r="B1266" s="5" t="s">
        <v>9</v>
      </c>
      <c r="C1266" s="5">
        <v>124324.35</v>
      </c>
      <c r="D1266" s="5">
        <v>21</v>
      </c>
      <c r="E1266" s="5">
        <v>1</v>
      </c>
      <c r="F1266" s="5">
        <v>0.48420000000000002</v>
      </c>
      <c r="G1266" s="5">
        <v>0.45989999999999998</v>
      </c>
      <c r="H1266" s="5">
        <v>4</v>
      </c>
      <c r="I1266" s="5">
        <v>61756.08</v>
      </c>
      <c r="J1266" s="5">
        <v>37812.480000000003</v>
      </c>
      <c r="K1266" s="5">
        <v>69</v>
      </c>
      <c r="L1266" s="5">
        <v>2</v>
      </c>
      <c r="M1266" s="5">
        <v>2</v>
      </c>
      <c r="N1266" s="5">
        <v>1</v>
      </c>
      <c r="O1266" s="5">
        <v>752.22</v>
      </c>
      <c r="P1266" s="6">
        <v>0</v>
      </c>
    </row>
    <row r="1267" spans="1:16" ht="23.4" x14ac:dyDescent="0.45">
      <c r="A1267" s="4" t="s">
        <v>1259</v>
      </c>
      <c r="B1267" s="5" t="s">
        <v>4</v>
      </c>
      <c r="C1267" s="5">
        <v>51845.84</v>
      </c>
      <c r="D1267" s="5">
        <v>66</v>
      </c>
      <c r="E1267" s="5">
        <v>0</v>
      </c>
      <c r="F1267" s="5">
        <v>0.84089999999999998</v>
      </c>
      <c r="G1267" s="5">
        <v>0.2641</v>
      </c>
      <c r="H1267" s="5">
        <v>0</v>
      </c>
      <c r="I1267" s="5">
        <v>4498.38</v>
      </c>
      <c r="J1267" s="5">
        <v>8450.48</v>
      </c>
      <c r="K1267" s="5">
        <v>44</v>
      </c>
      <c r="L1267" s="5">
        <v>1</v>
      </c>
      <c r="M1267" s="5">
        <v>2</v>
      </c>
      <c r="N1267" s="5">
        <v>3</v>
      </c>
      <c r="O1267" s="5">
        <v>706.98</v>
      </c>
      <c r="P1267" s="6">
        <v>0</v>
      </c>
    </row>
    <row r="1268" spans="1:16" ht="23.4" x14ac:dyDescent="0.45">
      <c r="A1268" s="4" t="s">
        <v>1260</v>
      </c>
      <c r="B1268" s="5" t="s">
        <v>4</v>
      </c>
      <c r="C1268" s="5">
        <v>42135.22</v>
      </c>
      <c r="D1268" s="5">
        <v>67</v>
      </c>
      <c r="E1268" s="5">
        <v>0</v>
      </c>
      <c r="F1268" s="5">
        <v>0.94340000000000002</v>
      </c>
      <c r="G1268" s="5">
        <v>0.60529999999999995</v>
      </c>
      <c r="H1268" s="5">
        <v>2</v>
      </c>
      <c r="I1268" s="5">
        <v>39923.589999999997</v>
      </c>
      <c r="J1268" s="5">
        <v>45729.3</v>
      </c>
      <c r="K1268" s="5">
        <v>73</v>
      </c>
      <c r="L1268" s="5">
        <v>3</v>
      </c>
      <c r="M1268" s="5">
        <v>1</v>
      </c>
      <c r="N1268" s="5">
        <v>2</v>
      </c>
      <c r="O1268" s="5">
        <v>688.5</v>
      </c>
      <c r="P1268" s="6">
        <v>0</v>
      </c>
    </row>
    <row r="1269" spans="1:16" ht="23.4" x14ac:dyDescent="0.45">
      <c r="A1269" s="4" t="s">
        <v>1261</v>
      </c>
      <c r="B1269" s="5" t="s">
        <v>9</v>
      </c>
      <c r="C1269" s="5">
        <v>43640.17</v>
      </c>
      <c r="D1269" s="5">
        <v>57</v>
      </c>
      <c r="E1269" s="5">
        <v>1</v>
      </c>
      <c r="F1269" s="5">
        <v>0.41909999999999997</v>
      </c>
      <c r="G1269" s="5">
        <v>0.54320000000000002</v>
      </c>
      <c r="H1269" s="5">
        <v>2</v>
      </c>
      <c r="I1269" s="5">
        <v>1209.6400000000001</v>
      </c>
      <c r="J1269" s="5">
        <v>9262.91</v>
      </c>
      <c r="K1269" s="5">
        <v>97</v>
      </c>
      <c r="L1269" s="5">
        <v>1</v>
      </c>
      <c r="M1269" s="5">
        <v>2</v>
      </c>
      <c r="N1269" s="5">
        <v>0</v>
      </c>
      <c r="O1269" s="5">
        <v>595.29</v>
      </c>
      <c r="P1269" s="6">
        <v>0</v>
      </c>
    </row>
    <row r="1270" spans="1:16" ht="23.4" x14ac:dyDescent="0.45">
      <c r="A1270" s="4" t="s">
        <v>1262</v>
      </c>
      <c r="B1270" s="5" t="s">
        <v>9</v>
      </c>
      <c r="C1270" s="5">
        <v>129327.39</v>
      </c>
      <c r="D1270" s="5">
        <v>70</v>
      </c>
      <c r="E1270" s="5">
        <v>0</v>
      </c>
      <c r="F1270" s="5">
        <v>0.41620000000000001</v>
      </c>
      <c r="G1270" s="5">
        <v>0.44529999999999997</v>
      </c>
      <c r="H1270" s="5">
        <v>3</v>
      </c>
      <c r="I1270" s="5">
        <v>68492.31</v>
      </c>
      <c r="J1270" s="5">
        <v>37989.550000000003</v>
      </c>
      <c r="K1270" s="5">
        <v>105</v>
      </c>
      <c r="L1270" s="5">
        <v>2</v>
      </c>
      <c r="M1270" s="5">
        <v>2</v>
      </c>
      <c r="N1270" s="5">
        <v>2</v>
      </c>
      <c r="O1270" s="5">
        <v>638.48</v>
      </c>
      <c r="P1270" s="6">
        <v>1</v>
      </c>
    </row>
    <row r="1271" spans="1:16" ht="23.4" x14ac:dyDescent="0.45">
      <c r="A1271" s="4" t="s">
        <v>1263</v>
      </c>
      <c r="B1271" s="5" t="s">
        <v>18</v>
      </c>
      <c r="C1271" s="5">
        <v>80301.399999999994</v>
      </c>
      <c r="D1271" s="5">
        <v>31</v>
      </c>
      <c r="E1271" s="5">
        <v>1</v>
      </c>
      <c r="F1271" s="5">
        <v>1</v>
      </c>
      <c r="G1271" s="5">
        <v>0.25580000000000003</v>
      </c>
      <c r="H1271" s="5">
        <v>0</v>
      </c>
      <c r="I1271" s="5">
        <v>5768.88</v>
      </c>
      <c r="J1271" s="5">
        <v>16180.87</v>
      </c>
      <c r="K1271" s="5">
        <v>170</v>
      </c>
      <c r="L1271" s="5">
        <v>2</v>
      </c>
      <c r="M1271" s="5">
        <v>2</v>
      </c>
      <c r="N1271" s="5">
        <v>1</v>
      </c>
      <c r="O1271" s="5">
        <v>807.35</v>
      </c>
      <c r="P1271" s="6">
        <v>0</v>
      </c>
    </row>
    <row r="1272" spans="1:16" ht="23.4" x14ac:dyDescent="0.45">
      <c r="A1272" s="4" t="s">
        <v>1264</v>
      </c>
      <c r="B1272" s="5" t="s">
        <v>4</v>
      </c>
      <c r="C1272" s="5">
        <v>84254.88</v>
      </c>
      <c r="D1272" s="5">
        <v>40</v>
      </c>
      <c r="E1272" s="5">
        <v>0</v>
      </c>
      <c r="F1272" s="5">
        <v>0.73599999999999999</v>
      </c>
      <c r="G1272" s="5">
        <v>0.46360000000000001</v>
      </c>
      <c r="H1272" s="5">
        <v>4</v>
      </c>
      <c r="I1272" s="5">
        <v>51175.77</v>
      </c>
      <c r="J1272" s="5">
        <v>28468.77</v>
      </c>
      <c r="K1272" s="5">
        <v>20</v>
      </c>
      <c r="L1272" s="5">
        <v>2</v>
      </c>
      <c r="M1272" s="5">
        <v>1</v>
      </c>
      <c r="N1272" s="5">
        <v>0</v>
      </c>
      <c r="O1272" s="5">
        <v>642.9</v>
      </c>
      <c r="P1272" s="6">
        <v>0</v>
      </c>
    </row>
    <row r="1273" spans="1:16" ht="23.4" x14ac:dyDescent="0.45">
      <c r="A1273" s="4" t="s">
        <v>1265</v>
      </c>
      <c r="B1273" s="5" t="s">
        <v>18</v>
      </c>
      <c r="C1273" s="5">
        <v>115655.49</v>
      </c>
      <c r="D1273" s="5">
        <v>58</v>
      </c>
      <c r="E1273" s="5">
        <v>0</v>
      </c>
      <c r="F1273" s="5">
        <v>0.42599999999999999</v>
      </c>
      <c r="G1273" s="5">
        <v>0.40029999999999999</v>
      </c>
      <c r="H1273" s="5">
        <v>4</v>
      </c>
      <c r="I1273" s="5">
        <v>56298.67</v>
      </c>
      <c r="J1273" s="5">
        <v>23426.75</v>
      </c>
      <c r="K1273" s="5">
        <v>35</v>
      </c>
      <c r="L1273" s="5">
        <v>1</v>
      </c>
      <c r="M1273" s="5">
        <v>1</v>
      </c>
      <c r="N1273" s="5">
        <v>1</v>
      </c>
      <c r="O1273" s="5">
        <v>596.78</v>
      </c>
      <c r="P1273" s="6">
        <v>0</v>
      </c>
    </row>
    <row r="1274" spans="1:16" ht="23.4" x14ac:dyDescent="0.45">
      <c r="A1274" s="4" t="s">
        <v>1266</v>
      </c>
      <c r="B1274" s="5" t="s">
        <v>4</v>
      </c>
      <c r="C1274" s="5">
        <v>41109.86</v>
      </c>
      <c r="D1274" s="5">
        <v>63</v>
      </c>
      <c r="E1274" s="5">
        <v>1</v>
      </c>
      <c r="F1274" s="5">
        <v>0.75529999999999997</v>
      </c>
      <c r="G1274" s="5">
        <v>0.47899999999999998</v>
      </c>
      <c r="H1274" s="5">
        <v>4</v>
      </c>
      <c r="I1274" s="5">
        <v>22698.77</v>
      </c>
      <c r="J1274" s="5">
        <v>4076.29</v>
      </c>
      <c r="K1274" s="5">
        <v>35</v>
      </c>
      <c r="L1274" s="5">
        <v>1</v>
      </c>
      <c r="M1274" s="5">
        <v>1</v>
      </c>
      <c r="N1274" s="5">
        <v>0</v>
      </c>
      <c r="O1274" s="5">
        <v>715.16</v>
      </c>
      <c r="P1274" s="6">
        <v>0</v>
      </c>
    </row>
    <row r="1275" spans="1:16" ht="23.4" x14ac:dyDescent="0.45">
      <c r="A1275" s="4" t="s">
        <v>1267</v>
      </c>
      <c r="B1275" s="5" t="s">
        <v>18</v>
      </c>
      <c r="C1275" s="5">
        <v>110718.48</v>
      </c>
      <c r="D1275" s="5">
        <v>49</v>
      </c>
      <c r="E1275" s="5">
        <v>0</v>
      </c>
      <c r="F1275" s="5">
        <v>0.82040000000000002</v>
      </c>
      <c r="G1275" s="5">
        <v>0.57279999999999998</v>
      </c>
      <c r="H1275" s="5">
        <v>3</v>
      </c>
      <c r="I1275" s="5">
        <v>45029.31</v>
      </c>
      <c r="J1275" s="5">
        <v>27196.82</v>
      </c>
      <c r="K1275" s="5">
        <v>165</v>
      </c>
      <c r="L1275" s="5">
        <v>2</v>
      </c>
      <c r="M1275" s="5">
        <v>1</v>
      </c>
      <c r="N1275" s="5">
        <v>0</v>
      </c>
      <c r="O1275" s="5">
        <v>719.95</v>
      </c>
      <c r="P1275" s="6">
        <v>0</v>
      </c>
    </row>
    <row r="1276" spans="1:16" ht="23.4" x14ac:dyDescent="0.45">
      <c r="A1276" s="4" t="s">
        <v>1268</v>
      </c>
      <c r="B1276" s="5" t="s">
        <v>6</v>
      </c>
      <c r="C1276" s="5">
        <v>67535.72</v>
      </c>
      <c r="D1276" s="5">
        <v>21</v>
      </c>
      <c r="E1276" s="5">
        <v>0</v>
      </c>
      <c r="F1276" s="5">
        <v>0.79339999999999999</v>
      </c>
      <c r="G1276" s="5">
        <v>0.25280000000000002</v>
      </c>
      <c r="H1276" s="5">
        <v>0</v>
      </c>
      <c r="I1276" s="5">
        <v>36670.300000000003</v>
      </c>
      <c r="J1276" s="5">
        <v>16098.23</v>
      </c>
      <c r="K1276" s="5">
        <v>139</v>
      </c>
      <c r="L1276" s="5">
        <v>1</v>
      </c>
      <c r="M1276" s="5">
        <v>2</v>
      </c>
      <c r="N1276" s="5">
        <v>0</v>
      </c>
      <c r="O1276" s="5">
        <v>764.62</v>
      </c>
      <c r="P1276" s="6">
        <v>0</v>
      </c>
    </row>
    <row r="1277" spans="1:16" ht="23.4" x14ac:dyDescent="0.45">
      <c r="A1277" s="4" t="s">
        <v>1269</v>
      </c>
      <c r="B1277" s="5" t="s">
        <v>6</v>
      </c>
      <c r="C1277" s="5">
        <v>111726.73</v>
      </c>
      <c r="D1277" s="5">
        <v>64</v>
      </c>
      <c r="E1277" s="5">
        <v>1</v>
      </c>
      <c r="F1277" s="5">
        <v>0.50739999999999996</v>
      </c>
      <c r="G1277" s="5">
        <v>0.58720000000000006</v>
      </c>
      <c r="H1277" s="5">
        <v>7</v>
      </c>
      <c r="I1277" s="5">
        <v>51602.32</v>
      </c>
      <c r="J1277" s="5">
        <v>24804.560000000001</v>
      </c>
      <c r="K1277" s="5">
        <v>40</v>
      </c>
      <c r="L1277" s="5">
        <v>1</v>
      </c>
      <c r="M1277" s="5">
        <v>1</v>
      </c>
      <c r="N1277" s="5">
        <v>0</v>
      </c>
      <c r="O1277" s="5">
        <v>639.26</v>
      </c>
      <c r="P1277" s="6">
        <v>0</v>
      </c>
    </row>
    <row r="1278" spans="1:16" ht="23.4" x14ac:dyDescent="0.45">
      <c r="A1278" s="4" t="s">
        <v>1270</v>
      </c>
      <c r="B1278" s="5" t="s">
        <v>6</v>
      </c>
      <c r="C1278" s="5">
        <v>31322.31</v>
      </c>
      <c r="D1278" s="5">
        <v>44</v>
      </c>
      <c r="E1278" s="5">
        <v>1</v>
      </c>
      <c r="F1278" s="5">
        <v>0.53129999999999999</v>
      </c>
      <c r="G1278" s="5">
        <v>0.63190000000000002</v>
      </c>
      <c r="H1278" s="5">
        <v>4</v>
      </c>
      <c r="I1278" s="5">
        <v>500</v>
      </c>
      <c r="J1278" s="5">
        <v>9963.7099999999991</v>
      </c>
      <c r="K1278" s="5">
        <v>173</v>
      </c>
      <c r="L1278" s="5">
        <v>1</v>
      </c>
      <c r="M1278" s="5">
        <v>3</v>
      </c>
      <c r="N1278" s="5">
        <v>1</v>
      </c>
      <c r="O1278" s="5">
        <v>613.07000000000005</v>
      </c>
      <c r="P1278" s="6">
        <v>0</v>
      </c>
    </row>
    <row r="1279" spans="1:16" ht="23.4" x14ac:dyDescent="0.45">
      <c r="A1279" s="4" t="s">
        <v>1271</v>
      </c>
      <c r="B1279" s="5" t="s">
        <v>1</v>
      </c>
      <c r="C1279" s="5">
        <v>72633.289999999994</v>
      </c>
      <c r="D1279" s="5">
        <v>58</v>
      </c>
      <c r="E1279" s="5">
        <v>0</v>
      </c>
      <c r="F1279" s="5">
        <v>0.66290000000000004</v>
      </c>
      <c r="G1279" s="5">
        <v>0.40100000000000002</v>
      </c>
      <c r="H1279" s="5">
        <v>7</v>
      </c>
      <c r="I1279" s="5">
        <v>51780.81</v>
      </c>
      <c r="J1279" s="5">
        <v>39160.68</v>
      </c>
      <c r="K1279" s="5">
        <v>114</v>
      </c>
      <c r="L1279" s="5">
        <v>3</v>
      </c>
      <c r="M1279" s="5">
        <v>2</v>
      </c>
      <c r="N1279" s="5">
        <v>1</v>
      </c>
      <c r="O1279" s="5">
        <v>730.14</v>
      </c>
      <c r="P1279" s="6">
        <v>0</v>
      </c>
    </row>
    <row r="1280" spans="1:16" ht="23.4" x14ac:dyDescent="0.45">
      <c r="A1280" s="4" t="s">
        <v>1272</v>
      </c>
      <c r="B1280" s="5" t="s">
        <v>1</v>
      </c>
      <c r="C1280" s="5">
        <v>91876.63</v>
      </c>
      <c r="D1280" s="5">
        <v>22</v>
      </c>
      <c r="E1280" s="5">
        <v>0</v>
      </c>
      <c r="F1280" s="5">
        <v>0.59460000000000002</v>
      </c>
      <c r="G1280" s="5">
        <v>0.39419999999999999</v>
      </c>
      <c r="H1280" s="5">
        <v>3</v>
      </c>
      <c r="I1280" s="5">
        <v>35814.1</v>
      </c>
      <c r="J1280" s="5">
        <v>18187.04</v>
      </c>
      <c r="K1280" s="5">
        <v>42</v>
      </c>
      <c r="L1280" s="5">
        <v>4</v>
      </c>
      <c r="M1280" s="5">
        <v>3</v>
      </c>
      <c r="N1280" s="5">
        <v>0</v>
      </c>
      <c r="O1280" s="5">
        <v>666.77</v>
      </c>
      <c r="P1280" s="6">
        <v>0</v>
      </c>
    </row>
    <row r="1281" spans="1:16" ht="23.4" x14ac:dyDescent="0.45">
      <c r="A1281" s="4" t="s">
        <v>1273</v>
      </c>
      <c r="B1281" s="5" t="s">
        <v>1</v>
      </c>
      <c r="C1281" s="5">
        <v>110414.62</v>
      </c>
      <c r="D1281" s="5">
        <v>52</v>
      </c>
      <c r="E1281" s="5">
        <v>1</v>
      </c>
      <c r="F1281" s="5">
        <v>0.67889999999999995</v>
      </c>
      <c r="G1281" s="5">
        <v>0.54849999999999999</v>
      </c>
      <c r="H1281" s="5">
        <v>2</v>
      </c>
      <c r="I1281" s="5">
        <v>49493.78</v>
      </c>
      <c r="J1281" s="5">
        <v>32637.759999999998</v>
      </c>
      <c r="K1281" s="5">
        <v>115</v>
      </c>
      <c r="L1281" s="5">
        <v>3</v>
      </c>
      <c r="M1281" s="5">
        <v>1</v>
      </c>
      <c r="N1281" s="5">
        <v>0</v>
      </c>
      <c r="O1281" s="5">
        <v>662.65</v>
      </c>
      <c r="P1281" s="6">
        <v>0</v>
      </c>
    </row>
    <row r="1282" spans="1:16" ht="23.4" x14ac:dyDescent="0.45">
      <c r="A1282" s="4" t="s">
        <v>1274</v>
      </c>
      <c r="B1282" s="5" t="s">
        <v>15</v>
      </c>
      <c r="C1282" s="5">
        <v>77217.58</v>
      </c>
      <c r="D1282" s="5">
        <v>27</v>
      </c>
      <c r="E1282" s="5">
        <v>0</v>
      </c>
      <c r="F1282" s="5">
        <v>0.98419999999999996</v>
      </c>
      <c r="G1282" s="5">
        <v>0.29330000000000001</v>
      </c>
      <c r="H1282" s="5">
        <v>3</v>
      </c>
      <c r="I1282" s="5">
        <v>41130.980000000003</v>
      </c>
      <c r="J1282" s="5">
        <v>21331.25</v>
      </c>
      <c r="K1282" s="5">
        <v>167</v>
      </c>
      <c r="L1282" s="5">
        <v>2</v>
      </c>
      <c r="M1282" s="5">
        <v>1</v>
      </c>
      <c r="N1282" s="5">
        <v>1</v>
      </c>
      <c r="O1282" s="5">
        <v>734.59</v>
      </c>
      <c r="P1282" s="6">
        <v>0</v>
      </c>
    </row>
    <row r="1283" spans="1:16" ht="23.4" x14ac:dyDescent="0.45">
      <c r="A1283" s="4" t="s">
        <v>1275</v>
      </c>
      <c r="B1283" s="5" t="s">
        <v>18</v>
      </c>
      <c r="C1283" s="5">
        <v>123266.89</v>
      </c>
      <c r="D1283" s="5">
        <v>60</v>
      </c>
      <c r="E1283" s="5">
        <v>0</v>
      </c>
      <c r="F1283" s="5">
        <v>0.41670000000000001</v>
      </c>
      <c r="G1283" s="5">
        <v>0.81100000000000005</v>
      </c>
      <c r="H1283" s="5">
        <v>7</v>
      </c>
      <c r="I1283" s="5">
        <v>94764.02</v>
      </c>
      <c r="J1283" s="5">
        <v>54712.58</v>
      </c>
      <c r="K1283" s="5">
        <v>114</v>
      </c>
      <c r="L1283" s="5">
        <v>3</v>
      </c>
      <c r="M1283" s="5">
        <v>1</v>
      </c>
      <c r="N1283" s="5">
        <v>0</v>
      </c>
      <c r="O1283" s="5">
        <v>569.79999999999995</v>
      </c>
      <c r="P1283" s="6">
        <v>0</v>
      </c>
    </row>
    <row r="1284" spans="1:16" ht="23.4" x14ac:dyDescent="0.45">
      <c r="A1284" s="4" t="s">
        <v>1276</v>
      </c>
      <c r="B1284" s="5" t="s">
        <v>15</v>
      </c>
      <c r="C1284" s="5">
        <v>19705.88</v>
      </c>
      <c r="D1284" s="5">
        <v>44</v>
      </c>
      <c r="E1284" s="5">
        <v>0</v>
      </c>
      <c r="F1284" s="5">
        <v>6.6600000000000006E-2</v>
      </c>
      <c r="G1284" s="5">
        <v>0.29480000000000001</v>
      </c>
      <c r="H1284" s="5">
        <v>6</v>
      </c>
      <c r="I1284" s="5">
        <v>16565.599999999999</v>
      </c>
      <c r="J1284" s="5">
        <v>5033.83</v>
      </c>
      <c r="K1284" s="5">
        <v>33</v>
      </c>
      <c r="L1284" s="5">
        <v>1</v>
      </c>
      <c r="M1284" s="5">
        <v>2</v>
      </c>
      <c r="N1284" s="5">
        <v>1</v>
      </c>
      <c r="O1284" s="5">
        <v>652.42999999999995</v>
      </c>
      <c r="P1284" s="6">
        <v>1</v>
      </c>
    </row>
    <row r="1285" spans="1:16" ht="23.4" x14ac:dyDescent="0.45">
      <c r="A1285" s="4" t="s">
        <v>1277</v>
      </c>
      <c r="B1285" s="5" t="s">
        <v>18</v>
      </c>
      <c r="C1285" s="5">
        <v>90232.05</v>
      </c>
      <c r="D1285" s="5">
        <v>28</v>
      </c>
      <c r="E1285" s="5">
        <v>1</v>
      </c>
      <c r="F1285" s="5">
        <v>0.77029999999999998</v>
      </c>
      <c r="G1285" s="5">
        <v>0.11269999999999999</v>
      </c>
      <c r="H1285" s="5">
        <v>2</v>
      </c>
      <c r="I1285" s="5">
        <v>11013.3</v>
      </c>
      <c r="J1285" s="5">
        <v>19848.189999999999</v>
      </c>
      <c r="K1285" s="5">
        <v>147</v>
      </c>
      <c r="L1285" s="5">
        <v>1</v>
      </c>
      <c r="M1285" s="5">
        <v>1</v>
      </c>
      <c r="N1285" s="5">
        <v>0</v>
      </c>
      <c r="O1285" s="5">
        <v>677.23</v>
      </c>
      <c r="P1285" s="6">
        <v>0</v>
      </c>
    </row>
    <row r="1286" spans="1:16" ht="23.4" x14ac:dyDescent="0.45">
      <c r="A1286" s="4" t="s">
        <v>1278</v>
      </c>
      <c r="B1286" s="5" t="s">
        <v>9</v>
      </c>
      <c r="C1286" s="5">
        <v>42860.58</v>
      </c>
      <c r="D1286" s="5">
        <v>23</v>
      </c>
      <c r="E1286" s="5">
        <v>0</v>
      </c>
      <c r="F1286" s="5">
        <v>0.71450000000000002</v>
      </c>
      <c r="G1286" s="5">
        <v>0.1101</v>
      </c>
      <c r="H1286" s="5">
        <v>0</v>
      </c>
      <c r="I1286" s="5">
        <v>13247.58</v>
      </c>
      <c r="J1286" s="5">
        <v>0</v>
      </c>
      <c r="K1286" s="5">
        <v>120</v>
      </c>
      <c r="L1286" s="5">
        <v>1</v>
      </c>
      <c r="M1286" s="5">
        <v>2</v>
      </c>
      <c r="N1286" s="5">
        <v>2</v>
      </c>
      <c r="O1286" s="5">
        <v>769.69</v>
      </c>
      <c r="P1286" s="6">
        <v>0</v>
      </c>
    </row>
    <row r="1287" spans="1:16" ht="23.4" x14ac:dyDescent="0.45">
      <c r="A1287" s="4" t="s">
        <v>1279</v>
      </c>
      <c r="B1287" s="5" t="s">
        <v>6</v>
      </c>
      <c r="C1287" s="5">
        <v>115913.61</v>
      </c>
      <c r="D1287" s="5">
        <v>26</v>
      </c>
      <c r="E1287" s="5">
        <v>1</v>
      </c>
      <c r="F1287" s="5">
        <v>0.7198</v>
      </c>
      <c r="G1287" s="5">
        <v>0.46939999999999998</v>
      </c>
      <c r="H1287" s="5">
        <v>1</v>
      </c>
      <c r="I1287" s="5">
        <v>57692.03</v>
      </c>
      <c r="J1287" s="5">
        <v>34079.040000000001</v>
      </c>
      <c r="K1287" s="5">
        <v>26</v>
      </c>
      <c r="L1287" s="5">
        <v>4</v>
      </c>
      <c r="M1287" s="5">
        <v>2</v>
      </c>
      <c r="N1287" s="5">
        <v>0</v>
      </c>
      <c r="O1287" s="5">
        <v>709.08</v>
      </c>
      <c r="P1287" s="6">
        <v>0</v>
      </c>
    </row>
    <row r="1288" spans="1:16" ht="23.4" x14ac:dyDescent="0.45">
      <c r="A1288" s="4" t="s">
        <v>1280</v>
      </c>
      <c r="B1288" s="5" t="s">
        <v>6</v>
      </c>
      <c r="C1288" s="5">
        <v>140192.76999999999</v>
      </c>
      <c r="D1288" s="5">
        <v>33</v>
      </c>
      <c r="E1288" s="5">
        <v>1</v>
      </c>
      <c r="F1288" s="5">
        <v>0.63349999999999995</v>
      </c>
      <c r="G1288" s="5">
        <v>0.44890000000000002</v>
      </c>
      <c r="H1288" s="5">
        <v>2</v>
      </c>
      <c r="I1288" s="5">
        <v>61971.19</v>
      </c>
      <c r="J1288" s="5">
        <v>38773.480000000003</v>
      </c>
      <c r="K1288" s="5">
        <v>150</v>
      </c>
      <c r="L1288" s="5">
        <v>2</v>
      </c>
      <c r="M1288" s="5">
        <v>1</v>
      </c>
      <c r="N1288" s="5">
        <v>2</v>
      </c>
      <c r="O1288" s="5">
        <v>660.97</v>
      </c>
      <c r="P1288" s="6">
        <v>0</v>
      </c>
    </row>
    <row r="1289" spans="1:16" ht="23.4" x14ac:dyDescent="0.45">
      <c r="A1289" s="4" t="s">
        <v>1281</v>
      </c>
      <c r="B1289" s="5" t="s">
        <v>4</v>
      </c>
      <c r="C1289" s="5">
        <v>46179.75</v>
      </c>
      <c r="D1289" s="5">
        <v>59</v>
      </c>
      <c r="E1289" s="5">
        <v>1</v>
      </c>
      <c r="F1289" s="5">
        <v>0.69879999999999998</v>
      </c>
      <c r="G1289" s="5">
        <v>0.46139999999999998</v>
      </c>
      <c r="H1289" s="5">
        <v>3</v>
      </c>
      <c r="I1289" s="5">
        <v>22384.03</v>
      </c>
      <c r="J1289" s="5">
        <v>18970.939999999999</v>
      </c>
      <c r="K1289" s="5">
        <v>57</v>
      </c>
      <c r="L1289" s="5">
        <v>2</v>
      </c>
      <c r="M1289" s="5">
        <v>1</v>
      </c>
      <c r="N1289" s="5">
        <v>2</v>
      </c>
      <c r="O1289" s="5">
        <v>781.86</v>
      </c>
      <c r="P1289" s="6">
        <v>0</v>
      </c>
    </row>
    <row r="1290" spans="1:16" ht="23.4" x14ac:dyDescent="0.45">
      <c r="A1290" s="4" t="s">
        <v>1282</v>
      </c>
      <c r="B1290" s="5" t="s">
        <v>18</v>
      </c>
      <c r="C1290" s="5">
        <v>165786.70000000001</v>
      </c>
      <c r="D1290" s="5">
        <v>46</v>
      </c>
      <c r="E1290" s="5">
        <v>1</v>
      </c>
      <c r="F1290" s="5">
        <v>0.5202</v>
      </c>
      <c r="G1290" s="5">
        <v>0.26910000000000001</v>
      </c>
      <c r="H1290" s="5">
        <v>2</v>
      </c>
      <c r="I1290" s="5">
        <v>41311.360000000001</v>
      </c>
      <c r="J1290" s="5">
        <v>27440.99</v>
      </c>
      <c r="K1290" s="5">
        <v>67</v>
      </c>
      <c r="L1290" s="5">
        <v>3</v>
      </c>
      <c r="M1290" s="5">
        <v>2</v>
      </c>
      <c r="N1290" s="5">
        <v>1</v>
      </c>
      <c r="O1290" s="5">
        <v>850</v>
      </c>
      <c r="P1290" s="6">
        <v>0</v>
      </c>
    </row>
    <row r="1291" spans="1:16" ht="23.4" x14ac:dyDescent="0.45">
      <c r="A1291" s="4" t="s">
        <v>1283</v>
      </c>
      <c r="B1291" s="5" t="s">
        <v>6</v>
      </c>
      <c r="C1291" s="5">
        <v>115174.99</v>
      </c>
      <c r="D1291" s="5">
        <v>48</v>
      </c>
      <c r="E1291" s="5">
        <v>1</v>
      </c>
      <c r="F1291" s="5">
        <v>1</v>
      </c>
      <c r="G1291" s="5">
        <v>0.78120000000000001</v>
      </c>
      <c r="H1291" s="5">
        <v>4</v>
      </c>
      <c r="I1291" s="5">
        <v>87561.43</v>
      </c>
      <c r="J1291" s="5">
        <v>73674.61</v>
      </c>
      <c r="K1291" s="5">
        <v>120</v>
      </c>
      <c r="L1291" s="5">
        <v>2</v>
      </c>
      <c r="M1291" s="5">
        <v>2</v>
      </c>
      <c r="N1291" s="5">
        <v>0</v>
      </c>
      <c r="O1291" s="5">
        <v>719.85</v>
      </c>
      <c r="P1291" s="6">
        <v>0</v>
      </c>
    </row>
    <row r="1292" spans="1:16" ht="23.4" x14ac:dyDescent="0.45">
      <c r="A1292" s="4" t="s">
        <v>1284</v>
      </c>
      <c r="B1292" s="5" t="s">
        <v>9</v>
      </c>
      <c r="C1292" s="5">
        <v>155160.53</v>
      </c>
      <c r="D1292" s="5">
        <v>58</v>
      </c>
      <c r="E1292" s="5">
        <v>1</v>
      </c>
      <c r="F1292" s="5">
        <v>0.7359</v>
      </c>
      <c r="G1292" s="5">
        <v>0.43769999999999998</v>
      </c>
      <c r="H1292" s="5">
        <v>6</v>
      </c>
      <c r="I1292" s="5">
        <v>41581.08</v>
      </c>
      <c r="J1292" s="5">
        <v>24110.65</v>
      </c>
      <c r="K1292" s="5">
        <v>150</v>
      </c>
      <c r="L1292" s="5">
        <v>3</v>
      </c>
      <c r="M1292" s="5">
        <v>2</v>
      </c>
      <c r="N1292" s="5">
        <v>1</v>
      </c>
      <c r="O1292" s="5">
        <v>702.72</v>
      </c>
      <c r="P1292" s="6">
        <v>0</v>
      </c>
    </row>
    <row r="1293" spans="1:16" ht="23.4" x14ac:dyDescent="0.45">
      <c r="A1293" s="4" t="s">
        <v>1285</v>
      </c>
      <c r="B1293" s="5" t="s">
        <v>6</v>
      </c>
      <c r="C1293" s="5">
        <v>93477.51</v>
      </c>
      <c r="D1293" s="5">
        <v>66</v>
      </c>
      <c r="E1293" s="5">
        <v>0</v>
      </c>
      <c r="F1293" s="5">
        <v>1</v>
      </c>
      <c r="G1293" s="5">
        <v>0.57589999999999997</v>
      </c>
      <c r="H1293" s="5">
        <v>6</v>
      </c>
      <c r="I1293" s="5">
        <v>59244.83</v>
      </c>
      <c r="J1293" s="5">
        <v>32866.82</v>
      </c>
      <c r="K1293" s="5">
        <v>82</v>
      </c>
      <c r="L1293" s="5">
        <v>2</v>
      </c>
      <c r="M1293" s="5">
        <v>2</v>
      </c>
      <c r="N1293" s="5">
        <v>1</v>
      </c>
      <c r="O1293" s="5">
        <v>722.67</v>
      </c>
      <c r="P1293" s="6">
        <v>0</v>
      </c>
    </row>
    <row r="1294" spans="1:16" ht="23.4" x14ac:dyDescent="0.45">
      <c r="A1294" s="4" t="s">
        <v>1286</v>
      </c>
      <c r="B1294" s="5" t="s">
        <v>18</v>
      </c>
      <c r="C1294" s="5">
        <v>101481.36</v>
      </c>
      <c r="D1294" s="5">
        <v>52</v>
      </c>
      <c r="E1294" s="5">
        <v>0</v>
      </c>
      <c r="F1294" s="5">
        <v>0.45989999999999998</v>
      </c>
      <c r="G1294" s="5">
        <v>0.1678</v>
      </c>
      <c r="H1294" s="5">
        <v>0</v>
      </c>
      <c r="I1294" s="5">
        <v>23376.68</v>
      </c>
      <c r="J1294" s="5">
        <v>23787.19</v>
      </c>
      <c r="K1294" s="5">
        <v>36</v>
      </c>
      <c r="L1294" s="5">
        <v>3</v>
      </c>
      <c r="M1294" s="5">
        <v>1</v>
      </c>
      <c r="N1294" s="5">
        <v>1</v>
      </c>
      <c r="O1294" s="5">
        <v>675.43</v>
      </c>
      <c r="P1294" s="6">
        <v>0</v>
      </c>
    </row>
    <row r="1295" spans="1:16" ht="23.4" x14ac:dyDescent="0.45">
      <c r="A1295" s="4" t="s">
        <v>1287</v>
      </c>
      <c r="B1295" s="5" t="s">
        <v>4</v>
      </c>
      <c r="C1295" s="5">
        <v>134642.98000000001</v>
      </c>
      <c r="D1295" s="5">
        <v>27</v>
      </c>
      <c r="E1295" s="5">
        <v>0</v>
      </c>
      <c r="F1295" s="5">
        <v>0.83720000000000006</v>
      </c>
      <c r="G1295" s="5">
        <v>0.63129999999999997</v>
      </c>
      <c r="H1295" s="5">
        <v>6</v>
      </c>
      <c r="I1295" s="5">
        <v>79925.98</v>
      </c>
      <c r="J1295" s="5">
        <v>53285.59</v>
      </c>
      <c r="K1295" s="5">
        <v>50</v>
      </c>
      <c r="L1295" s="5">
        <v>3</v>
      </c>
      <c r="M1295" s="5">
        <v>1</v>
      </c>
      <c r="N1295" s="5">
        <v>0</v>
      </c>
      <c r="O1295" s="5">
        <v>680.4</v>
      </c>
      <c r="P1295" s="6">
        <v>0</v>
      </c>
    </row>
    <row r="1296" spans="1:16" ht="23.4" x14ac:dyDescent="0.45">
      <c r="A1296" s="4" t="s">
        <v>1288</v>
      </c>
      <c r="B1296" s="5" t="s">
        <v>15</v>
      </c>
      <c r="C1296" s="5">
        <v>30109.48</v>
      </c>
      <c r="D1296" s="5">
        <v>39</v>
      </c>
      <c r="E1296" s="5">
        <v>1</v>
      </c>
      <c r="F1296" s="5">
        <v>0.67420000000000002</v>
      </c>
      <c r="G1296" s="5">
        <v>0</v>
      </c>
      <c r="H1296" s="5">
        <v>0</v>
      </c>
      <c r="I1296" s="5">
        <v>16297.99</v>
      </c>
      <c r="J1296" s="5">
        <v>10677.82</v>
      </c>
      <c r="K1296" s="5">
        <v>9</v>
      </c>
      <c r="L1296" s="5">
        <v>1</v>
      </c>
      <c r="M1296" s="5">
        <v>2</v>
      </c>
      <c r="N1296" s="5">
        <v>0</v>
      </c>
      <c r="O1296" s="5">
        <v>817.52</v>
      </c>
      <c r="P1296" s="6">
        <v>0</v>
      </c>
    </row>
    <row r="1297" spans="1:16" ht="23.4" x14ac:dyDescent="0.45">
      <c r="A1297" s="4" t="s">
        <v>1289</v>
      </c>
      <c r="B1297" s="5" t="s">
        <v>15</v>
      </c>
      <c r="C1297" s="5">
        <v>31577.7</v>
      </c>
      <c r="D1297" s="5">
        <v>29</v>
      </c>
      <c r="E1297" s="5">
        <v>0</v>
      </c>
      <c r="F1297" s="5">
        <v>0.9214</v>
      </c>
      <c r="G1297" s="5">
        <v>0.44619999999999999</v>
      </c>
      <c r="H1297" s="5">
        <v>0</v>
      </c>
      <c r="I1297" s="5">
        <v>11376.2</v>
      </c>
      <c r="J1297" s="5">
        <v>3993.94</v>
      </c>
      <c r="K1297" s="5">
        <v>28</v>
      </c>
      <c r="L1297" s="5">
        <v>2</v>
      </c>
      <c r="M1297" s="5">
        <v>2</v>
      </c>
      <c r="N1297" s="5">
        <v>1</v>
      </c>
      <c r="O1297" s="5">
        <v>715.6</v>
      </c>
      <c r="P1297" s="6">
        <v>0</v>
      </c>
    </row>
    <row r="1298" spans="1:16" ht="23.4" x14ac:dyDescent="0.45">
      <c r="A1298" s="4" t="s">
        <v>1290</v>
      </c>
      <c r="B1298" s="5" t="s">
        <v>18</v>
      </c>
      <c r="C1298" s="5">
        <v>44974.86</v>
      </c>
      <c r="D1298" s="5">
        <v>37</v>
      </c>
      <c r="E1298" s="5">
        <v>1</v>
      </c>
      <c r="F1298" s="5">
        <v>0.48470000000000002</v>
      </c>
      <c r="G1298" s="5">
        <v>0.87780000000000002</v>
      </c>
      <c r="H1298" s="5">
        <v>7</v>
      </c>
      <c r="I1298" s="5">
        <v>72638.66</v>
      </c>
      <c r="J1298" s="5">
        <v>35684.06</v>
      </c>
      <c r="K1298" s="5">
        <v>27</v>
      </c>
      <c r="L1298" s="5">
        <v>1</v>
      </c>
      <c r="M1298" s="5">
        <v>2</v>
      </c>
      <c r="N1298" s="5">
        <v>1</v>
      </c>
      <c r="O1298" s="5">
        <v>565.23</v>
      </c>
      <c r="P1298" s="6">
        <v>0</v>
      </c>
    </row>
    <row r="1299" spans="1:16" ht="23.4" x14ac:dyDescent="0.45">
      <c r="A1299" s="4" t="s">
        <v>1291</v>
      </c>
      <c r="B1299" s="5" t="s">
        <v>1</v>
      </c>
      <c r="C1299" s="5">
        <v>63685.66</v>
      </c>
      <c r="D1299" s="5">
        <v>70</v>
      </c>
      <c r="E1299" s="5">
        <v>0</v>
      </c>
      <c r="F1299" s="5">
        <v>0.32950000000000002</v>
      </c>
      <c r="G1299" s="5">
        <v>0.12720000000000001</v>
      </c>
      <c r="H1299" s="5">
        <v>2</v>
      </c>
      <c r="I1299" s="5">
        <v>4340.88</v>
      </c>
      <c r="J1299" s="5">
        <v>707.79</v>
      </c>
      <c r="K1299" s="5">
        <v>143</v>
      </c>
      <c r="L1299" s="5">
        <v>2</v>
      </c>
      <c r="M1299" s="5">
        <v>2</v>
      </c>
      <c r="N1299" s="5">
        <v>0</v>
      </c>
      <c r="O1299" s="5">
        <v>683.73</v>
      </c>
      <c r="P1299" s="6">
        <v>0</v>
      </c>
    </row>
    <row r="1300" spans="1:16" ht="23.4" x14ac:dyDescent="0.45">
      <c r="A1300" s="4" t="s">
        <v>1292</v>
      </c>
      <c r="B1300" s="5" t="s">
        <v>1</v>
      </c>
      <c r="C1300" s="5">
        <v>171853.34</v>
      </c>
      <c r="D1300" s="5">
        <v>25</v>
      </c>
      <c r="E1300" s="5">
        <v>1</v>
      </c>
      <c r="F1300" s="5">
        <v>0.77070000000000005</v>
      </c>
      <c r="G1300" s="5">
        <v>0.96379999999999999</v>
      </c>
      <c r="H1300" s="5">
        <v>4</v>
      </c>
      <c r="I1300" s="5">
        <v>175680.55</v>
      </c>
      <c r="J1300" s="5">
        <v>120225.12</v>
      </c>
      <c r="K1300" s="5">
        <v>41</v>
      </c>
      <c r="L1300" s="5">
        <v>1</v>
      </c>
      <c r="M1300" s="5">
        <v>1</v>
      </c>
      <c r="N1300" s="5">
        <v>2</v>
      </c>
      <c r="O1300" s="5">
        <v>719.58</v>
      </c>
      <c r="P1300" s="6">
        <v>0</v>
      </c>
    </row>
    <row r="1301" spans="1:16" ht="23.4" x14ac:dyDescent="0.45">
      <c r="A1301" s="4" t="s">
        <v>1293</v>
      </c>
      <c r="B1301" s="5" t="s">
        <v>9</v>
      </c>
      <c r="C1301" s="5">
        <v>53444.86</v>
      </c>
      <c r="D1301" s="5">
        <v>35</v>
      </c>
      <c r="E1301" s="5">
        <v>0</v>
      </c>
      <c r="F1301" s="5">
        <v>0.50570000000000004</v>
      </c>
      <c r="G1301" s="5">
        <v>0.28360000000000002</v>
      </c>
      <c r="H1301" s="5">
        <v>0</v>
      </c>
      <c r="I1301" s="5">
        <v>14467.22</v>
      </c>
      <c r="J1301" s="5">
        <v>13624.32</v>
      </c>
      <c r="K1301" s="5">
        <v>12</v>
      </c>
      <c r="L1301" s="5">
        <v>1</v>
      </c>
      <c r="M1301" s="5">
        <v>1</v>
      </c>
      <c r="N1301" s="5">
        <v>1</v>
      </c>
      <c r="O1301" s="5">
        <v>690.66</v>
      </c>
      <c r="P1301" s="6">
        <v>0</v>
      </c>
    </row>
    <row r="1302" spans="1:16" ht="23.4" x14ac:dyDescent="0.45">
      <c r="A1302" s="4" t="s">
        <v>1294</v>
      </c>
      <c r="B1302" s="5" t="s">
        <v>6</v>
      </c>
      <c r="C1302" s="5">
        <v>161966.29999999999</v>
      </c>
      <c r="D1302" s="5">
        <v>33</v>
      </c>
      <c r="E1302" s="5">
        <v>1</v>
      </c>
      <c r="F1302" s="5">
        <v>0.91359999999999997</v>
      </c>
      <c r="G1302" s="5">
        <v>0.32300000000000001</v>
      </c>
      <c r="H1302" s="5">
        <v>3</v>
      </c>
      <c r="I1302" s="5">
        <v>46897.64</v>
      </c>
      <c r="J1302" s="5">
        <v>33914.29</v>
      </c>
      <c r="K1302" s="5">
        <v>171</v>
      </c>
      <c r="L1302" s="5">
        <v>2</v>
      </c>
      <c r="M1302" s="5">
        <v>3</v>
      </c>
      <c r="N1302" s="5">
        <v>1</v>
      </c>
      <c r="O1302" s="5">
        <v>623.17999999999995</v>
      </c>
      <c r="P1302" s="6">
        <v>0</v>
      </c>
    </row>
    <row r="1303" spans="1:16" ht="23.4" x14ac:dyDescent="0.45">
      <c r="A1303" s="4" t="s">
        <v>1295</v>
      </c>
      <c r="B1303" s="5" t="s">
        <v>9</v>
      </c>
      <c r="C1303" s="5">
        <v>90164.52</v>
      </c>
      <c r="D1303" s="5">
        <v>31</v>
      </c>
      <c r="E1303" s="5">
        <v>0</v>
      </c>
      <c r="F1303" s="5">
        <v>0.53010000000000002</v>
      </c>
      <c r="G1303" s="5">
        <v>0.24590000000000001</v>
      </c>
      <c r="H1303" s="5">
        <v>3</v>
      </c>
      <c r="I1303" s="5">
        <v>17305.12</v>
      </c>
      <c r="J1303" s="5">
        <v>9402.58</v>
      </c>
      <c r="K1303" s="5">
        <v>177</v>
      </c>
      <c r="L1303" s="5">
        <v>3</v>
      </c>
      <c r="M1303" s="5">
        <v>1</v>
      </c>
      <c r="N1303" s="5">
        <v>1</v>
      </c>
      <c r="O1303" s="5">
        <v>634.74</v>
      </c>
      <c r="P1303" s="6">
        <v>0</v>
      </c>
    </row>
    <row r="1304" spans="1:16" ht="23.4" x14ac:dyDescent="0.45">
      <c r="A1304" s="4" t="s">
        <v>1296</v>
      </c>
      <c r="B1304" s="5" t="s">
        <v>4</v>
      </c>
      <c r="C1304" s="5">
        <v>62449.08</v>
      </c>
      <c r="D1304" s="5">
        <v>28</v>
      </c>
      <c r="E1304" s="5">
        <v>0</v>
      </c>
      <c r="F1304" s="5">
        <v>0.62350000000000005</v>
      </c>
      <c r="G1304" s="5">
        <v>0.376</v>
      </c>
      <c r="H1304" s="5">
        <v>6</v>
      </c>
      <c r="I1304" s="5">
        <v>27406.46</v>
      </c>
      <c r="J1304" s="5">
        <v>9666.76</v>
      </c>
      <c r="K1304" s="5">
        <v>96</v>
      </c>
      <c r="L1304" s="5">
        <v>2</v>
      </c>
      <c r="M1304" s="5">
        <v>1</v>
      </c>
      <c r="N1304" s="5">
        <v>1</v>
      </c>
      <c r="O1304" s="5">
        <v>695.57</v>
      </c>
      <c r="P1304" s="6">
        <v>0</v>
      </c>
    </row>
    <row r="1305" spans="1:16" ht="23.4" x14ac:dyDescent="0.45">
      <c r="A1305" s="4" t="s">
        <v>1297</v>
      </c>
      <c r="B1305" s="5" t="s">
        <v>1</v>
      </c>
      <c r="C1305" s="5">
        <v>142028.01</v>
      </c>
      <c r="D1305" s="5">
        <v>65</v>
      </c>
      <c r="E1305" s="5">
        <v>0</v>
      </c>
      <c r="F1305" s="5">
        <v>0.56540000000000001</v>
      </c>
      <c r="G1305" s="5">
        <v>0.34160000000000001</v>
      </c>
      <c r="H1305" s="5">
        <v>2</v>
      </c>
      <c r="I1305" s="5">
        <v>34690.31</v>
      </c>
      <c r="J1305" s="5">
        <v>23333.31</v>
      </c>
      <c r="K1305" s="5">
        <v>174</v>
      </c>
      <c r="L1305" s="5">
        <v>2</v>
      </c>
      <c r="M1305" s="5">
        <v>1</v>
      </c>
      <c r="N1305" s="5">
        <v>0</v>
      </c>
      <c r="O1305" s="5">
        <v>625</v>
      </c>
      <c r="P1305" s="6">
        <v>0</v>
      </c>
    </row>
    <row r="1306" spans="1:16" ht="23.4" x14ac:dyDescent="0.45">
      <c r="A1306" s="4" t="s">
        <v>1298</v>
      </c>
      <c r="B1306" s="5" t="s">
        <v>6</v>
      </c>
      <c r="C1306" s="5">
        <v>52744.959999999999</v>
      </c>
      <c r="D1306" s="5">
        <v>61</v>
      </c>
      <c r="E1306" s="5">
        <v>1</v>
      </c>
      <c r="F1306" s="5">
        <v>0.57199999999999995</v>
      </c>
      <c r="G1306" s="5">
        <v>0.32929999999999998</v>
      </c>
      <c r="H1306" s="5">
        <v>5</v>
      </c>
      <c r="I1306" s="5">
        <v>8921.25</v>
      </c>
      <c r="J1306" s="5">
        <v>9646.16</v>
      </c>
      <c r="K1306" s="5">
        <v>73</v>
      </c>
      <c r="L1306" s="5">
        <v>3</v>
      </c>
      <c r="M1306" s="5">
        <v>1</v>
      </c>
      <c r="N1306" s="5">
        <v>0</v>
      </c>
      <c r="O1306" s="5">
        <v>657.97</v>
      </c>
      <c r="P1306" s="6">
        <v>0</v>
      </c>
    </row>
    <row r="1307" spans="1:16" ht="23.4" x14ac:dyDescent="0.45">
      <c r="A1307" s="4" t="s">
        <v>1299</v>
      </c>
      <c r="B1307" s="5" t="s">
        <v>4</v>
      </c>
      <c r="C1307" s="5">
        <v>88104.08</v>
      </c>
      <c r="D1307" s="5">
        <v>30</v>
      </c>
      <c r="E1307" s="5">
        <v>1</v>
      </c>
      <c r="F1307" s="5">
        <v>0.61380000000000001</v>
      </c>
      <c r="G1307" s="5">
        <v>0.35670000000000002</v>
      </c>
      <c r="H1307" s="5">
        <v>6</v>
      </c>
      <c r="I1307" s="5">
        <v>64408.47</v>
      </c>
      <c r="J1307" s="5">
        <v>33255.01</v>
      </c>
      <c r="K1307" s="5">
        <v>167</v>
      </c>
      <c r="L1307" s="5">
        <v>2</v>
      </c>
      <c r="M1307" s="5">
        <v>2</v>
      </c>
      <c r="N1307" s="5">
        <v>0</v>
      </c>
      <c r="O1307" s="5">
        <v>775</v>
      </c>
      <c r="P1307" s="6">
        <v>0</v>
      </c>
    </row>
    <row r="1308" spans="1:16" ht="23.4" x14ac:dyDescent="0.45">
      <c r="A1308" s="4" t="s">
        <v>1300</v>
      </c>
      <c r="B1308" s="5" t="s">
        <v>9</v>
      </c>
      <c r="C1308" s="5">
        <v>18979.55</v>
      </c>
      <c r="D1308" s="5">
        <v>35</v>
      </c>
      <c r="E1308" s="5">
        <v>1</v>
      </c>
      <c r="F1308" s="5">
        <v>0.54200000000000004</v>
      </c>
      <c r="G1308" s="5">
        <v>0.37480000000000002</v>
      </c>
      <c r="H1308" s="5">
        <v>4</v>
      </c>
      <c r="I1308" s="5">
        <v>3565.8</v>
      </c>
      <c r="J1308" s="5">
        <v>0</v>
      </c>
      <c r="K1308" s="5">
        <v>16</v>
      </c>
      <c r="L1308" s="5">
        <v>3</v>
      </c>
      <c r="M1308" s="5">
        <v>1</v>
      </c>
      <c r="N1308" s="5">
        <v>0</v>
      </c>
      <c r="O1308" s="5">
        <v>503.27</v>
      </c>
      <c r="P1308" s="6">
        <v>0</v>
      </c>
    </row>
    <row r="1309" spans="1:16" ht="23.4" x14ac:dyDescent="0.45">
      <c r="A1309" s="4" t="s">
        <v>1301</v>
      </c>
      <c r="B1309" s="5" t="s">
        <v>6</v>
      </c>
      <c r="C1309" s="5">
        <v>107638.41</v>
      </c>
      <c r="D1309" s="5">
        <v>49</v>
      </c>
      <c r="E1309" s="5">
        <v>0</v>
      </c>
      <c r="F1309" s="5">
        <v>0.63980000000000004</v>
      </c>
      <c r="G1309" s="5">
        <v>0.34389999999999998</v>
      </c>
      <c r="H1309" s="5">
        <v>6</v>
      </c>
      <c r="I1309" s="5">
        <v>40933.4</v>
      </c>
      <c r="J1309" s="5">
        <v>29502.75</v>
      </c>
      <c r="K1309" s="5">
        <v>34</v>
      </c>
      <c r="L1309" s="5">
        <v>2</v>
      </c>
      <c r="M1309" s="5">
        <v>2</v>
      </c>
      <c r="N1309" s="5">
        <v>1</v>
      </c>
      <c r="O1309" s="5">
        <v>711.75</v>
      </c>
      <c r="P1309" s="6">
        <v>0</v>
      </c>
    </row>
    <row r="1310" spans="1:16" ht="23.4" x14ac:dyDescent="0.45">
      <c r="A1310" s="4" t="s">
        <v>1302</v>
      </c>
      <c r="B1310" s="5" t="s">
        <v>1</v>
      </c>
      <c r="C1310" s="5">
        <v>92100.44</v>
      </c>
      <c r="D1310" s="5">
        <v>31</v>
      </c>
      <c r="E1310" s="5">
        <v>0</v>
      </c>
      <c r="F1310" s="5">
        <v>0.42949999999999999</v>
      </c>
      <c r="G1310" s="5">
        <v>0.90800000000000003</v>
      </c>
      <c r="H1310" s="5">
        <v>5</v>
      </c>
      <c r="I1310" s="5">
        <v>82050.73</v>
      </c>
      <c r="J1310" s="5">
        <v>43187.03</v>
      </c>
      <c r="K1310" s="5">
        <v>60</v>
      </c>
      <c r="L1310" s="5">
        <v>2</v>
      </c>
      <c r="M1310" s="5">
        <v>1</v>
      </c>
      <c r="N1310" s="5">
        <v>0</v>
      </c>
      <c r="O1310" s="5">
        <v>646.51</v>
      </c>
      <c r="P1310" s="6">
        <v>0</v>
      </c>
    </row>
    <row r="1311" spans="1:16" ht="23.4" x14ac:dyDescent="0.45">
      <c r="A1311" s="4" t="s">
        <v>687</v>
      </c>
      <c r="B1311" s="5" t="s">
        <v>15</v>
      </c>
      <c r="C1311" s="5">
        <v>121359.18</v>
      </c>
      <c r="D1311" s="5">
        <v>41</v>
      </c>
      <c r="E1311" s="5">
        <v>0</v>
      </c>
      <c r="F1311" s="5">
        <v>0.61650000000000005</v>
      </c>
      <c r="G1311" s="5">
        <v>0.3614</v>
      </c>
      <c r="H1311" s="5">
        <v>0</v>
      </c>
      <c r="I1311" s="5">
        <v>68398.960000000006</v>
      </c>
      <c r="J1311" s="5">
        <v>48993.24</v>
      </c>
      <c r="K1311" s="5">
        <v>77</v>
      </c>
      <c r="L1311" s="5">
        <v>3</v>
      </c>
      <c r="M1311" s="5">
        <v>1</v>
      </c>
      <c r="N1311" s="5">
        <v>0</v>
      </c>
      <c r="O1311" s="5">
        <v>700.02</v>
      </c>
      <c r="P1311" s="6">
        <v>0</v>
      </c>
    </row>
    <row r="1312" spans="1:16" ht="23.4" x14ac:dyDescent="0.45">
      <c r="A1312" s="4" t="s">
        <v>1303</v>
      </c>
      <c r="B1312" s="5" t="s">
        <v>9</v>
      </c>
      <c r="C1312" s="5">
        <v>31167.43</v>
      </c>
      <c r="D1312" s="5">
        <v>33</v>
      </c>
      <c r="E1312" s="5">
        <v>0</v>
      </c>
      <c r="F1312" s="5">
        <v>0.82520000000000004</v>
      </c>
      <c r="G1312" s="5">
        <v>0.3347</v>
      </c>
      <c r="H1312" s="5">
        <v>1</v>
      </c>
      <c r="I1312" s="5">
        <v>14083.86</v>
      </c>
      <c r="J1312" s="5">
        <v>2211.81</v>
      </c>
      <c r="K1312" s="5">
        <v>22</v>
      </c>
      <c r="L1312" s="5">
        <v>2</v>
      </c>
      <c r="M1312" s="5">
        <v>2</v>
      </c>
      <c r="N1312" s="5">
        <v>2</v>
      </c>
      <c r="O1312" s="5">
        <v>742.29</v>
      </c>
      <c r="P1312" s="6">
        <v>0</v>
      </c>
    </row>
    <row r="1313" spans="1:16" ht="23.4" x14ac:dyDescent="0.45">
      <c r="A1313" s="4" t="s">
        <v>1304</v>
      </c>
      <c r="B1313" s="5" t="s">
        <v>9</v>
      </c>
      <c r="C1313" s="5">
        <v>83084.69</v>
      </c>
      <c r="D1313" s="5">
        <v>65</v>
      </c>
      <c r="E1313" s="5">
        <v>1</v>
      </c>
      <c r="F1313" s="5">
        <v>0.68640000000000001</v>
      </c>
      <c r="G1313" s="5">
        <v>0.71030000000000004</v>
      </c>
      <c r="H1313" s="5">
        <v>4</v>
      </c>
      <c r="I1313" s="5">
        <v>37854.68</v>
      </c>
      <c r="J1313" s="5">
        <v>6365.26</v>
      </c>
      <c r="K1313" s="5">
        <v>6</v>
      </c>
      <c r="L1313" s="5">
        <v>3</v>
      </c>
      <c r="M1313" s="5">
        <v>1</v>
      </c>
      <c r="N1313" s="5">
        <v>1</v>
      </c>
      <c r="O1313" s="5">
        <v>632.1</v>
      </c>
      <c r="P1313" s="6">
        <v>0</v>
      </c>
    </row>
    <row r="1314" spans="1:16" ht="23.4" x14ac:dyDescent="0.45">
      <c r="A1314" s="4" t="s">
        <v>171</v>
      </c>
      <c r="B1314" s="5" t="s">
        <v>9</v>
      </c>
      <c r="C1314" s="5">
        <v>121385.57</v>
      </c>
      <c r="D1314" s="5">
        <v>54</v>
      </c>
      <c r="E1314" s="5">
        <v>0</v>
      </c>
      <c r="F1314" s="5">
        <v>0.77629999999999999</v>
      </c>
      <c r="G1314" s="5">
        <v>0.4677</v>
      </c>
      <c r="H1314" s="5">
        <v>2</v>
      </c>
      <c r="I1314" s="5">
        <v>58741.5</v>
      </c>
      <c r="J1314" s="5">
        <v>48770.59</v>
      </c>
      <c r="K1314" s="5">
        <v>53</v>
      </c>
      <c r="L1314" s="5">
        <v>3</v>
      </c>
      <c r="M1314" s="5">
        <v>2</v>
      </c>
      <c r="N1314" s="5">
        <v>2</v>
      </c>
      <c r="O1314" s="5">
        <v>626.1</v>
      </c>
      <c r="P1314" s="6">
        <v>0</v>
      </c>
    </row>
    <row r="1315" spans="1:16" ht="23.4" x14ac:dyDescent="0.45">
      <c r="A1315" s="4" t="s">
        <v>1305</v>
      </c>
      <c r="B1315" s="5" t="s">
        <v>9</v>
      </c>
      <c r="C1315" s="5">
        <v>72275.289999999994</v>
      </c>
      <c r="D1315" s="5">
        <v>36</v>
      </c>
      <c r="E1315" s="5">
        <v>1</v>
      </c>
      <c r="F1315" s="5">
        <v>0.61660000000000004</v>
      </c>
      <c r="G1315" s="5">
        <v>8.6800000000000002E-2</v>
      </c>
      <c r="H1315" s="5">
        <v>0</v>
      </c>
      <c r="I1315" s="5">
        <v>500</v>
      </c>
      <c r="J1315" s="5">
        <v>0</v>
      </c>
      <c r="K1315" s="5">
        <v>151</v>
      </c>
      <c r="L1315" s="5">
        <v>1</v>
      </c>
      <c r="M1315" s="5">
        <v>2</v>
      </c>
      <c r="N1315" s="5">
        <v>0</v>
      </c>
      <c r="O1315" s="5">
        <v>783.11</v>
      </c>
      <c r="P1315" s="6">
        <v>0</v>
      </c>
    </row>
    <row r="1316" spans="1:16" ht="23.4" x14ac:dyDescent="0.45">
      <c r="A1316" s="4" t="s">
        <v>1306</v>
      </c>
      <c r="B1316" s="5" t="s">
        <v>18</v>
      </c>
      <c r="C1316" s="5">
        <v>87250.69</v>
      </c>
      <c r="D1316" s="5">
        <v>63</v>
      </c>
      <c r="E1316" s="5">
        <v>1</v>
      </c>
      <c r="F1316" s="5">
        <v>0.87309999999999999</v>
      </c>
      <c r="G1316" s="5">
        <v>0.52259999999999995</v>
      </c>
      <c r="H1316" s="5">
        <v>3</v>
      </c>
      <c r="I1316" s="5">
        <v>59029.93</v>
      </c>
      <c r="J1316" s="5">
        <v>52329.84</v>
      </c>
      <c r="K1316" s="5">
        <v>52</v>
      </c>
      <c r="L1316" s="5">
        <v>1</v>
      </c>
      <c r="M1316" s="5">
        <v>2</v>
      </c>
      <c r="N1316" s="5">
        <v>1</v>
      </c>
      <c r="O1316" s="5">
        <v>653.27</v>
      </c>
      <c r="P1316" s="6">
        <v>0</v>
      </c>
    </row>
    <row r="1317" spans="1:16" ht="23.4" x14ac:dyDescent="0.45">
      <c r="A1317" s="4" t="s">
        <v>1307</v>
      </c>
      <c r="B1317" s="5" t="s">
        <v>6</v>
      </c>
      <c r="C1317" s="5">
        <v>143212.34</v>
      </c>
      <c r="D1317" s="5">
        <v>65</v>
      </c>
      <c r="E1317" s="5">
        <v>1</v>
      </c>
      <c r="F1317" s="5">
        <v>0.79430000000000001</v>
      </c>
      <c r="G1317" s="5">
        <v>0.43380000000000002</v>
      </c>
      <c r="H1317" s="5">
        <v>1</v>
      </c>
      <c r="I1317" s="5">
        <v>64640.73</v>
      </c>
      <c r="J1317" s="5">
        <v>45610.18</v>
      </c>
      <c r="K1317" s="5">
        <v>158</v>
      </c>
      <c r="L1317" s="5">
        <v>2</v>
      </c>
      <c r="M1317" s="5">
        <v>2</v>
      </c>
      <c r="N1317" s="5">
        <v>2</v>
      </c>
      <c r="O1317" s="5">
        <v>667.95</v>
      </c>
      <c r="P1317" s="6">
        <v>0</v>
      </c>
    </row>
    <row r="1318" spans="1:16" ht="23.4" x14ac:dyDescent="0.45">
      <c r="A1318" s="4" t="s">
        <v>1308</v>
      </c>
      <c r="B1318" s="5" t="s">
        <v>1</v>
      </c>
      <c r="C1318" s="5">
        <v>71781.34</v>
      </c>
      <c r="D1318" s="5">
        <v>66</v>
      </c>
      <c r="E1318" s="5">
        <v>0</v>
      </c>
      <c r="F1318" s="5">
        <v>0.8891</v>
      </c>
      <c r="G1318" s="5">
        <v>0.33119999999999999</v>
      </c>
      <c r="H1318" s="5">
        <v>1</v>
      </c>
      <c r="I1318" s="5">
        <v>12029.24</v>
      </c>
      <c r="J1318" s="5">
        <v>5684.42</v>
      </c>
      <c r="K1318" s="5">
        <v>159</v>
      </c>
      <c r="L1318" s="5">
        <v>1</v>
      </c>
      <c r="M1318" s="5">
        <v>1</v>
      </c>
      <c r="N1318" s="5">
        <v>0</v>
      </c>
      <c r="O1318" s="5">
        <v>657.89</v>
      </c>
      <c r="P1318" s="6">
        <v>0</v>
      </c>
    </row>
    <row r="1319" spans="1:16" ht="23.4" x14ac:dyDescent="0.45">
      <c r="A1319" s="4" t="s">
        <v>1309</v>
      </c>
      <c r="B1319" s="5" t="s">
        <v>4</v>
      </c>
      <c r="C1319" s="5">
        <v>53582.89</v>
      </c>
      <c r="D1319" s="5">
        <v>29</v>
      </c>
      <c r="E1319" s="5">
        <v>0</v>
      </c>
      <c r="F1319" s="5">
        <v>0.53939999999999999</v>
      </c>
      <c r="G1319" s="5">
        <v>1</v>
      </c>
      <c r="H1319" s="5">
        <v>5</v>
      </c>
      <c r="I1319" s="5">
        <v>58235.14</v>
      </c>
      <c r="J1319" s="5">
        <v>61374.79</v>
      </c>
      <c r="K1319" s="5">
        <v>180</v>
      </c>
      <c r="L1319" s="5">
        <v>3</v>
      </c>
      <c r="M1319" s="5">
        <v>2</v>
      </c>
      <c r="N1319" s="5">
        <v>1</v>
      </c>
      <c r="O1319" s="5">
        <v>530.32000000000005</v>
      </c>
      <c r="P1319" s="6">
        <v>0</v>
      </c>
    </row>
    <row r="1320" spans="1:16" ht="23.4" x14ac:dyDescent="0.45">
      <c r="A1320" s="4" t="s">
        <v>1310</v>
      </c>
      <c r="B1320" s="5" t="s">
        <v>15</v>
      </c>
      <c r="C1320" s="5">
        <v>41561.339999999997</v>
      </c>
      <c r="D1320" s="5">
        <v>24</v>
      </c>
      <c r="E1320" s="5">
        <v>1</v>
      </c>
      <c r="F1320" s="5">
        <v>0.79330000000000001</v>
      </c>
      <c r="G1320" s="5">
        <v>0.27579999999999999</v>
      </c>
      <c r="H1320" s="5">
        <v>4</v>
      </c>
      <c r="I1320" s="5">
        <v>26079.919999999998</v>
      </c>
      <c r="J1320" s="5">
        <v>31311.07</v>
      </c>
      <c r="K1320" s="5">
        <v>85</v>
      </c>
      <c r="L1320" s="5">
        <v>1</v>
      </c>
      <c r="M1320" s="5">
        <v>2</v>
      </c>
      <c r="N1320" s="5">
        <v>1</v>
      </c>
      <c r="O1320" s="5">
        <v>653.33000000000004</v>
      </c>
      <c r="P1320" s="6">
        <v>0</v>
      </c>
    </row>
    <row r="1321" spans="1:16" ht="23.4" x14ac:dyDescent="0.45">
      <c r="A1321" s="4" t="s">
        <v>1311</v>
      </c>
      <c r="B1321" s="5" t="s">
        <v>18</v>
      </c>
      <c r="C1321" s="5">
        <v>109558.06</v>
      </c>
      <c r="D1321" s="5">
        <v>49</v>
      </c>
      <c r="E1321" s="5">
        <v>0</v>
      </c>
      <c r="F1321" s="5">
        <v>0.7349</v>
      </c>
      <c r="G1321" s="5">
        <v>0.18970000000000001</v>
      </c>
      <c r="H1321" s="5">
        <v>1</v>
      </c>
      <c r="I1321" s="5">
        <v>30401.200000000001</v>
      </c>
      <c r="J1321" s="5">
        <v>23920.76</v>
      </c>
      <c r="K1321" s="5">
        <v>13</v>
      </c>
      <c r="L1321" s="5">
        <v>2</v>
      </c>
      <c r="M1321" s="5">
        <v>1</v>
      </c>
      <c r="N1321" s="5">
        <v>1</v>
      </c>
      <c r="O1321" s="5">
        <v>616.55999999999995</v>
      </c>
      <c r="P1321" s="6">
        <v>0</v>
      </c>
    </row>
    <row r="1322" spans="1:16" ht="23.4" x14ac:dyDescent="0.45">
      <c r="A1322" s="4" t="s">
        <v>1312</v>
      </c>
      <c r="B1322" s="5" t="s">
        <v>4</v>
      </c>
      <c r="C1322" s="5">
        <v>53618.62</v>
      </c>
      <c r="D1322" s="5">
        <v>29</v>
      </c>
      <c r="E1322" s="5">
        <v>0</v>
      </c>
      <c r="F1322" s="5">
        <v>0.81069999999999998</v>
      </c>
      <c r="G1322" s="5">
        <v>0.49719999999999998</v>
      </c>
      <c r="H1322" s="5">
        <v>2</v>
      </c>
      <c r="I1322" s="5">
        <v>6337.45</v>
      </c>
      <c r="J1322" s="5">
        <v>10662.04</v>
      </c>
      <c r="K1322" s="5">
        <v>19</v>
      </c>
      <c r="L1322" s="5">
        <v>1</v>
      </c>
      <c r="M1322" s="5">
        <v>2</v>
      </c>
      <c r="N1322" s="5">
        <v>1</v>
      </c>
      <c r="O1322" s="5">
        <v>629.25</v>
      </c>
      <c r="P1322" s="6">
        <v>1</v>
      </c>
    </row>
    <row r="1323" spans="1:16" ht="23.4" x14ac:dyDescent="0.45">
      <c r="A1323" s="4" t="s">
        <v>1313</v>
      </c>
      <c r="B1323" s="5" t="s">
        <v>6</v>
      </c>
      <c r="C1323" s="5">
        <v>174050.03</v>
      </c>
      <c r="D1323" s="5">
        <v>64</v>
      </c>
      <c r="E1323" s="5">
        <v>1</v>
      </c>
      <c r="F1323" s="5">
        <v>0.34889999999999999</v>
      </c>
      <c r="G1323" s="5">
        <v>0.62190000000000001</v>
      </c>
      <c r="H1323" s="5">
        <v>4</v>
      </c>
      <c r="I1323" s="5">
        <v>114080.3</v>
      </c>
      <c r="J1323" s="5">
        <v>67243.59</v>
      </c>
      <c r="K1323" s="5">
        <v>121</v>
      </c>
      <c r="L1323" s="5">
        <v>2</v>
      </c>
      <c r="M1323" s="5">
        <v>2</v>
      </c>
      <c r="N1323" s="5">
        <v>1</v>
      </c>
      <c r="O1323" s="5">
        <v>734.39</v>
      </c>
      <c r="P1323" s="6">
        <v>0</v>
      </c>
    </row>
    <row r="1324" spans="1:16" ht="23.4" x14ac:dyDescent="0.45">
      <c r="A1324" s="4" t="s">
        <v>1314</v>
      </c>
      <c r="B1324" s="5" t="s">
        <v>6</v>
      </c>
      <c r="C1324" s="5">
        <v>27803.47</v>
      </c>
      <c r="D1324" s="5">
        <v>60</v>
      </c>
      <c r="E1324" s="5">
        <v>1</v>
      </c>
      <c r="F1324" s="5">
        <v>0.89759999999999995</v>
      </c>
      <c r="G1324" s="5">
        <v>0.4541</v>
      </c>
      <c r="H1324" s="5">
        <v>3</v>
      </c>
      <c r="I1324" s="5">
        <v>23334.76</v>
      </c>
      <c r="J1324" s="5">
        <v>20808.349999999999</v>
      </c>
      <c r="K1324" s="5">
        <v>31</v>
      </c>
      <c r="L1324" s="5">
        <v>1</v>
      </c>
      <c r="M1324" s="5">
        <v>3</v>
      </c>
      <c r="N1324" s="5">
        <v>2</v>
      </c>
      <c r="O1324" s="5">
        <v>739.58</v>
      </c>
      <c r="P1324" s="6">
        <v>0</v>
      </c>
    </row>
    <row r="1325" spans="1:16" ht="23.4" x14ac:dyDescent="0.45">
      <c r="A1325" s="4" t="s">
        <v>1315</v>
      </c>
      <c r="B1325" s="5" t="s">
        <v>1</v>
      </c>
      <c r="C1325" s="5">
        <v>58610.9</v>
      </c>
      <c r="D1325" s="5">
        <v>61</v>
      </c>
      <c r="E1325" s="5">
        <v>0</v>
      </c>
      <c r="F1325" s="5">
        <v>0.64629999999999999</v>
      </c>
      <c r="G1325" s="5">
        <v>0.45679999999999998</v>
      </c>
      <c r="H1325" s="5">
        <v>3</v>
      </c>
      <c r="I1325" s="5">
        <v>500</v>
      </c>
      <c r="J1325" s="5">
        <v>9365.06</v>
      </c>
      <c r="K1325" s="5">
        <v>138</v>
      </c>
      <c r="L1325" s="5">
        <v>4</v>
      </c>
      <c r="M1325" s="5">
        <v>1</v>
      </c>
      <c r="N1325" s="5">
        <v>1</v>
      </c>
      <c r="O1325" s="5">
        <v>697.43</v>
      </c>
      <c r="P1325" s="6">
        <v>0</v>
      </c>
    </row>
    <row r="1326" spans="1:16" ht="23.4" x14ac:dyDescent="0.45">
      <c r="A1326" s="4" t="s">
        <v>1316</v>
      </c>
      <c r="B1326" s="5" t="s">
        <v>4</v>
      </c>
      <c r="C1326" s="5">
        <v>96093.96</v>
      </c>
      <c r="D1326" s="5">
        <v>57</v>
      </c>
      <c r="E1326" s="5">
        <v>0</v>
      </c>
      <c r="F1326" s="5">
        <v>0.77659999999999996</v>
      </c>
      <c r="G1326" s="5">
        <v>0</v>
      </c>
      <c r="H1326" s="5">
        <v>0</v>
      </c>
      <c r="I1326" s="5">
        <v>500</v>
      </c>
      <c r="J1326" s="5">
        <v>5186.58</v>
      </c>
      <c r="K1326" s="5">
        <v>9</v>
      </c>
      <c r="L1326" s="5">
        <v>3</v>
      </c>
      <c r="M1326" s="5">
        <v>1</v>
      </c>
      <c r="N1326" s="5">
        <v>0</v>
      </c>
      <c r="O1326" s="5">
        <v>722.12</v>
      </c>
      <c r="P1326" s="6">
        <v>0</v>
      </c>
    </row>
    <row r="1327" spans="1:16" ht="23.4" x14ac:dyDescent="0.45">
      <c r="A1327" s="4" t="s">
        <v>1317</v>
      </c>
      <c r="B1327" s="5" t="s">
        <v>1</v>
      </c>
      <c r="C1327" s="5">
        <v>11769.75</v>
      </c>
      <c r="D1327" s="5">
        <v>61</v>
      </c>
      <c r="E1327" s="5">
        <v>1</v>
      </c>
      <c r="F1327" s="5">
        <v>0.73019999999999996</v>
      </c>
      <c r="G1327" s="5">
        <v>0.308</v>
      </c>
      <c r="H1327" s="5">
        <v>1</v>
      </c>
      <c r="I1327" s="5">
        <v>500</v>
      </c>
      <c r="J1327" s="5">
        <v>9610.9500000000007</v>
      </c>
      <c r="K1327" s="5">
        <v>64</v>
      </c>
      <c r="L1327" s="5">
        <v>2</v>
      </c>
      <c r="M1327" s="5">
        <v>2</v>
      </c>
      <c r="N1327" s="5">
        <v>0</v>
      </c>
      <c r="O1327" s="5">
        <v>737.26</v>
      </c>
      <c r="P1327" s="6">
        <v>0</v>
      </c>
    </row>
    <row r="1328" spans="1:16" ht="23.4" x14ac:dyDescent="0.45">
      <c r="A1328" s="4" t="s">
        <v>1318</v>
      </c>
      <c r="B1328" s="5" t="s">
        <v>9</v>
      </c>
      <c r="C1328" s="5">
        <v>65968.570000000007</v>
      </c>
      <c r="D1328" s="5">
        <v>69</v>
      </c>
      <c r="E1328" s="5">
        <v>0</v>
      </c>
      <c r="F1328" s="5">
        <v>0.3947</v>
      </c>
      <c r="G1328" s="5">
        <v>0.12770000000000001</v>
      </c>
      <c r="H1328" s="5">
        <v>1</v>
      </c>
      <c r="I1328" s="5">
        <v>500</v>
      </c>
      <c r="J1328" s="5">
        <v>12226.06</v>
      </c>
      <c r="K1328" s="5">
        <v>49</v>
      </c>
      <c r="L1328" s="5">
        <v>2</v>
      </c>
      <c r="M1328" s="5">
        <v>1</v>
      </c>
      <c r="N1328" s="5">
        <v>1</v>
      </c>
      <c r="O1328" s="5">
        <v>675.86</v>
      </c>
      <c r="P1328" s="6">
        <v>0</v>
      </c>
    </row>
    <row r="1329" spans="1:16" ht="23.4" x14ac:dyDescent="0.45">
      <c r="A1329" s="4" t="s">
        <v>1319</v>
      </c>
      <c r="B1329" s="5" t="s">
        <v>4</v>
      </c>
      <c r="C1329" s="5">
        <v>111486.86</v>
      </c>
      <c r="D1329" s="5">
        <v>69</v>
      </c>
      <c r="E1329" s="5">
        <v>1</v>
      </c>
      <c r="F1329" s="5">
        <v>0.71940000000000004</v>
      </c>
      <c r="G1329" s="5">
        <v>0.62</v>
      </c>
      <c r="H1329" s="5">
        <v>4</v>
      </c>
      <c r="I1329" s="5">
        <v>95903.67</v>
      </c>
      <c r="J1329" s="5">
        <v>72231.399999999994</v>
      </c>
      <c r="K1329" s="5">
        <v>14</v>
      </c>
      <c r="L1329" s="5">
        <v>2</v>
      </c>
      <c r="M1329" s="5">
        <v>1</v>
      </c>
      <c r="N1329" s="5">
        <v>0</v>
      </c>
      <c r="O1329" s="5">
        <v>680.76</v>
      </c>
      <c r="P1329" s="6">
        <v>0</v>
      </c>
    </row>
    <row r="1330" spans="1:16" ht="23.4" x14ac:dyDescent="0.45">
      <c r="A1330" s="4" t="s">
        <v>1320</v>
      </c>
      <c r="B1330" s="5" t="s">
        <v>15</v>
      </c>
      <c r="C1330" s="5">
        <v>66413.16</v>
      </c>
      <c r="D1330" s="5">
        <v>30</v>
      </c>
      <c r="E1330" s="5">
        <v>1</v>
      </c>
      <c r="F1330" s="5">
        <v>0.5514</v>
      </c>
      <c r="G1330" s="5">
        <v>0.73050000000000004</v>
      </c>
      <c r="H1330" s="5">
        <v>1</v>
      </c>
      <c r="I1330" s="5">
        <v>55810.9</v>
      </c>
      <c r="J1330" s="5">
        <v>36670.629999999997</v>
      </c>
      <c r="K1330" s="5">
        <v>55</v>
      </c>
      <c r="L1330" s="5">
        <v>1</v>
      </c>
      <c r="M1330" s="5">
        <v>2</v>
      </c>
      <c r="N1330" s="5">
        <v>0</v>
      </c>
      <c r="O1330" s="5">
        <v>667.99</v>
      </c>
      <c r="P1330" s="6">
        <v>0</v>
      </c>
    </row>
    <row r="1331" spans="1:16" ht="23.4" x14ac:dyDescent="0.45">
      <c r="A1331" s="4" t="s">
        <v>1321</v>
      </c>
      <c r="B1331" s="5" t="s">
        <v>9</v>
      </c>
      <c r="C1331" s="5">
        <v>28321.56</v>
      </c>
      <c r="D1331" s="5">
        <v>52</v>
      </c>
      <c r="E1331" s="5">
        <v>0</v>
      </c>
      <c r="F1331" s="5">
        <v>0.58489999999999998</v>
      </c>
      <c r="G1331" s="5">
        <v>8.3000000000000004E-2</v>
      </c>
      <c r="H1331" s="5">
        <v>1</v>
      </c>
      <c r="I1331" s="5">
        <v>500</v>
      </c>
      <c r="J1331" s="5">
        <v>0</v>
      </c>
      <c r="K1331" s="5">
        <v>58</v>
      </c>
      <c r="L1331" s="5">
        <v>1</v>
      </c>
      <c r="M1331" s="5">
        <v>1</v>
      </c>
      <c r="N1331" s="5">
        <v>1</v>
      </c>
      <c r="O1331" s="5">
        <v>752.58</v>
      </c>
      <c r="P1331" s="6">
        <v>0</v>
      </c>
    </row>
    <row r="1332" spans="1:16" ht="23.4" x14ac:dyDescent="0.45">
      <c r="A1332" s="4" t="s">
        <v>1322</v>
      </c>
      <c r="B1332" s="5" t="s">
        <v>4</v>
      </c>
      <c r="C1332" s="5">
        <v>78786.92</v>
      </c>
      <c r="D1332" s="5">
        <v>56</v>
      </c>
      <c r="E1332" s="5">
        <v>0</v>
      </c>
      <c r="F1332" s="5">
        <v>0.70340000000000003</v>
      </c>
      <c r="G1332" s="5">
        <v>3.1300000000000001E-2</v>
      </c>
      <c r="H1332" s="5">
        <v>0</v>
      </c>
      <c r="I1332" s="5">
        <v>16037.02</v>
      </c>
      <c r="J1332" s="5">
        <v>0</v>
      </c>
      <c r="K1332" s="5">
        <v>96</v>
      </c>
      <c r="L1332" s="5">
        <v>2</v>
      </c>
      <c r="M1332" s="5">
        <v>2</v>
      </c>
      <c r="N1332" s="5">
        <v>0</v>
      </c>
      <c r="O1332" s="5">
        <v>778.74</v>
      </c>
      <c r="P1332" s="6">
        <v>0</v>
      </c>
    </row>
    <row r="1333" spans="1:16" ht="23.4" x14ac:dyDescent="0.45">
      <c r="A1333" s="4" t="s">
        <v>1323</v>
      </c>
      <c r="B1333" s="5" t="s">
        <v>6</v>
      </c>
      <c r="C1333" s="5">
        <v>39543.919999999998</v>
      </c>
      <c r="D1333" s="5">
        <v>36</v>
      </c>
      <c r="E1333" s="5">
        <v>1</v>
      </c>
      <c r="F1333" s="5">
        <v>0.77110000000000001</v>
      </c>
      <c r="G1333" s="5">
        <v>0.2301</v>
      </c>
      <c r="H1333" s="5">
        <v>1</v>
      </c>
      <c r="I1333" s="5">
        <v>500</v>
      </c>
      <c r="J1333" s="5">
        <v>0</v>
      </c>
      <c r="K1333" s="5">
        <v>64</v>
      </c>
      <c r="L1333" s="5">
        <v>1</v>
      </c>
      <c r="M1333" s="5">
        <v>2</v>
      </c>
      <c r="N1333" s="5">
        <v>2</v>
      </c>
      <c r="O1333" s="5">
        <v>850</v>
      </c>
      <c r="P1333" s="6">
        <v>0</v>
      </c>
    </row>
    <row r="1334" spans="1:16" ht="23.4" x14ac:dyDescent="0.45">
      <c r="A1334" s="4" t="s">
        <v>1324</v>
      </c>
      <c r="B1334" s="5" t="s">
        <v>4</v>
      </c>
      <c r="C1334" s="5">
        <v>121694.54</v>
      </c>
      <c r="D1334" s="5">
        <v>35</v>
      </c>
      <c r="E1334" s="5">
        <v>1</v>
      </c>
      <c r="F1334" s="5">
        <v>0.58899999999999997</v>
      </c>
      <c r="G1334" s="5">
        <v>0.42830000000000001</v>
      </c>
      <c r="H1334" s="5">
        <v>2</v>
      </c>
      <c r="I1334" s="5">
        <v>70876.37</v>
      </c>
      <c r="J1334" s="5">
        <v>32616.93</v>
      </c>
      <c r="K1334" s="5">
        <v>168</v>
      </c>
      <c r="L1334" s="5">
        <v>2</v>
      </c>
      <c r="M1334" s="5">
        <v>2</v>
      </c>
      <c r="N1334" s="5">
        <v>1</v>
      </c>
      <c r="O1334" s="5">
        <v>632.32000000000005</v>
      </c>
      <c r="P1334" s="6">
        <v>0</v>
      </c>
    </row>
    <row r="1335" spans="1:16" ht="23.4" x14ac:dyDescent="0.45">
      <c r="A1335" s="4" t="s">
        <v>1325</v>
      </c>
      <c r="B1335" s="5" t="s">
        <v>18</v>
      </c>
      <c r="C1335" s="5">
        <v>120931.51</v>
      </c>
      <c r="D1335" s="5">
        <v>25</v>
      </c>
      <c r="E1335" s="5">
        <v>0</v>
      </c>
      <c r="F1335" s="5">
        <v>0.80110000000000003</v>
      </c>
      <c r="G1335" s="5">
        <v>0.2077</v>
      </c>
      <c r="H1335" s="5">
        <v>2</v>
      </c>
      <c r="I1335" s="5">
        <v>35261.31</v>
      </c>
      <c r="J1335" s="5">
        <v>42697.71</v>
      </c>
      <c r="K1335" s="5">
        <v>72</v>
      </c>
      <c r="L1335" s="5">
        <v>1</v>
      </c>
      <c r="M1335" s="5">
        <v>1</v>
      </c>
      <c r="N1335" s="5">
        <v>1</v>
      </c>
      <c r="O1335" s="5">
        <v>654.77</v>
      </c>
      <c r="P1335" s="6">
        <v>0</v>
      </c>
    </row>
    <row r="1336" spans="1:16" ht="23.4" x14ac:dyDescent="0.45">
      <c r="A1336" s="4" t="s">
        <v>1326</v>
      </c>
      <c r="B1336" s="5" t="s">
        <v>4</v>
      </c>
      <c r="C1336" s="5">
        <v>139802.95000000001</v>
      </c>
      <c r="D1336" s="5">
        <v>51</v>
      </c>
      <c r="E1336" s="5">
        <v>0</v>
      </c>
      <c r="F1336" s="5">
        <v>0.48949999999999999</v>
      </c>
      <c r="G1336" s="5">
        <v>0.26019999999999999</v>
      </c>
      <c r="H1336" s="5">
        <v>1</v>
      </c>
      <c r="I1336" s="5">
        <v>31018.39</v>
      </c>
      <c r="J1336" s="5">
        <v>8746.86</v>
      </c>
      <c r="K1336" s="5">
        <v>9</v>
      </c>
      <c r="L1336" s="5">
        <v>2</v>
      </c>
      <c r="M1336" s="5">
        <v>2</v>
      </c>
      <c r="N1336" s="5">
        <v>2</v>
      </c>
      <c r="O1336" s="5">
        <v>680.01</v>
      </c>
      <c r="P1336" s="6">
        <v>0</v>
      </c>
    </row>
    <row r="1337" spans="1:16" ht="23.4" x14ac:dyDescent="0.45">
      <c r="A1337" s="4" t="s">
        <v>1327</v>
      </c>
      <c r="B1337" s="5" t="s">
        <v>9</v>
      </c>
      <c r="C1337" s="5">
        <v>50889.06</v>
      </c>
      <c r="D1337" s="5">
        <v>28</v>
      </c>
      <c r="E1337" s="5">
        <v>1</v>
      </c>
      <c r="F1337" s="5">
        <v>0.83309999999999995</v>
      </c>
      <c r="G1337" s="5">
        <v>0.62029999999999996</v>
      </c>
      <c r="H1337" s="5">
        <v>1</v>
      </c>
      <c r="I1337" s="5">
        <v>31243.9</v>
      </c>
      <c r="J1337" s="5">
        <v>32082.19</v>
      </c>
      <c r="K1337" s="5">
        <v>165</v>
      </c>
      <c r="L1337" s="5">
        <v>2</v>
      </c>
      <c r="M1337" s="5">
        <v>1</v>
      </c>
      <c r="N1337" s="5">
        <v>1</v>
      </c>
      <c r="O1337" s="5">
        <v>630.79</v>
      </c>
      <c r="P1337" s="6">
        <v>0</v>
      </c>
    </row>
    <row r="1338" spans="1:16" ht="23.4" x14ac:dyDescent="0.45">
      <c r="A1338" s="4" t="s">
        <v>1328</v>
      </c>
      <c r="B1338" s="5" t="s">
        <v>9</v>
      </c>
      <c r="C1338" s="5">
        <v>142788.15</v>
      </c>
      <c r="D1338" s="5">
        <v>65</v>
      </c>
      <c r="E1338" s="5">
        <v>0</v>
      </c>
      <c r="F1338" s="5">
        <v>1</v>
      </c>
      <c r="G1338" s="5">
        <v>0.22620000000000001</v>
      </c>
      <c r="H1338" s="5">
        <v>1</v>
      </c>
      <c r="I1338" s="5">
        <v>49410.559999999998</v>
      </c>
      <c r="J1338" s="5">
        <v>38682.160000000003</v>
      </c>
      <c r="K1338" s="5">
        <v>40</v>
      </c>
      <c r="L1338" s="5">
        <v>3</v>
      </c>
      <c r="M1338" s="5">
        <v>1</v>
      </c>
      <c r="N1338" s="5">
        <v>2</v>
      </c>
      <c r="O1338" s="5">
        <v>732.62</v>
      </c>
      <c r="P1338" s="6">
        <v>0</v>
      </c>
    </row>
    <row r="1339" spans="1:16" ht="23.4" x14ac:dyDescent="0.45">
      <c r="A1339" s="4" t="s">
        <v>1329</v>
      </c>
      <c r="B1339" s="5" t="s">
        <v>18</v>
      </c>
      <c r="C1339" s="5">
        <v>58750.22</v>
      </c>
      <c r="D1339" s="5">
        <v>26</v>
      </c>
      <c r="E1339" s="5">
        <v>1</v>
      </c>
      <c r="F1339" s="5">
        <v>1</v>
      </c>
      <c r="G1339" s="5">
        <v>0</v>
      </c>
      <c r="H1339" s="5">
        <v>0</v>
      </c>
      <c r="I1339" s="5">
        <v>500</v>
      </c>
      <c r="J1339" s="5">
        <v>0</v>
      </c>
      <c r="K1339" s="5">
        <v>39</v>
      </c>
      <c r="L1339" s="5">
        <v>3</v>
      </c>
      <c r="M1339" s="5">
        <v>2</v>
      </c>
      <c r="N1339" s="5">
        <v>1</v>
      </c>
      <c r="O1339" s="5">
        <v>733.92</v>
      </c>
      <c r="P1339" s="6">
        <v>0</v>
      </c>
    </row>
    <row r="1340" spans="1:16" ht="23.4" x14ac:dyDescent="0.45">
      <c r="A1340" s="4" t="s">
        <v>1330</v>
      </c>
      <c r="B1340" s="5" t="s">
        <v>18</v>
      </c>
      <c r="C1340" s="5">
        <v>107188.25</v>
      </c>
      <c r="D1340" s="5">
        <v>57</v>
      </c>
      <c r="E1340" s="5">
        <v>1</v>
      </c>
      <c r="F1340" s="5">
        <v>0.82509999999999994</v>
      </c>
      <c r="G1340" s="5">
        <v>0.43759999999999999</v>
      </c>
      <c r="H1340" s="5">
        <v>2</v>
      </c>
      <c r="I1340" s="5">
        <v>63325.62</v>
      </c>
      <c r="J1340" s="5">
        <v>53730.55</v>
      </c>
      <c r="K1340" s="5">
        <v>146</v>
      </c>
      <c r="L1340" s="5">
        <v>2</v>
      </c>
      <c r="M1340" s="5">
        <v>1</v>
      </c>
      <c r="N1340" s="5">
        <v>2</v>
      </c>
      <c r="O1340" s="5">
        <v>786.78</v>
      </c>
      <c r="P1340" s="6">
        <v>0</v>
      </c>
    </row>
    <row r="1341" spans="1:16" ht="23.4" x14ac:dyDescent="0.45">
      <c r="A1341" s="4" t="s">
        <v>1331</v>
      </c>
      <c r="B1341" s="5" t="s">
        <v>6</v>
      </c>
      <c r="C1341" s="5">
        <v>69843.009999999995</v>
      </c>
      <c r="D1341" s="5">
        <v>54</v>
      </c>
      <c r="E1341" s="5">
        <v>1</v>
      </c>
      <c r="F1341" s="5">
        <v>1</v>
      </c>
      <c r="G1341" s="5">
        <v>0</v>
      </c>
      <c r="H1341" s="5">
        <v>0</v>
      </c>
      <c r="I1341" s="5">
        <v>500</v>
      </c>
      <c r="J1341" s="5">
        <v>1459.31</v>
      </c>
      <c r="K1341" s="5">
        <v>17</v>
      </c>
      <c r="L1341" s="5">
        <v>3</v>
      </c>
      <c r="M1341" s="5">
        <v>1</v>
      </c>
      <c r="N1341" s="5">
        <v>0</v>
      </c>
      <c r="O1341" s="5">
        <v>802.72</v>
      </c>
      <c r="P1341" s="6">
        <v>0</v>
      </c>
    </row>
    <row r="1342" spans="1:16" ht="23.4" x14ac:dyDescent="0.45">
      <c r="A1342" s="4" t="s">
        <v>1332</v>
      </c>
      <c r="B1342" s="5" t="s">
        <v>6</v>
      </c>
      <c r="C1342" s="5">
        <v>158669</v>
      </c>
      <c r="D1342" s="5">
        <v>45</v>
      </c>
      <c r="E1342" s="5">
        <v>0</v>
      </c>
      <c r="F1342" s="5">
        <v>0.73129999999999995</v>
      </c>
      <c r="G1342" s="5">
        <v>0.16300000000000001</v>
      </c>
      <c r="H1342" s="5">
        <v>2</v>
      </c>
      <c r="I1342" s="5">
        <v>29401.03</v>
      </c>
      <c r="J1342" s="5">
        <v>20913.759999999998</v>
      </c>
      <c r="K1342" s="5">
        <v>167</v>
      </c>
      <c r="L1342" s="5">
        <v>2</v>
      </c>
      <c r="M1342" s="5">
        <v>2</v>
      </c>
      <c r="N1342" s="5">
        <v>2</v>
      </c>
      <c r="O1342" s="5">
        <v>682.49</v>
      </c>
      <c r="P1342" s="6">
        <v>0</v>
      </c>
    </row>
    <row r="1343" spans="1:16" ht="23.4" x14ac:dyDescent="0.45">
      <c r="A1343" s="4" t="s">
        <v>1333</v>
      </c>
      <c r="B1343" s="5" t="s">
        <v>4</v>
      </c>
      <c r="C1343" s="5">
        <v>26133.18</v>
      </c>
      <c r="D1343" s="5">
        <v>56</v>
      </c>
      <c r="E1343" s="5">
        <v>0</v>
      </c>
      <c r="F1343" s="5">
        <v>0.8448</v>
      </c>
      <c r="G1343" s="5">
        <v>0.50490000000000002</v>
      </c>
      <c r="H1343" s="5">
        <v>1</v>
      </c>
      <c r="I1343" s="5">
        <v>32407.75</v>
      </c>
      <c r="J1343" s="5">
        <v>19607.28</v>
      </c>
      <c r="K1343" s="5">
        <v>66</v>
      </c>
      <c r="L1343" s="5">
        <v>3</v>
      </c>
      <c r="M1343" s="5">
        <v>1</v>
      </c>
      <c r="N1343" s="5">
        <v>0</v>
      </c>
      <c r="O1343" s="5">
        <v>840.98</v>
      </c>
      <c r="P1343" s="6">
        <v>0</v>
      </c>
    </row>
    <row r="1344" spans="1:16" ht="23.4" x14ac:dyDescent="0.45">
      <c r="A1344" s="4" t="s">
        <v>1334</v>
      </c>
      <c r="B1344" s="5" t="s">
        <v>9</v>
      </c>
      <c r="C1344" s="5">
        <v>146303.73000000001</v>
      </c>
      <c r="D1344" s="5">
        <v>69</v>
      </c>
      <c r="E1344" s="5">
        <v>0</v>
      </c>
      <c r="F1344" s="5">
        <v>0.60709999999999997</v>
      </c>
      <c r="G1344" s="5">
        <v>0.6744</v>
      </c>
      <c r="H1344" s="5">
        <v>5</v>
      </c>
      <c r="I1344" s="5">
        <v>76656.86</v>
      </c>
      <c r="J1344" s="5">
        <v>55620.480000000003</v>
      </c>
      <c r="K1344" s="5">
        <v>146</v>
      </c>
      <c r="L1344" s="5">
        <v>2</v>
      </c>
      <c r="M1344" s="5">
        <v>1</v>
      </c>
      <c r="N1344" s="5">
        <v>0</v>
      </c>
      <c r="O1344" s="5">
        <v>722.3</v>
      </c>
      <c r="P1344" s="6">
        <v>0</v>
      </c>
    </row>
    <row r="1345" spans="1:16" ht="23.4" x14ac:dyDescent="0.45">
      <c r="A1345" s="4" t="s">
        <v>1335</v>
      </c>
      <c r="B1345" s="5" t="s">
        <v>15</v>
      </c>
      <c r="C1345" s="5">
        <v>45344.04</v>
      </c>
      <c r="D1345" s="5">
        <v>27</v>
      </c>
      <c r="E1345" s="5">
        <v>0</v>
      </c>
      <c r="F1345" s="5">
        <v>0.82989999999999997</v>
      </c>
      <c r="G1345" s="5">
        <v>0.43619999999999998</v>
      </c>
      <c r="H1345" s="5">
        <v>3</v>
      </c>
      <c r="I1345" s="5">
        <v>17036.37</v>
      </c>
      <c r="J1345" s="5">
        <v>16628.009999999998</v>
      </c>
      <c r="K1345" s="5">
        <v>52</v>
      </c>
      <c r="L1345" s="5">
        <v>1</v>
      </c>
      <c r="M1345" s="5">
        <v>2</v>
      </c>
      <c r="N1345" s="5">
        <v>0</v>
      </c>
      <c r="O1345" s="5">
        <v>662.19</v>
      </c>
      <c r="P1345" s="6">
        <v>0</v>
      </c>
    </row>
    <row r="1346" spans="1:16" ht="23.4" x14ac:dyDescent="0.45">
      <c r="A1346" s="4" t="s">
        <v>1336</v>
      </c>
      <c r="B1346" s="5" t="s">
        <v>9</v>
      </c>
      <c r="C1346" s="5">
        <v>87845.88</v>
      </c>
      <c r="D1346" s="5">
        <v>25</v>
      </c>
      <c r="E1346" s="5">
        <v>0</v>
      </c>
      <c r="F1346" s="5">
        <v>0.50490000000000002</v>
      </c>
      <c r="G1346" s="5">
        <v>0.13569999999999999</v>
      </c>
      <c r="H1346" s="5">
        <v>5</v>
      </c>
      <c r="I1346" s="5">
        <v>27231.15</v>
      </c>
      <c r="J1346" s="5">
        <v>18824.91</v>
      </c>
      <c r="K1346" s="5">
        <v>177</v>
      </c>
      <c r="L1346" s="5">
        <v>2</v>
      </c>
      <c r="M1346" s="5">
        <v>1</v>
      </c>
      <c r="N1346" s="5">
        <v>0</v>
      </c>
      <c r="O1346" s="5">
        <v>749.32</v>
      </c>
      <c r="P1346" s="6">
        <v>0</v>
      </c>
    </row>
    <row r="1347" spans="1:16" ht="23.4" x14ac:dyDescent="0.45">
      <c r="A1347" s="4" t="s">
        <v>1337</v>
      </c>
      <c r="B1347" s="5" t="s">
        <v>1</v>
      </c>
      <c r="C1347" s="5">
        <v>64723.33</v>
      </c>
      <c r="D1347" s="5">
        <v>26</v>
      </c>
      <c r="E1347" s="5">
        <v>0</v>
      </c>
      <c r="F1347" s="5">
        <v>0.62039999999999995</v>
      </c>
      <c r="G1347" s="5">
        <v>2.2800000000000001E-2</v>
      </c>
      <c r="H1347" s="5">
        <v>4</v>
      </c>
      <c r="I1347" s="5">
        <v>500</v>
      </c>
      <c r="J1347" s="5">
        <v>773.22</v>
      </c>
      <c r="K1347" s="5">
        <v>120</v>
      </c>
      <c r="L1347" s="5">
        <v>2</v>
      </c>
      <c r="M1347" s="5">
        <v>1</v>
      </c>
      <c r="N1347" s="5">
        <v>1</v>
      </c>
      <c r="O1347" s="5">
        <v>722.35</v>
      </c>
      <c r="P1347" s="6">
        <v>0</v>
      </c>
    </row>
    <row r="1348" spans="1:16" ht="23.4" x14ac:dyDescent="0.45">
      <c r="A1348" s="4" t="s">
        <v>1338</v>
      </c>
      <c r="B1348" s="5" t="s">
        <v>18</v>
      </c>
      <c r="C1348" s="5">
        <v>25014.14</v>
      </c>
      <c r="D1348" s="5">
        <v>51</v>
      </c>
      <c r="E1348" s="5">
        <v>1</v>
      </c>
      <c r="F1348" s="5">
        <v>0.51290000000000002</v>
      </c>
      <c r="G1348" s="5">
        <v>0.73360000000000003</v>
      </c>
      <c r="H1348" s="5">
        <v>5</v>
      </c>
      <c r="I1348" s="5">
        <v>5402.51</v>
      </c>
      <c r="J1348" s="5">
        <v>10878.66</v>
      </c>
      <c r="K1348" s="5">
        <v>55</v>
      </c>
      <c r="L1348" s="5">
        <v>2</v>
      </c>
      <c r="M1348" s="5">
        <v>2</v>
      </c>
      <c r="N1348" s="5">
        <v>0</v>
      </c>
      <c r="O1348" s="5">
        <v>699.85</v>
      </c>
      <c r="P1348" s="6">
        <v>0</v>
      </c>
    </row>
    <row r="1349" spans="1:16" ht="23.4" x14ac:dyDescent="0.45">
      <c r="A1349" s="4" t="s">
        <v>1339</v>
      </c>
      <c r="B1349" s="5" t="s">
        <v>15</v>
      </c>
      <c r="C1349" s="5">
        <v>133049.57</v>
      </c>
      <c r="D1349" s="5">
        <v>60</v>
      </c>
      <c r="E1349" s="5">
        <v>0</v>
      </c>
      <c r="F1349" s="5">
        <v>0.53580000000000005</v>
      </c>
      <c r="G1349" s="5">
        <v>0.53900000000000003</v>
      </c>
      <c r="H1349" s="5">
        <v>3</v>
      </c>
      <c r="I1349" s="5">
        <v>72388.320000000007</v>
      </c>
      <c r="J1349" s="5">
        <v>45320.74</v>
      </c>
      <c r="K1349" s="5">
        <v>148</v>
      </c>
      <c r="L1349" s="5">
        <v>2</v>
      </c>
      <c r="M1349" s="5">
        <v>2</v>
      </c>
      <c r="N1349" s="5">
        <v>0</v>
      </c>
      <c r="O1349" s="5">
        <v>734.81</v>
      </c>
      <c r="P1349" s="6">
        <v>0</v>
      </c>
    </row>
    <row r="1350" spans="1:16" ht="23.4" x14ac:dyDescent="0.45">
      <c r="A1350" s="4" t="s">
        <v>1340</v>
      </c>
      <c r="B1350" s="5" t="s">
        <v>9</v>
      </c>
      <c r="C1350" s="5">
        <v>63362.16</v>
      </c>
      <c r="D1350" s="5">
        <v>60</v>
      </c>
      <c r="E1350" s="5">
        <v>0</v>
      </c>
      <c r="F1350" s="5">
        <v>0.43940000000000001</v>
      </c>
      <c r="G1350" s="5">
        <v>0.45600000000000002</v>
      </c>
      <c r="H1350" s="5">
        <v>3</v>
      </c>
      <c r="I1350" s="5">
        <v>34066.620000000003</v>
      </c>
      <c r="J1350" s="5">
        <v>11611.04</v>
      </c>
      <c r="K1350" s="5">
        <v>98</v>
      </c>
      <c r="L1350" s="5">
        <v>2</v>
      </c>
      <c r="M1350" s="5">
        <v>1</v>
      </c>
      <c r="N1350" s="5">
        <v>1</v>
      </c>
      <c r="O1350" s="5">
        <v>600.19000000000005</v>
      </c>
      <c r="P1350" s="6">
        <v>0</v>
      </c>
    </row>
    <row r="1351" spans="1:16" ht="23.4" x14ac:dyDescent="0.45">
      <c r="A1351" s="4" t="s">
        <v>1341</v>
      </c>
      <c r="B1351" s="5" t="s">
        <v>9</v>
      </c>
      <c r="C1351" s="5">
        <v>138280.18</v>
      </c>
      <c r="D1351" s="5">
        <v>22</v>
      </c>
      <c r="E1351" s="5">
        <v>0</v>
      </c>
      <c r="F1351" s="5">
        <v>0.8</v>
      </c>
      <c r="G1351" s="5">
        <v>0.35339999999999999</v>
      </c>
      <c r="H1351" s="5">
        <v>5</v>
      </c>
      <c r="I1351" s="5">
        <v>31563.59</v>
      </c>
      <c r="J1351" s="5">
        <v>12918.62</v>
      </c>
      <c r="K1351" s="5">
        <v>167</v>
      </c>
      <c r="L1351" s="5">
        <v>2</v>
      </c>
      <c r="M1351" s="5">
        <v>2</v>
      </c>
      <c r="N1351" s="5">
        <v>2</v>
      </c>
      <c r="O1351" s="5">
        <v>808.36</v>
      </c>
      <c r="P1351" s="6">
        <v>0</v>
      </c>
    </row>
    <row r="1352" spans="1:16" ht="23.4" x14ac:dyDescent="0.45">
      <c r="A1352" s="4" t="s">
        <v>1342</v>
      </c>
      <c r="B1352" s="5" t="s">
        <v>6</v>
      </c>
      <c r="C1352" s="5">
        <v>84075.31</v>
      </c>
      <c r="D1352" s="5">
        <v>21</v>
      </c>
      <c r="E1352" s="5">
        <v>1</v>
      </c>
      <c r="F1352" s="5">
        <v>0.77659999999999996</v>
      </c>
      <c r="G1352" s="5">
        <v>0.4486</v>
      </c>
      <c r="H1352" s="5">
        <v>0</v>
      </c>
      <c r="I1352" s="5">
        <v>6184.13</v>
      </c>
      <c r="J1352" s="5">
        <v>0</v>
      </c>
      <c r="K1352" s="5">
        <v>24</v>
      </c>
      <c r="L1352" s="5">
        <v>3</v>
      </c>
      <c r="M1352" s="5">
        <v>1</v>
      </c>
      <c r="N1352" s="5">
        <v>1</v>
      </c>
      <c r="O1352" s="5">
        <v>736.85</v>
      </c>
      <c r="P1352" s="6">
        <v>0</v>
      </c>
    </row>
    <row r="1353" spans="1:16" ht="23.4" x14ac:dyDescent="0.45">
      <c r="A1353" s="4" t="s">
        <v>1343</v>
      </c>
      <c r="B1353" s="5" t="s">
        <v>1</v>
      </c>
      <c r="C1353" s="5">
        <v>85989.55</v>
      </c>
      <c r="D1353" s="5">
        <v>39</v>
      </c>
      <c r="E1353" s="5">
        <v>1</v>
      </c>
      <c r="F1353" s="5">
        <v>0.61870000000000003</v>
      </c>
      <c r="G1353" s="5">
        <v>4.1399999999999999E-2</v>
      </c>
      <c r="H1353" s="5">
        <v>2</v>
      </c>
      <c r="I1353" s="5">
        <v>13151.85</v>
      </c>
      <c r="J1353" s="5">
        <v>0</v>
      </c>
      <c r="K1353" s="5">
        <v>30</v>
      </c>
      <c r="L1353" s="5">
        <v>2</v>
      </c>
      <c r="M1353" s="5">
        <v>2</v>
      </c>
      <c r="N1353" s="5">
        <v>1</v>
      </c>
      <c r="O1353" s="5">
        <v>658.06</v>
      </c>
      <c r="P1353" s="6">
        <v>0</v>
      </c>
    </row>
    <row r="1354" spans="1:16" ht="23.4" x14ac:dyDescent="0.45">
      <c r="A1354" s="4" t="s">
        <v>1344</v>
      </c>
      <c r="B1354" s="5" t="s">
        <v>9</v>
      </c>
      <c r="C1354" s="5">
        <v>149554.76999999999</v>
      </c>
      <c r="D1354" s="5">
        <v>46</v>
      </c>
      <c r="E1354" s="5">
        <v>1</v>
      </c>
      <c r="F1354" s="5">
        <v>0.87239999999999995</v>
      </c>
      <c r="G1354" s="5">
        <v>0.64859999999999995</v>
      </c>
      <c r="H1354" s="5">
        <v>3</v>
      </c>
      <c r="I1354" s="5">
        <v>100667.78</v>
      </c>
      <c r="J1354" s="5">
        <v>79351.87</v>
      </c>
      <c r="K1354" s="5">
        <v>128</v>
      </c>
      <c r="L1354" s="5">
        <v>1</v>
      </c>
      <c r="M1354" s="5">
        <v>2</v>
      </c>
      <c r="N1354" s="5">
        <v>0</v>
      </c>
      <c r="O1354" s="5">
        <v>749.27</v>
      </c>
      <c r="P1354" s="6">
        <v>0</v>
      </c>
    </row>
    <row r="1355" spans="1:16" ht="23.4" x14ac:dyDescent="0.45">
      <c r="A1355" s="4" t="s">
        <v>1345</v>
      </c>
      <c r="B1355" s="5" t="s">
        <v>9</v>
      </c>
      <c r="C1355" s="5">
        <v>3813.88</v>
      </c>
      <c r="D1355" s="5">
        <v>37</v>
      </c>
      <c r="E1355" s="5">
        <v>1</v>
      </c>
      <c r="F1355" s="5">
        <v>0.66539999999999999</v>
      </c>
      <c r="G1355" s="5">
        <v>0.1651</v>
      </c>
      <c r="H1355" s="5">
        <v>2</v>
      </c>
      <c r="I1355" s="5">
        <v>500</v>
      </c>
      <c r="J1355" s="5">
        <v>0</v>
      </c>
      <c r="K1355" s="5">
        <v>101</v>
      </c>
      <c r="L1355" s="5">
        <v>2</v>
      </c>
      <c r="M1355" s="5">
        <v>2</v>
      </c>
      <c r="N1355" s="5">
        <v>0</v>
      </c>
      <c r="O1355" s="5">
        <v>686.69</v>
      </c>
      <c r="P1355" s="6">
        <v>0</v>
      </c>
    </row>
    <row r="1356" spans="1:16" ht="23.4" x14ac:dyDescent="0.45">
      <c r="A1356" s="4" t="s">
        <v>1346</v>
      </c>
      <c r="B1356" s="5" t="s">
        <v>15</v>
      </c>
      <c r="C1356" s="5">
        <v>150884.71</v>
      </c>
      <c r="D1356" s="5">
        <v>30</v>
      </c>
      <c r="E1356" s="5">
        <v>0</v>
      </c>
      <c r="F1356" s="5">
        <v>0.97550000000000003</v>
      </c>
      <c r="G1356" s="5">
        <v>0.75390000000000001</v>
      </c>
      <c r="H1356" s="5">
        <v>7</v>
      </c>
      <c r="I1356" s="5">
        <v>113580.45</v>
      </c>
      <c r="J1356" s="5">
        <v>89751.49</v>
      </c>
      <c r="K1356" s="5">
        <v>153</v>
      </c>
      <c r="L1356" s="5">
        <v>1</v>
      </c>
      <c r="M1356" s="5">
        <v>2</v>
      </c>
      <c r="N1356" s="5">
        <v>0</v>
      </c>
      <c r="O1356" s="5">
        <v>596.52</v>
      </c>
      <c r="P1356" s="6">
        <v>0</v>
      </c>
    </row>
    <row r="1357" spans="1:16" ht="23.4" x14ac:dyDescent="0.45">
      <c r="A1357" s="4" t="s">
        <v>1347</v>
      </c>
      <c r="B1357" s="5" t="s">
        <v>9</v>
      </c>
      <c r="C1357" s="5">
        <v>150620.94</v>
      </c>
      <c r="D1357" s="5">
        <v>47</v>
      </c>
      <c r="E1357" s="5">
        <v>1</v>
      </c>
      <c r="F1357" s="5">
        <v>0.68959999999999999</v>
      </c>
      <c r="G1357" s="5">
        <v>0.48139999999999999</v>
      </c>
      <c r="H1357" s="5">
        <v>5</v>
      </c>
      <c r="I1357" s="5">
        <v>97277.43</v>
      </c>
      <c r="J1357" s="5">
        <v>62902.03</v>
      </c>
      <c r="K1357" s="5">
        <v>51</v>
      </c>
      <c r="L1357" s="5">
        <v>2</v>
      </c>
      <c r="M1357" s="5">
        <v>3</v>
      </c>
      <c r="N1357" s="5">
        <v>1</v>
      </c>
      <c r="O1357" s="5">
        <v>812.31</v>
      </c>
      <c r="P1357" s="6">
        <v>0</v>
      </c>
    </row>
    <row r="1358" spans="1:16" ht="23.4" x14ac:dyDescent="0.45">
      <c r="A1358" s="4" t="s">
        <v>1348</v>
      </c>
      <c r="B1358" s="5" t="s">
        <v>6</v>
      </c>
      <c r="C1358" s="5">
        <v>117432.83</v>
      </c>
      <c r="D1358" s="5">
        <v>24</v>
      </c>
      <c r="E1358" s="5">
        <v>1</v>
      </c>
      <c r="F1358" s="5">
        <v>0.59319999999999995</v>
      </c>
      <c r="G1358" s="5">
        <v>0.65690000000000004</v>
      </c>
      <c r="H1358" s="5">
        <v>5</v>
      </c>
      <c r="I1358" s="5">
        <v>103158.87</v>
      </c>
      <c r="J1358" s="5">
        <v>60774.44</v>
      </c>
      <c r="K1358" s="5">
        <v>52</v>
      </c>
      <c r="L1358" s="5">
        <v>1</v>
      </c>
      <c r="M1358" s="5">
        <v>1</v>
      </c>
      <c r="N1358" s="5">
        <v>1</v>
      </c>
      <c r="O1358" s="5">
        <v>829.81</v>
      </c>
      <c r="P1358" s="6">
        <v>0</v>
      </c>
    </row>
    <row r="1359" spans="1:16" ht="23.4" x14ac:dyDescent="0.45">
      <c r="A1359" s="4" t="s">
        <v>1349</v>
      </c>
      <c r="B1359" s="5" t="s">
        <v>9</v>
      </c>
      <c r="C1359" s="5">
        <v>166811.13</v>
      </c>
      <c r="D1359" s="5">
        <v>55</v>
      </c>
      <c r="E1359" s="5">
        <v>0</v>
      </c>
      <c r="F1359" s="5">
        <v>1</v>
      </c>
      <c r="G1359" s="5">
        <v>0.19600000000000001</v>
      </c>
      <c r="H1359" s="5">
        <v>0</v>
      </c>
      <c r="I1359" s="5">
        <v>44990.26</v>
      </c>
      <c r="J1359" s="5">
        <v>42932.54</v>
      </c>
      <c r="K1359" s="5">
        <v>149</v>
      </c>
      <c r="L1359" s="5">
        <v>2</v>
      </c>
      <c r="M1359" s="5">
        <v>2</v>
      </c>
      <c r="N1359" s="5">
        <v>0</v>
      </c>
      <c r="O1359" s="5">
        <v>774.52</v>
      </c>
      <c r="P1359" s="6">
        <v>0</v>
      </c>
    </row>
    <row r="1360" spans="1:16" ht="23.4" x14ac:dyDescent="0.45">
      <c r="A1360" s="4" t="s">
        <v>1350</v>
      </c>
      <c r="B1360" s="5" t="s">
        <v>6</v>
      </c>
      <c r="C1360" s="5">
        <v>88587.7</v>
      </c>
      <c r="D1360" s="5">
        <v>32</v>
      </c>
      <c r="E1360" s="5">
        <v>0</v>
      </c>
      <c r="F1360" s="5">
        <v>0.70650000000000002</v>
      </c>
      <c r="G1360" s="5">
        <v>0.68959999999999999</v>
      </c>
      <c r="H1360" s="5">
        <v>0</v>
      </c>
      <c r="I1360" s="5">
        <v>82457.53</v>
      </c>
      <c r="J1360" s="5">
        <v>65617.19</v>
      </c>
      <c r="K1360" s="5">
        <v>28</v>
      </c>
      <c r="L1360" s="5">
        <v>1</v>
      </c>
      <c r="M1360" s="5">
        <v>1</v>
      </c>
      <c r="N1360" s="5">
        <v>1</v>
      </c>
      <c r="O1360" s="5">
        <v>734.44</v>
      </c>
      <c r="P1360" s="6">
        <v>0</v>
      </c>
    </row>
    <row r="1361" spans="1:16" ht="23.4" x14ac:dyDescent="0.45">
      <c r="A1361" s="4" t="s">
        <v>1351</v>
      </c>
      <c r="B1361" s="5" t="s">
        <v>9</v>
      </c>
      <c r="C1361" s="5">
        <v>101561.48</v>
      </c>
      <c r="D1361" s="5">
        <v>49</v>
      </c>
      <c r="E1361" s="5">
        <v>1</v>
      </c>
      <c r="F1361" s="5">
        <v>0.94530000000000003</v>
      </c>
      <c r="G1361" s="5">
        <v>0.50660000000000005</v>
      </c>
      <c r="H1361" s="5">
        <v>3</v>
      </c>
      <c r="I1361" s="5">
        <v>55130.5</v>
      </c>
      <c r="J1361" s="5">
        <v>50554.82</v>
      </c>
      <c r="K1361" s="5">
        <v>86</v>
      </c>
      <c r="L1361" s="5">
        <v>2</v>
      </c>
      <c r="M1361" s="5">
        <v>1</v>
      </c>
      <c r="N1361" s="5">
        <v>1</v>
      </c>
      <c r="O1361" s="5">
        <v>750.32</v>
      </c>
      <c r="P1361" s="6">
        <v>0</v>
      </c>
    </row>
    <row r="1362" spans="1:16" ht="23.4" x14ac:dyDescent="0.45">
      <c r="A1362" s="4" t="s">
        <v>1352</v>
      </c>
      <c r="B1362" s="5" t="s">
        <v>6</v>
      </c>
      <c r="C1362" s="5">
        <v>121561.08</v>
      </c>
      <c r="D1362" s="5">
        <v>53</v>
      </c>
      <c r="E1362" s="5">
        <v>1</v>
      </c>
      <c r="F1362" s="5">
        <v>0.44479999999999997</v>
      </c>
      <c r="G1362" s="5">
        <v>0.20660000000000001</v>
      </c>
      <c r="H1362" s="5">
        <v>1</v>
      </c>
      <c r="I1362" s="5">
        <v>19533.849999999999</v>
      </c>
      <c r="J1362" s="5">
        <v>0</v>
      </c>
      <c r="K1362" s="5">
        <v>64</v>
      </c>
      <c r="L1362" s="5">
        <v>3</v>
      </c>
      <c r="M1362" s="5">
        <v>1</v>
      </c>
      <c r="N1362" s="5">
        <v>1</v>
      </c>
      <c r="O1362" s="5">
        <v>607.97</v>
      </c>
      <c r="P1362" s="6">
        <v>0</v>
      </c>
    </row>
    <row r="1363" spans="1:16" ht="23.4" x14ac:dyDescent="0.45">
      <c r="A1363" s="4" t="s">
        <v>1353</v>
      </c>
      <c r="B1363" s="5" t="s">
        <v>15</v>
      </c>
      <c r="C1363" s="5">
        <v>101930.93</v>
      </c>
      <c r="D1363" s="5">
        <v>47</v>
      </c>
      <c r="E1363" s="5">
        <v>1</v>
      </c>
      <c r="F1363" s="5">
        <v>0.5494</v>
      </c>
      <c r="G1363" s="5">
        <v>0.67849999999999999</v>
      </c>
      <c r="H1363" s="5">
        <v>3</v>
      </c>
      <c r="I1363" s="5">
        <v>85840.36</v>
      </c>
      <c r="J1363" s="5">
        <v>64580.22</v>
      </c>
      <c r="K1363" s="5">
        <v>28</v>
      </c>
      <c r="L1363" s="5">
        <v>4</v>
      </c>
      <c r="M1363" s="5">
        <v>2</v>
      </c>
      <c r="N1363" s="5">
        <v>1</v>
      </c>
      <c r="O1363" s="5">
        <v>737.44</v>
      </c>
      <c r="P1363" s="6">
        <v>0</v>
      </c>
    </row>
    <row r="1364" spans="1:16" ht="23.4" x14ac:dyDescent="0.45">
      <c r="A1364" s="4" t="s">
        <v>1354</v>
      </c>
      <c r="B1364" s="5" t="s">
        <v>6</v>
      </c>
      <c r="C1364" s="5">
        <v>9732.61</v>
      </c>
      <c r="D1364" s="5">
        <v>55</v>
      </c>
      <c r="E1364" s="5">
        <v>0</v>
      </c>
      <c r="F1364" s="5">
        <v>0.75849999999999995</v>
      </c>
      <c r="G1364" s="5">
        <v>0.86750000000000005</v>
      </c>
      <c r="H1364" s="5">
        <v>7</v>
      </c>
      <c r="I1364" s="5">
        <v>7556.91</v>
      </c>
      <c r="J1364" s="5">
        <v>2288.09</v>
      </c>
      <c r="K1364" s="5">
        <v>72</v>
      </c>
      <c r="L1364" s="5">
        <v>1</v>
      </c>
      <c r="M1364" s="5">
        <v>1</v>
      </c>
      <c r="N1364" s="5">
        <v>1</v>
      </c>
      <c r="O1364" s="5">
        <v>640.25</v>
      </c>
      <c r="P1364" s="6">
        <v>0</v>
      </c>
    </row>
    <row r="1365" spans="1:16" ht="23.4" x14ac:dyDescent="0.45">
      <c r="A1365" s="4" t="s">
        <v>1355</v>
      </c>
      <c r="B1365" s="5" t="s">
        <v>6</v>
      </c>
      <c r="C1365" s="5">
        <v>50788.76</v>
      </c>
      <c r="D1365" s="5">
        <v>25</v>
      </c>
      <c r="E1365" s="5">
        <v>0</v>
      </c>
      <c r="F1365" s="5">
        <v>0.53549999999999998</v>
      </c>
      <c r="G1365" s="5">
        <v>0.4415</v>
      </c>
      <c r="H1365" s="5">
        <v>6</v>
      </c>
      <c r="I1365" s="5">
        <v>17640.13</v>
      </c>
      <c r="J1365" s="5">
        <v>9671.31</v>
      </c>
      <c r="K1365" s="5">
        <v>140</v>
      </c>
      <c r="L1365" s="5">
        <v>3</v>
      </c>
      <c r="M1365" s="5">
        <v>2</v>
      </c>
      <c r="N1365" s="5">
        <v>0</v>
      </c>
      <c r="O1365" s="5">
        <v>615.13</v>
      </c>
      <c r="P1365" s="6">
        <v>0</v>
      </c>
    </row>
    <row r="1366" spans="1:16" ht="23.4" x14ac:dyDescent="0.45">
      <c r="A1366" s="4" t="s">
        <v>1356</v>
      </c>
      <c r="B1366" s="5" t="s">
        <v>6</v>
      </c>
      <c r="C1366" s="5">
        <v>76038.84</v>
      </c>
      <c r="D1366" s="5">
        <v>38</v>
      </c>
      <c r="E1366" s="5">
        <v>0</v>
      </c>
      <c r="F1366" s="5">
        <v>0.73380000000000001</v>
      </c>
      <c r="G1366" s="5">
        <v>0.66500000000000004</v>
      </c>
      <c r="H1366" s="5">
        <v>4</v>
      </c>
      <c r="I1366" s="5">
        <v>50086.31</v>
      </c>
      <c r="J1366" s="5">
        <v>26020.44</v>
      </c>
      <c r="K1366" s="5">
        <v>156</v>
      </c>
      <c r="L1366" s="5">
        <v>2</v>
      </c>
      <c r="M1366" s="5">
        <v>3</v>
      </c>
      <c r="N1366" s="5">
        <v>3</v>
      </c>
      <c r="O1366" s="5">
        <v>792.29</v>
      </c>
      <c r="P1366" s="6">
        <v>0</v>
      </c>
    </row>
    <row r="1367" spans="1:16" ht="23.4" x14ac:dyDescent="0.45">
      <c r="A1367" s="4" t="s">
        <v>1357</v>
      </c>
      <c r="B1367" s="5" t="s">
        <v>6</v>
      </c>
      <c r="C1367" s="5">
        <v>24182.33</v>
      </c>
      <c r="D1367" s="5">
        <v>56</v>
      </c>
      <c r="E1367" s="5">
        <v>1</v>
      </c>
      <c r="F1367" s="5">
        <v>0.65869999999999995</v>
      </c>
      <c r="G1367" s="5">
        <v>0.54720000000000002</v>
      </c>
      <c r="H1367" s="5">
        <v>4</v>
      </c>
      <c r="I1367" s="5">
        <v>500</v>
      </c>
      <c r="J1367" s="5">
        <v>17678.59</v>
      </c>
      <c r="K1367" s="5">
        <v>82</v>
      </c>
      <c r="L1367" s="5">
        <v>2</v>
      </c>
      <c r="M1367" s="5">
        <v>1</v>
      </c>
      <c r="N1367" s="5">
        <v>0</v>
      </c>
      <c r="O1367" s="5">
        <v>669.99</v>
      </c>
      <c r="P1367" s="6">
        <v>0</v>
      </c>
    </row>
    <row r="1368" spans="1:16" ht="23.4" x14ac:dyDescent="0.45">
      <c r="A1368" s="4" t="s">
        <v>1358</v>
      </c>
      <c r="B1368" s="5" t="s">
        <v>4</v>
      </c>
      <c r="C1368" s="5">
        <v>44048.19</v>
      </c>
      <c r="D1368" s="5">
        <v>38</v>
      </c>
      <c r="E1368" s="5">
        <v>1</v>
      </c>
      <c r="F1368" s="5">
        <v>0.77280000000000004</v>
      </c>
      <c r="G1368" s="5">
        <v>0.32979999999999998</v>
      </c>
      <c r="H1368" s="5">
        <v>0</v>
      </c>
      <c r="I1368" s="5">
        <v>1653.63</v>
      </c>
      <c r="J1368" s="5">
        <v>3451.79</v>
      </c>
      <c r="K1368" s="5">
        <v>26</v>
      </c>
      <c r="L1368" s="5">
        <v>2</v>
      </c>
      <c r="M1368" s="5">
        <v>1</v>
      </c>
      <c r="N1368" s="5">
        <v>0</v>
      </c>
      <c r="O1368" s="5">
        <v>762.25</v>
      </c>
      <c r="P1368" s="6">
        <v>0</v>
      </c>
    </row>
    <row r="1369" spans="1:16" ht="23.4" x14ac:dyDescent="0.45">
      <c r="A1369" s="4" t="s">
        <v>1359</v>
      </c>
      <c r="B1369" s="5" t="s">
        <v>6</v>
      </c>
      <c r="C1369" s="5">
        <v>166589.63</v>
      </c>
      <c r="D1369" s="5">
        <v>55</v>
      </c>
      <c r="E1369" s="5">
        <v>0</v>
      </c>
      <c r="F1369" s="5">
        <v>1</v>
      </c>
      <c r="G1369" s="5">
        <v>0.1918</v>
      </c>
      <c r="H1369" s="5">
        <v>1</v>
      </c>
      <c r="I1369" s="5">
        <v>35901.769999999997</v>
      </c>
      <c r="J1369" s="5">
        <v>23975.35</v>
      </c>
      <c r="K1369" s="5">
        <v>13</v>
      </c>
      <c r="L1369" s="5">
        <v>2</v>
      </c>
      <c r="M1369" s="5">
        <v>2</v>
      </c>
      <c r="N1369" s="5">
        <v>2</v>
      </c>
      <c r="O1369" s="5">
        <v>717.25</v>
      </c>
      <c r="P1369" s="6">
        <v>0</v>
      </c>
    </row>
    <row r="1370" spans="1:16" ht="23.4" x14ac:dyDescent="0.45">
      <c r="A1370" s="4" t="s">
        <v>1360</v>
      </c>
      <c r="B1370" s="5" t="s">
        <v>4</v>
      </c>
      <c r="C1370" s="5">
        <v>107900.41</v>
      </c>
      <c r="D1370" s="5">
        <v>70</v>
      </c>
      <c r="E1370" s="5">
        <v>0</v>
      </c>
      <c r="F1370" s="5">
        <v>0.74590000000000001</v>
      </c>
      <c r="G1370" s="5">
        <v>0.15260000000000001</v>
      </c>
      <c r="H1370" s="5">
        <v>1</v>
      </c>
      <c r="I1370" s="5">
        <v>500</v>
      </c>
      <c r="J1370" s="5">
        <v>0</v>
      </c>
      <c r="K1370" s="5">
        <v>42</v>
      </c>
      <c r="L1370" s="5">
        <v>1</v>
      </c>
      <c r="M1370" s="5">
        <v>1</v>
      </c>
      <c r="N1370" s="5">
        <v>2</v>
      </c>
      <c r="O1370" s="5">
        <v>719.02</v>
      </c>
      <c r="P1370" s="6">
        <v>0</v>
      </c>
    </row>
    <row r="1371" spans="1:16" ht="23.4" x14ac:dyDescent="0.45">
      <c r="A1371" s="4" t="s">
        <v>1361</v>
      </c>
      <c r="B1371" s="5" t="s">
        <v>15</v>
      </c>
      <c r="C1371" s="5">
        <v>76356.72</v>
      </c>
      <c r="D1371" s="5">
        <v>31</v>
      </c>
      <c r="E1371" s="5">
        <v>0</v>
      </c>
      <c r="F1371" s="5">
        <v>0.56389999999999996</v>
      </c>
      <c r="G1371" s="5">
        <v>0.20979999999999999</v>
      </c>
      <c r="H1371" s="5">
        <v>0</v>
      </c>
      <c r="I1371" s="5">
        <v>500</v>
      </c>
      <c r="J1371" s="5">
        <v>0</v>
      </c>
      <c r="K1371" s="5">
        <v>74</v>
      </c>
      <c r="L1371" s="5">
        <v>2</v>
      </c>
      <c r="M1371" s="5">
        <v>1</v>
      </c>
      <c r="N1371" s="5">
        <v>0</v>
      </c>
      <c r="O1371" s="5">
        <v>824.57</v>
      </c>
      <c r="P1371" s="6">
        <v>1</v>
      </c>
    </row>
    <row r="1372" spans="1:16" ht="23.4" x14ac:dyDescent="0.45">
      <c r="A1372" s="4" t="s">
        <v>1362</v>
      </c>
      <c r="B1372" s="5" t="s">
        <v>6</v>
      </c>
      <c r="C1372" s="5">
        <v>111056.6</v>
      </c>
      <c r="D1372" s="5">
        <v>49</v>
      </c>
      <c r="E1372" s="5">
        <v>0</v>
      </c>
      <c r="F1372" s="5">
        <v>0.75349999999999995</v>
      </c>
      <c r="G1372" s="5">
        <v>0.75639999999999996</v>
      </c>
      <c r="H1372" s="5">
        <v>2</v>
      </c>
      <c r="I1372" s="5">
        <v>95418.35</v>
      </c>
      <c r="J1372" s="5">
        <v>62509.45</v>
      </c>
      <c r="K1372" s="5">
        <v>21</v>
      </c>
      <c r="L1372" s="5">
        <v>1</v>
      </c>
      <c r="M1372" s="5">
        <v>2</v>
      </c>
      <c r="N1372" s="5">
        <v>1</v>
      </c>
      <c r="O1372" s="5">
        <v>673.89</v>
      </c>
      <c r="P1372" s="6">
        <v>0</v>
      </c>
    </row>
    <row r="1373" spans="1:16" ht="23.4" x14ac:dyDescent="0.45">
      <c r="A1373" s="4" t="s">
        <v>1363</v>
      </c>
      <c r="B1373" s="5" t="s">
        <v>4</v>
      </c>
      <c r="C1373" s="5">
        <v>76194.149999999994</v>
      </c>
      <c r="D1373" s="5">
        <v>42</v>
      </c>
      <c r="E1373" s="5">
        <v>0</v>
      </c>
      <c r="F1373" s="5">
        <v>0.77029999999999998</v>
      </c>
      <c r="G1373" s="5">
        <v>0.78879999999999995</v>
      </c>
      <c r="H1373" s="5">
        <v>6</v>
      </c>
      <c r="I1373" s="5">
        <v>88217.82</v>
      </c>
      <c r="J1373" s="5">
        <v>73880.84</v>
      </c>
      <c r="K1373" s="5">
        <v>156</v>
      </c>
      <c r="L1373" s="5">
        <v>1</v>
      </c>
      <c r="M1373" s="5">
        <v>2</v>
      </c>
      <c r="N1373" s="5">
        <v>1</v>
      </c>
      <c r="O1373" s="5">
        <v>661.12</v>
      </c>
      <c r="P1373" s="6">
        <v>1</v>
      </c>
    </row>
    <row r="1374" spans="1:16" ht="23.4" x14ac:dyDescent="0.45">
      <c r="A1374" s="4" t="s">
        <v>1364</v>
      </c>
      <c r="B1374" s="5" t="s">
        <v>9</v>
      </c>
      <c r="C1374" s="5">
        <v>67189.61</v>
      </c>
      <c r="D1374" s="5">
        <v>52</v>
      </c>
      <c r="E1374" s="5">
        <v>0</v>
      </c>
      <c r="F1374" s="5">
        <v>1</v>
      </c>
      <c r="G1374" s="5">
        <v>0.61890000000000001</v>
      </c>
      <c r="H1374" s="5">
        <v>5</v>
      </c>
      <c r="I1374" s="5">
        <v>44428.76</v>
      </c>
      <c r="J1374" s="5">
        <v>39466.69</v>
      </c>
      <c r="K1374" s="5">
        <v>158</v>
      </c>
      <c r="L1374" s="5">
        <v>2</v>
      </c>
      <c r="M1374" s="5">
        <v>3</v>
      </c>
      <c r="N1374" s="5">
        <v>1</v>
      </c>
      <c r="O1374" s="5">
        <v>672.09</v>
      </c>
      <c r="P1374" s="6">
        <v>0</v>
      </c>
    </row>
    <row r="1375" spans="1:16" ht="23.4" x14ac:dyDescent="0.45">
      <c r="A1375" s="4" t="s">
        <v>1365</v>
      </c>
      <c r="B1375" s="5" t="s">
        <v>18</v>
      </c>
      <c r="C1375" s="5">
        <v>67000.02</v>
      </c>
      <c r="D1375" s="5">
        <v>35</v>
      </c>
      <c r="E1375" s="5">
        <v>0</v>
      </c>
      <c r="F1375" s="5">
        <v>0.51149999999999995</v>
      </c>
      <c r="G1375" s="5">
        <v>0</v>
      </c>
      <c r="H1375" s="5">
        <v>6</v>
      </c>
      <c r="I1375" s="5">
        <v>12716.99</v>
      </c>
      <c r="J1375" s="5">
        <v>4853.5</v>
      </c>
      <c r="K1375" s="5">
        <v>61</v>
      </c>
      <c r="L1375" s="5">
        <v>4</v>
      </c>
      <c r="M1375" s="5">
        <v>2</v>
      </c>
      <c r="N1375" s="5">
        <v>0</v>
      </c>
      <c r="O1375" s="5">
        <v>799.11</v>
      </c>
      <c r="P1375" s="6">
        <v>0</v>
      </c>
    </row>
    <row r="1376" spans="1:16" ht="23.4" x14ac:dyDescent="0.45">
      <c r="A1376" s="4" t="s">
        <v>1366</v>
      </c>
      <c r="B1376" s="5" t="s">
        <v>9</v>
      </c>
      <c r="C1376" s="5">
        <v>86930.3</v>
      </c>
      <c r="D1376" s="5">
        <v>43</v>
      </c>
      <c r="E1376" s="5">
        <v>0</v>
      </c>
      <c r="F1376" s="5">
        <v>0.69259999999999999</v>
      </c>
      <c r="G1376" s="5">
        <v>0.44440000000000002</v>
      </c>
      <c r="H1376" s="5">
        <v>3</v>
      </c>
      <c r="I1376" s="5">
        <v>39643.57</v>
      </c>
      <c r="J1376" s="5">
        <v>29224.37</v>
      </c>
      <c r="K1376" s="5">
        <v>162</v>
      </c>
      <c r="L1376" s="5">
        <v>2</v>
      </c>
      <c r="M1376" s="5">
        <v>2</v>
      </c>
      <c r="N1376" s="5">
        <v>0</v>
      </c>
      <c r="O1376" s="5">
        <v>616.34</v>
      </c>
      <c r="P1376" s="6">
        <v>0</v>
      </c>
    </row>
    <row r="1377" spans="1:16" ht="23.4" x14ac:dyDescent="0.45">
      <c r="A1377" s="4" t="s">
        <v>1292</v>
      </c>
      <c r="B1377" s="5" t="s">
        <v>4</v>
      </c>
      <c r="C1377" s="5">
        <v>73226.89</v>
      </c>
      <c r="D1377" s="5">
        <v>35</v>
      </c>
      <c r="E1377" s="5">
        <v>1</v>
      </c>
      <c r="F1377" s="5">
        <v>0.88090000000000002</v>
      </c>
      <c r="G1377" s="5">
        <v>0.38650000000000001</v>
      </c>
      <c r="H1377" s="5">
        <v>0</v>
      </c>
      <c r="I1377" s="5">
        <v>7319.38</v>
      </c>
      <c r="J1377" s="5">
        <v>12815.13</v>
      </c>
      <c r="K1377" s="5">
        <v>68</v>
      </c>
      <c r="L1377" s="5">
        <v>3</v>
      </c>
      <c r="M1377" s="5">
        <v>2</v>
      </c>
      <c r="N1377" s="5">
        <v>0</v>
      </c>
      <c r="O1377" s="5">
        <v>710.67</v>
      </c>
      <c r="P1377" s="6">
        <v>0</v>
      </c>
    </row>
    <row r="1378" spans="1:16" ht="23.4" x14ac:dyDescent="0.45">
      <c r="A1378" s="4" t="s">
        <v>1367</v>
      </c>
      <c r="B1378" s="5" t="s">
        <v>6</v>
      </c>
      <c r="C1378" s="5">
        <v>81080.05</v>
      </c>
      <c r="D1378" s="5">
        <v>47</v>
      </c>
      <c r="E1378" s="5">
        <v>0</v>
      </c>
      <c r="F1378" s="5">
        <v>0.73370000000000002</v>
      </c>
      <c r="G1378" s="5">
        <v>0.71619999999999995</v>
      </c>
      <c r="H1378" s="5">
        <v>3</v>
      </c>
      <c r="I1378" s="5">
        <v>39016.550000000003</v>
      </c>
      <c r="J1378" s="5">
        <v>21668.77</v>
      </c>
      <c r="K1378" s="5">
        <v>107</v>
      </c>
      <c r="L1378" s="5">
        <v>2</v>
      </c>
      <c r="M1378" s="5">
        <v>3</v>
      </c>
      <c r="N1378" s="5">
        <v>2</v>
      </c>
      <c r="O1378" s="5">
        <v>658.31</v>
      </c>
      <c r="P1378" s="6">
        <v>0</v>
      </c>
    </row>
    <row r="1379" spans="1:16" ht="23.4" x14ac:dyDescent="0.45">
      <c r="A1379" s="4" t="s">
        <v>1368</v>
      </c>
      <c r="B1379" s="5" t="s">
        <v>6</v>
      </c>
      <c r="C1379" s="5">
        <v>84823.07</v>
      </c>
      <c r="D1379" s="5">
        <v>49</v>
      </c>
      <c r="E1379" s="5">
        <v>1</v>
      </c>
      <c r="F1379" s="5">
        <v>0.64049999999999996</v>
      </c>
      <c r="G1379" s="5">
        <v>0.41060000000000002</v>
      </c>
      <c r="H1379" s="5">
        <v>2</v>
      </c>
      <c r="I1379" s="5">
        <v>24318.91</v>
      </c>
      <c r="J1379" s="5">
        <v>9707.18</v>
      </c>
      <c r="K1379" s="5">
        <v>180</v>
      </c>
      <c r="L1379" s="5">
        <v>1</v>
      </c>
      <c r="M1379" s="5">
        <v>2</v>
      </c>
      <c r="N1379" s="5">
        <v>0</v>
      </c>
      <c r="O1379" s="5">
        <v>700.25</v>
      </c>
      <c r="P1379" s="6">
        <v>0</v>
      </c>
    </row>
    <row r="1380" spans="1:16" ht="23.4" x14ac:dyDescent="0.45">
      <c r="A1380" s="4" t="s">
        <v>1369</v>
      </c>
      <c r="B1380" s="5" t="s">
        <v>6</v>
      </c>
      <c r="C1380" s="5">
        <v>112303.2</v>
      </c>
      <c r="D1380" s="5">
        <v>65</v>
      </c>
      <c r="E1380" s="5">
        <v>0</v>
      </c>
      <c r="F1380" s="5">
        <v>0.56040000000000001</v>
      </c>
      <c r="G1380" s="5">
        <v>0.63590000000000002</v>
      </c>
      <c r="H1380" s="5">
        <v>3</v>
      </c>
      <c r="I1380" s="5">
        <v>71590.14</v>
      </c>
      <c r="J1380" s="5">
        <v>45273.62</v>
      </c>
      <c r="K1380" s="5">
        <v>131</v>
      </c>
      <c r="L1380" s="5">
        <v>2</v>
      </c>
      <c r="M1380" s="5">
        <v>2</v>
      </c>
      <c r="N1380" s="5">
        <v>2</v>
      </c>
      <c r="O1380" s="5">
        <v>662.53</v>
      </c>
      <c r="P1380" s="6">
        <v>0</v>
      </c>
    </row>
    <row r="1381" spans="1:16" ht="23.4" x14ac:dyDescent="0.45">
      <c r="A1381" s="4" t="s">
        <v>1370</v>
      </c>
      <c r="B1381" s="5" t="s">
        <v>4</v>
      </c>
      <c r="C1381" s="5">
        <v>94939.68</v>
      </c>
      <c r="D1381" s="5">
        <v>43</v>
      </c>
      <c r="E1381" s="5">
        <v>1</v>
      </c>
      <c r="F1381" s="5">
        <v>0.73680000000000001</v>
      </c>
      <c r="G1381" s="5">
        <v>0.31430000000000002</v>
      </c>
      <c r="H1381" s="5">
        <v>3</v>
      </c>
      <c r="I1381" s="5">
        <v>44090.85</v>
      </c>
      <c r="J1381" s="5">
        <v>30081.96</v>
      </c>
      <c r="K1381" s="5">
        <v>53</v>
      </c>
      <c r="L1381" s="5">
        <v>1</v>
      </c>
      <c r="M1381" s="5">
        <v>1</v>
      </c>
      <c r="N1381" s="5">
        <v>0</v>
      </c>
      <c r="O1381" s="5">
        <v>841.64</v>
      </c>
      <c r="P1381" s="6">
        <v>0</v>
      </c>
    </row>
    <row r="1382" spans="1:16" ht="23.4" x14ac:dyDescent="0.45">
      <c r="A1382" s="4" t="s">
        <v>1371</v>
      </c>
      <c r="B1382" s="5" t="s">
        <v>18</v>
      </c>
      <c r="C1382" s="5">
        <v>43977.38</v>
      </c>
      <c r="D1382" s="5">
        <v>57</v>
      </c>
      <c r="E1382" s="5">
        <v>1</v>
      </c>
      <c r="F1382" s="5">
        <v>0.48830000000000001</v>
      </c>
      <c r="G1382" s="5">
        <v>0.35809999999999997</v>
      </c>
      <c r="H1382" s="5">
        <v>1</v>
      </c>
      <c r="I1382" s="5">
        <v>18892.48</v>
      </c>
      <c r="J1382" s="5">
        <v>4593.9399999999996</v>
      </c>
      <c r="K1382" s="5">
        <v>30</v>
      </c>
      <c r="L1382" s="5">
        <v>1</v>
      </c>
      <c r="M1382" s="5">
        <v>2</v>
      </c>
      <c r="N1382" s="5">
        <v>0</v>
      </c>
      <c r="O1382" s="5">
        <v>803.37</v>
      </c>
      <c r="P1382" s="6">
        <v>0</v>
      </c>
    </row>
    <row r="1383" spans="1:16" ht="23.4" x14ac:dyDescent="0.45">
      <c r="A1383" s="4" t="s">
        <v>1372</v>
      </c>
      <c r="B1383" s="5" t="s">
        <v>4</v>
      </c>
      <c r="C1383" s="5">
        <v>113664.68</v>
      </c>
      <c r="D1383" s="5">
        <v>64</v>
      </c>
      <c r="E1383" s="5">
        <v>1</v>
      </c>
      <c r="F1383" s="5">
        <v>0.84340000000000004</v>
      </c>
      <c r="G1383" s="5">
        <v>0.45379999999999998</v>
      </c>
      <c r="H1383" s="5">
        <v>0</v>
      </c>
      <c r="I1383" s="5">
        <v>22786.28</v>
      </c>
      <c r="J1383" s="5">
        <v>9033.41</v>
      </c>
      <c r="K1383" s="5">
        <v>70</v>
      </c>
      <c r="L1383" s="5">
        <v>1</v>
      </c>
      <c r="M1383" s="5">
        <v>1</v>
      </c>
      <c r="N1383" s="5">
        <v>2</v>
      </c>
      <c r="O1383" s="5">
        <v>693.6</v>
      </c>
      <c r="P1383" s="6">
        <v>0</v>
      </c>
    </row>
    <row r="1384" spans="1:16" ht="23.4" x14ac:dyDescent="0.45">
      <c r="A1384" s="4" t="s">
        <v>1373</v>
      </c>
      <c r="B1384" s="5" t="s">
        <v>15</v>
      </c>
      <c r="C1384" s="5">
        <v>65236.74</v>
      </c>
      <c r="D1384" s="5">
        <v>29</v>
      </c>
      <c r="E1384" s="5">
        <v>1</v>
      </c>
      <c r="F1384" s="5">
        <v>0.78810000000000002</v>
      </c>
      <c r="G1384" s="5">
        <v>0.37869999999999998</v>
      </c>
      <c r="H1384" s="5">
        <v>2</v>
      </c>
      <c r="I1384" s="5">
        <v>35476.18</v>
      </c>
      <c r="J1384" s="5">
        <v>20998.42</v>
      </c>
      <c r="K1384" s="5">
        <v>122</v>
      </c>
      <c r="L1384" s="5">
        <v>1</v>
      </c>
      <c r="M1384" s="5">
        <v>2</v>
      </c>
      <c r="N1384" s="5">
        <v>1</v>
      </c>
      <c r="O1384" s="5">
        <v>732.92</v>
      </c>
      <c r="P1384" s="6">
        <v>0</v>
      </c>
    </row>
    <row r="1385" spans="1:16" ht="23.4" x14ac:dyDescent="0.45">
      <c r="A1385" s="4" t="s">
        <v>1374</v>
      </c>
      <c r="B1385" s="5" t="s">
        <v>6</v>
      </c>
      <c r="C1385" s="5">
        <v>35447.379999999997</v>
      </c>
      <c r="D1385" s="5">
        <v>57</v>
      </c>
      <c r="E1385" s="5">
        <v>1</v>
      </c>
      <c r="F1385" s="5">
        <v>0.75490000000000002</v>
      </c>
      <c r="G1385" s="5">
        <v>0.31780000000000003</v>
      </c>
      <c r="H1385" s="5">
        <v>0</v>
      </c>
      <c r="I1385" s="5">
        <v>500</v>
      </c>
      <c r="J1385" s="5">
        <v>0</v>
      </c>
      <c r="K1385" s="5">
        <v>17</v>
      </c>
      <c r="L1385" s="5">
        <v>1</v>
      </c>
      <c r="M1385" s="5">
        <v>2</v>
      </c>
      <c r="N1385" s="5">
        <v>0</v>
      </c>
      <c r="O1385" s="5">
        <v>731.97</v>
      </c>
      <c r="P1385" s="6">
        <v>0</v>
      </c>
    </row>
    <row r="1386" spans="1:16" ht="23.4" x14ac:dyDescent="0.45">
      <c r="A1386" s="4" t="s">
        <v>1375</v>
      </c>
      <c r="B1386" s="5" t="s">
        <v>6</v>
      </c>
      <c r="C1386" s="5">
        <v>92526.57</v>
      </c>
      <c r="D1386" s="5">
        <v>65</v>
      </c>
      <c r="E1386" s="5">
        <v>1</v>
      </c>
      <c r="F1386" s="5">
        <v>0.72350000000000003</v>
      </c>
      <c r="G1386" s="5">
        <v>0.55149999999999999</v>
      </c>
      <c r="H1386" s="5">
        <v>5</v>
      </c>
      <c r="I1386" s="5">
        <v>45043.35</v>
      </c>
      <c r="J1386" s="5">
        <v>30637.119999999999</v>
      </c>
      <c r="K1386" s="5">
        <v>124</v>
      </c>
      <c r="L1386" s="5">
        <v>4</v>
      </c>
      <c r="M1386" s="5">
        <v>2</v>
      </c>
      <c r="N1386" s="5">
        <v>1</v>
      </c>
      <c r="O1386" s="5">
        <v>784.61</v>
      </c>
      <c r="P1386" s="6">
        <v>0</v>
      </c>
    </row>
    <row r="1387" spans="1:16" ht="23.4" x14ac:dyDescent="0.45">
      <c r="A1387" s="4" t="s">
        <v>1376</v>
      </c>
      <c r="B1387" s="5" t="s">
        <v>15</v>
      </c>
      <c r="C1387" s="5">
        <v>159874.32999999999</v>
      </c>
      <c r="D1387" s="5">
        <v>43</v>
      </c>
      <c r="E1387" s="5">
        <v>0</v>
      </c>
      <c r="F1387" s="5">
        <v>0.77800000000000002</v>
      </c>
      <c r="G1387" s="5">
        <v>0.25019999999999998</v>
      </c>
      <c r="H1387" s="5">
        <v>2</v>
      </c>
      <c r="I1387" s="5">
        <v>38333.519999999997</v>
      </c>
      <c r="J1387" s="5">
        <v>31905.25</v>
      </c>
      <c r="K1387" s="5">
        <v>49</v>
      </c>
      <c r="L1387" s="5">
        <v>1</v>
      </c>
      <c r="M1387" s="5">
        <v>2</v>
      </c>
      <c r="N1387" s="5">
        <v>1</v>
      </c>
      <c r="O1387" s="5">
        <v>809.76</v>
      </c>
      <c r="P1387" s="6">
        <v>0</v>
      </c>
    </row>
    <row r="1388" spans="1:16" ht="23.4" x14ac:dyDescent="0.45">
      <c r="A1388" s="4" t="s">
        <v>1377</v>
      </c>
      <c r="B1388" s="5" t="s">
        <v>15</v>
      </c>
      <c r="C1388" s="5">
        <v>30618.19</v>
      </c>
      <c r="D1388" s="5">
        <v>28</v>
      </c>
      <c r="E1388" s="5">
        <v>0</v>
      </c>
      <c r="F1388" s="5">
        <v>1</v>
      </c>
      <c r="G1388" s="5">
        <v>0</v>
      </c>
      <c r="H1388" s="5">
        <v>0</v>
      </c>
      <c r="I1388" s="5">
        <v>500</v>
      </c>
      <c r="J1388" s="5">
        <v>0</v>
      </c>
      <c r="K1388" s="5">
        <v>150</v>
      </c>
      <c r="L1388" s="5">
        <v>1</v>
      </c>
      <c r="M1388" s="5">
        <v>1</v>
      </c>
      <c r="N1388" s="5">
        <v>0</v>
      </c>
      <c r="O1388" s="5">
        <v>701.52</v>
      </c>
      <c r="P1388" s="6">
        <v>0</v>
      </c>
    </row>
    <row r="1389" spans="1:16" ht="23.4" x14ac:dyDescent="0.45">
      <c r="A1389" s="4" t="s">
        <v>1378</v>
      </c>
      <c r="B1389" s="5" t="s">
        <v>6</v>
      </c>
      <c r="C1389" s="5">
        <v>111640.02</v>
      </c>
      <c r="D1389" s="5">
        <v>56</v>
      </c>
      <c r="E1389" s="5">
        <v>1</v>
      </c>
      <c r="F1389" s="5">
        <v>0.93230000000000002</v>
      </c>
      <c r="G1389" s="5">
        <v>0.56330000000000002</v>
      </c>
      <c r="H1389" s="5">
        <v>2</v>
      </c>
      <c r="I1389" s="5">
        <v>85928.35</v>
      </c>
      <c r="J1389" s="5">
        <v>63109.35</v>
      </c>
      <c r="K1389" s="5">
        <v>30</v>
      </c>
      <c r="L1389" s="5">
        <v>2</v>
      </c>
      <c r="M1389" s="5">
        <v>2</v>
      </c>
      <c r="N1389" s="5">
        <v>1</v>
      </c>
      <c r="O1389" s="5">
        <v>653.86</v>
      </c>
      <c r="P1389" s="6">
        <v>0</v>
      </c>
    </row>
    <row r="1390" spans="1:16" ht="23.4" x14ac:dyDescent="0.45">
      <c r="A1390" s="4" t="s">
        <v>1379</v>
      </c>
      <c r="B1390" s="5" t="s">
        <v>18</v>
      </c>
      <c r="C1390" s="5">
        <v>104543.58</v>
      </c>
      <c r="D1390" s="5">
        <v>51</v>
      </c>
      <c r="E1390" s="5">
        <v>0</v>
      </c>
      <c r="F1390" s="5">
        <v>0.25829999999999997</v>
      </c>
      <c r="G1390" s="5">
        <v>0</v>
      </c>
      <c r="H1390" s="5">
        <v>0</v>
      </c>
      <c r="I1390" s="5">
        <v>500</v>
      </c>
      <c r="J1390" s="5">
        <v>0</v>
      </c>
      <c r="K1390" s="5">
        <v>146</v>
      </c>
      <c r="L1390" s="5">
        <v>4</v>
      </c>
      <c r="M1390" s="5">
        <v>2</v>
      </c>
      <c r="N1390" s="5">
        <v>0</v>
      </c>
      <c r="O1390" s="5">
        <v>738.57</v>
      </c>
      <c r="P1390" s="6">
        <v>0</v>
      </c>
    </row>
    <row r="1391" spans="1:16" ht="23.4" x14ac:dyDescent="0.45">
      <c r="A1391" s="4" t="s">
        <v>1380</v>
      </c>
      <c r="B1391" s="5" t="s">
        <v>9</v>
      </c>
      <c r="C1391" s="5">
        <v>62064.61</v>
      </c>
      <c r="D1391" s="5">
        <v>53</v>
      </c>
      <c r="E1391" s="5">
        <v>0</v>
      </c>
      <c r="F1391" s="5">
        <v>0.61660000000000004</v>
      </c>
      <c r="G1391" s="5">
        <v>1</v>
      </c>
      <c r="H1391" s="5">
        <v>5</v>
      </c>
      <c r="I1391" s="5">
        <v>66674.5</v>
      </c>
      <c r="J1391" s="5">
        <v>51029.97</v>
      </c>
      <c r="K1391" s="5">
        <v>49</v>
      </c>
      <c r="L1391" s="5">
        <v>2</v>
      </c>
      <c r="M1391" s="5">
        <v>1</v>
      </c>
      <c r="N1391" s="5">
        <v>0</v>
      </c>
      <c r="O1391" s="5">
        <v>684.87</v>
      </c>
      <c r="P1391" s="6">
        <v>0</v>
      </c>
    </row>
    <row r="1392" spans="1:16" ht="23.4" x14ac:dyDescent="0.45">
      <c r="A1392" s="4" t="s">
        <v>1381</v>
      </c>
      <c r="B1392" s="5" t="s">
        <v>15</v>
      </c>
      <c r="C1392" s="5">
        <v>98487.81</v>
      </c>
      <c r="D1392" s="5">
        <v>29</v>
      </c>
      <c r="E1392" s="5">
        <v>0</v>
      </c>
      <c r="F1392" s="5">
        <v>0.86280000000000001</v>
      </c>
      <c r="G1392" s="5">
        <v>6.2899999999999998E-2</v>
      </c>
      <c r="H1392" s="5">
        <v>0</v>
      </c>
      <c r="I1392" s="5">
        <v>9153.64</v>
      </c>
      <c r="J1392" s="5">
        <v>18505.32</v>
      </c>
      <c r="K1392" s="5">
        <v>45</v>
      </c>
      <c r="L1392" s="5">
        <v>1</v>
      </c>
      <c r="M1392" s="5">
        <v>1</v>
      </c>
      <c r="N1392" s="5">
        <v>0</v>
      </c>
      <c r="O1392" s="5">
        <v>835.74</v>
      </c>
      <c r="P1392" s="6">
        <v>0</v>
      </c>
    </row>
    <row r="1393" spans="1:16" ht="23.4" x14ac:dyDescent="0.45">
      <c r="A1393" s="4" t="s">
        <v>1382</v>
      </c>
      <c r="B1393" s="5" t="s">
        <v>15</v>
      </c>
      <c r="C1393" s="5">
        <v>84810.36</v>
      </c>
      <c r="D1393" s="5">
        <v>68</v>
      </c>
      <c r="E1393" s="5">
        <v>1</v>
      </c>
      <c r="F1393" s="5">
        <v>0.91200000000000003</v>
      </c>
      <c r="G1393" s="5">
        <v>8.0699999999999994E-2</v>
      </c>
      <c r="H1393" s="5">
        <v>6</v>
      </c>
      <c r="I1393" s="5">
        <v>23176.400000000001</v>
      </c>
      <c r="J1393" s="5">
        <v>27834.9</v>
      </c>
      <c r="K1393" s="5">
        <v>56</v>
      </c>
      <c r="L1393" s="5">
        <v>2</v>
      </c>
      <c r="M1393" s="5">
        <v>2</v>
      </c>
      <c r="N1393" s="5">
        <v>1</v>
      </c>
      <c r="O1393" s="5">
        <v>731.76</v>
      </c>
      <c r="P1393" s="6">
        <v>0</v>
      </c>
    </row>
    <row r="1394" spans="1:16" ht="23.4" x14ac:dyDescent="0.45">
      <c r="A1394" s="4" t="s">
        <v>1383</v>
      </c>
      <c r="B1394" s="5" t="s">
        <v>1</v>
      </c>
      <c r="C1394" s="5">
        <v>134380.31</v>
      </c>
      <c r="D1394" s="5">
        <v>24</v>
      </c>
      <c r="E1394" s="5">
        <v>0</v>
      </c>
      <c r="F1394" s="5">
        <v>0.90369999999999995</v>
      </c>
      <c r="G1394" s="5">
        <v>0.3332</v>
      </c>
      <c r="H1394" s="5">
        <v>5</v>
      </c>
      <c r="I1394" s="5">
        <v>62128.44</v>
      </c>
      <c r="J1394" s="5">
        <v>59928.19</v>
      </c>
      <c r="K1394" s="5">
        <v>39</v>
      </c>
      <c r="L1394" s="5">
        <v>2</v>
      </c>
      <c r="M1394" s="5">
        <v>1</v>
      </c>
      <c r="N1394" s="5">
        <v>2</v>
      </c>
      <c r="O1394" s="5">
        <v>817.25</v>
      </c>
      <c r="P1394" s="6">
        <v>0</v>
      </c>
    </row>
    <row r="1395" spans="1:16" ht="23.4" x14ac:dyDescent="0.45">
      <c r="A1395" s="4" t="s">
        <v>1384</v>
      </c>
      <c r="B1395" s="5" t="s">
        <v>4</v>
      </c>
      <c r="C1395" s="5">
        <v>155881.60999999999</v>
      </c>
      <c r="D1395" s="5">
        <v>66</v>
      </c>
      <c r="E1395" s="5">
        <v>0</v>
      </c>
      <c r="F1395" s="5">
        <v>0.84750000000000003</v>
      </c>
      <c r="G1395" s="5">
        <v>0.90200000000000002</v>
      </c>
      <c r="H1395" s="5">
        <v>5</v>
      </c>
      <c r="I1395" s="5">
        <v>122883.23</v>
      </c>
      <c r="J1395" s="5">
        <v>76298.490000000005</v>
      </c>
      <c r="K1395" s="5">
        <v>110</v>
      </c>
      <c r="L1395" s="5">
        <v>1</v>
      </c>
      <c r="M1395" s="5">
        <v>1</v>
      </c>
      <c r="N1395" s="5">
        <v>1</v>
      </c>
      <c r="O1395" s="5">
        <v>741.25</v>
      </c>
      <c r="P1395" s="6">
        <v>0</v>
      </c>
    </row>
    <row r="1396" spans="1:16" ht="23.4" x14ac:dyDescent="0.45">
      <c r="A1396" s="4" t="s">
        <v>1385</v>
      </c>
      <c r="B1396" s="5" t="s">
        <v>15</v>
      </c>
      <c r="C1396" s="5">
        <v>45339.35</v>
      </c>
      <c r="D1396" s="5">
        <v>35</v>
      </c>
      <c r="E1396" s="5">
        <v>1</v>
      </c>
      <c r="F1396" s="5">
        <v>0.99429999999999996</v>
      </c>
      <c r="G1396" s="5">
        <v>0.64700000000000002</v>
      </c>
      <c r="H1396" s="5">
        <v>3</v>
      </c>
      <c r="I1396" s="5">
        <v>14709.48</v>
      </c>
      <c r="J1396" s="5">
        <v>13757.81</v>
      </c>
      <c r="K1396" s="5">
        <v>155</v>
      </c>
      <c r="L1396" s="5">
        <v>1</v>
      </c>
      <c r="M1396" s="5">
        <v>2</v>
      </c>
      <c r="N1396" s="5">
        <v>0</v>
      </c>
      <c r="O1396" s="5">
        <v>729.21</v>
      </c>
      <c r="P1396" s="6">
        <v>0</v>
      </c>
    </row>
    <row r="1397" spans="1:16" ht="23.4" x14ac:dyDescent="0.45">
      <c r="A1397" s="4" t="s">
        <v>1386</v>
      </c>
      <c r="B1397" s="5" t="s">
        <v>4</v>
      </c>
      <c r="C1397" s="5">
        <v>94182.9</v>
      </c>
      <c r="D1397" s="5">
        <v>59</v>
      </c>
      <c r="E1397" s="5">
        <v>1</v>
      </c>
      <c r="F1397" s="5">
        <v>0.95620000000000005</v>
      </c>
      <c r="G1397" s="5">
        <v>0.60229999999999995</v>
      </c>
      <c r="H1397" s="5">
        <v>6</v>
      </c>
      <c r="I1397" s="5">
        <v>18416.2</v>
      </c>
      <c r="J1397" s="5">
        <v>20431.53</v>
      </c>
      <c r="K1397" s="5">
        <v>161</v>
      </c>
      <c r="L1397" s="5">
        <v>1</v>
      </c>
      <c r="M1397" s="5">
        <v>3</v>
      </c>
      <c r="N1397" s="5">
        <v>1</v>
      </c>
      <c r="O1397" s="5">
        <v>739.22</v>
      </c>
      <c r="P1397" s="6">
        <v>0</v>
      </c>
    </row>
    <row r="1398" spans="1:16" ht="23.4" x14ac:dyDescent="0.45">
      <c r="A1398" s="4" t="s">
        <v>1387</v>
      </c>
      <c r="B1398" s="5" t="s">
        <v>1</v>
      </c>
      <c r="C1398" s="5">
        <v>111472.22</v>
      </c>
      <c r="D1398" s="5">
        <v>22</v>
      </c>
      <c r="E1398" s="5">
        <v>0</v>
      </c>
      <c r="F1398" s="5">
        <v>1</v>
      </c>
      <c r="G1398" s="5">
        <v>0.35880000000000001</v>
      </c>
      <c r="H1398" s="5">
        <v>6</v>
      </c>
      <c r="I1398" s="5">
        <v>38574.58</v>
      </c>
      <c r="J1398" s="5">
        <v>16035.34</v>
      </c>
      <c r="K1398" s="5">
        <v>23</v>
      </c>
      <c r="L1398" s="5">
        <v>2</v>
      </c>
      <c r="M1398" s="5">
        <v>1</v>
      </c>
      <c r="N1398" s="5">
        <v>0</v>
      </c>
      <c r="O1398" s="5">
        <v>846.81</v>
      </c>
      <c r="P1398" s="6">
        <v>0</v>
      </c>
    </row>
    <row r="1399" spans="1:16" ht="23.4" x14ac:dyDescent="0.45">
      <c r="A1399" s="4" t="s">
        <v>1388</v>
      </c>
      <c r="B1399" s="5" t="s">
        <v>15</v>
      </c>
      <c r="C1399" s="5">
        <v>134257.19</v>
      </c>
      <c r="D1399" s="5">
        <v>47</v>
      </c>
      <c r="E1399" s="5">
        <v>1</v>
      </c>
      <c r="F1399" s="5">
        <v>0.46500000000000002</v>
      </c>
      <c r="G1399" s="5">
        <v>0.42430000000000001</v>
      </c>
      <c r="H1399" s="5">
        <v>1</v>
      </c>
      <c r="I1399" s="5">
        <v>71180.02</v>
      </c>
      <c r="J1399" s="5">
        <v>31304.28</v>
      </c>
      <c r="K1399" s="5">
        <v>106</v>
      </c>
      <c r="L1399" s="5">
        <v>2</v>
      </c>
      <c r="M1399" s="5">
        <v>2</v>
      </c>
      <c r="N1399" s="5">
        <v>2</v>
      </c>
      <c r="O1399" s="5">
        <v>756.46</v>
      </c>
      <c r="P1399" s="6">
        <v>0</v>
      </c>
    </row>
    <row r="1400" spans="1:16" ht="23.4" x14ac:dyDescent="0.45">
      <c r="A1400" s="4" t="s">
        <v>1389</v>
      </c>
      <c r="B1400" s="5" t="s">
        <v>1</v>
      </c>
      <c r="C1400" s="5">
        <v>58206.89</v>
      </c>
      <c r="D1400" s="5">
        <v>26</v>
      </c>
      <c r="E1400" s="5">
        <v>0</v>
      </c>
      <c r="F1400" s="5">
        <v>0.2611</v>
      </c>
      <c r="G1400" s="5">
        <v>0</v>
      </c>
      <c r="H1400" s="5">
        <v>0</v>
      </c>
      <c r="I1400" s="5">
        <v>500</v>
      </c>
      <c r="J1400" s="5">
        <v>2405.54</v>
      </c>
      <c r="K1400" s="5">
        <v>154</v>
      </c>
      <c r="L1400" s="5">
        <v>1</v>
      </c>
      <c r="M1400" s="5">
        <v>2</v>
      </c>
      <c r="N1400" s="5">
        <v>0</v>
      </c>
      <c r="O1400" s="5">
        <v>645.30999999999995</v>
      </c>
      <c r="P1400" s="6">
        <v>0</v>
      </c>
    </row>
    <row r="1401" spans="1:16" ht="23.4" x14ac:dyDescent="0.45">
      <c r="A1401" s="4" t="s">
        <v>1390</v>
      </c>
      <c r="B1401" s="5" t="s">
        <v>4</v>
      </c>
      <c r="C1401" s="5">
        <v>49685.18</v>
      </c>
      <c r="D1401" s="5">
        <v>33</v>
      </c>
      <c r="E1401" s="5">
        <v>0</v>
      </c>
      <c r="F1401" s="5">
        <v>0.59160000000000001</v>
      </c>
      <c r="G1401" s="5">
        <v>8.7499999999999994E-2</v>
      </c>
      <c r="H1401" s="5">
        <v>1</v>
      </c>
      <c r="I1401" s="5">
        <v>14264.42</v>
      </c>
      <c r="J1401" s="5">
        <v>8173.37</v>
      </c>
      <c r="K1401" s="5">
        <v>171</v>
      </c>
      <c r="L1401" s="5">
        <v>2</v>
      </c>
      <c r="M1401" s="5">
        <v>1</v>
      </c>
      <c r="N1401" s="5">
        <v>0</v>
      </c>
      <c r="O1401" s="5">
        <v>717.91</v>
      </c>
      <c r="P1401" s="6">
        <v>0</v>
      </c>
    </row>
    <row r="1402" spans="1:16" ht="23.4" x14ac:dyDescent="0.45">
      <c r="A1402" s="4" t="s">
        <v>1391</v>
      </c>
      <c r="B1402" s="5" t="s">
        <v>9</v>
      </c>
      <c r="C1402" s="5">
        <v>53927.21</v>
      </c>
      <c r="D1402" s="5">
        <v>28</v>
      </c>
      <c r="E1402" s="5">
        <v>0</v>
      </c>
      <c r="F1402" s="5">
        <v>0.8407</v>
      </c>
      <c r="G1402" s="5">
        <v>0.95889999999999997</v>
      </c>
      <c r="H1402" s="5">
        <v>8</v>
      </c>
      <c r="I1402" s="5">
        <v>50762.38</v>
      </c>
      <c r="J1402" s="5">
        <v>51411.41</v>
      </c>
      <c r="K1402" s="5">
        <v>176</v>
      </c>
      <c r="L1402" s="5">
        <v>1</v>
      </c>
      <c r="M1402" s="5">
        <v>2</v>
      </c>
      <c r="N1402" s="5">
        <v>0</v>
      </c>
      <c r="O1402" s="5">
        <v>621.96</v>
      </c>
      <c r="P1402" s="6">
        <v>0</v>
      </c>
    </row>
    <row r="1403" spans="1:16" ht="23.4" x14ac:dyDescent="0.45">
      <c r="A1403" s="4" t="s">
        <v>1392</v>
      </c>
      <c r="B1403" s="5" t="s">
        <v>4</v>
      </c>
      <c r="C1403" s="5">
        <v>32721.32</v>
      </c>
      <c r="D1403" s="5">
        <v>30</v>
      </c>
      <c r="E1403" s="5">
        <v>0</v>
      </c>
      <c r="F1403" s="5">
        <v>0.89329999999999998</v>
      </c>
      <c r="G1403" s="5">
        <v>0.57879999999999998</v>
      </c>
      <c r="H1403" s="5">
        <v>0</v>
      </c>
      <c r="I1403" s="5">
        <v>16342.04</v>
      </c>
      <c r="J1403" s="5">
        <v>25017.93</v>
      </c>
      <c r="K1403" s="5">
        <v>158</v>
      </c>
      <c r="L1403" s="5">
        <v>4</v>
      </c>
      <c r="M1403" s="5">
        <v>2</v>
      </c>
      <c r="N1403" s="5">
        <v>1</v>
      </c>
      <c r="O1403" s="5">
        <v>734.78</v>
      </c>
      <c r="P1403" s="6">
        <v>0</v>
      </c>
    </row>
    <row r="1404" spans="1:16" ht="23.4" x14ac:dyDescent="0.45">
      <c r="A1404" s="4" t="s">
        <v>1393</v>
      </c>
      <c r="B1404" s="5" t="s">
        <v>6</v>
      </c>
      <c r="C1404" s="5">
        <v>110018.96</v>
      </c>
      <c r="D1404" s="5">
        <v>40</v>
      </c>
      <c r="E1404" s="5">
        <v>1</v>
      </c>
      <c r="F1404" s="5">
        <v>0.81850000000000001</v>
      </c>
      <c r="G1404" s="5">
        <v>0.72929999999999995</v>
      </c>
      <c r="H1404" s="5">
        <v>2</v>
      </c>
      <c r="I1404" s="5">
        <v>69571.69</v>
      </c>
      <c r="J1404" s="5">
        <v>41891.06</v>
      </c>
      <c r="K1404" s="5">
        <v>103</v>
      </c>
      <c r="L1404" s="5">
        <v>1</v>
      </c>
      <c r="M1404" s="5">
        <v>1</v>
      </c>
      <c r="N1404" s="5">
        <v>0</v>
      </c>
      <c r="O1404" s="5">
        <v>692.02</v>
      </c>
      <c r="P1404" s="6">
        <v>0</v>
      </c>
    </row>
    <row r="1405" spans="1:16" ht="23.4" x14ac:dyDescent="0.45">
      <c r="A1405" s="4" t="s">
        <v>1394</v>
      </c>
      <c r="B1405" s="5" t="s">
        <v>15</v>
      </c>
      <c r="C1405" s="5">
        <v>114083.23</v>
      </c>
      <c r="D1405" s="5">
        <v>39</v>
      </c>
      <c r="E1405" s="5">
        <v>1</v>
      </c>
      <c r="F1405" s="5">
        <v>1</v>
      </c>
      <c r="G1405" s="5">
        <v>0.18</v>
      </c>
      <c r="H1405" s="5">
        <v>2</v>
      </c>
      <c r="I1405" s="5">
        <v>33730.5</v>
      </c>
      <c r="J1405" s="5">
        <v>36199.339999999997</v>
      </c>
      <c r="K1405" s="5">
        <v>63</v>
      </c>
      <c r="L1405" s="5">
        <v>1</v>
      </c>
      <c r="M1405" s="5">
        <v>3</v>
      </c>
      <c r="N1405" s="5">
        <v>2</v>
      </c>
      <c r="O1405" s="5">
        <v>781.76</v>
      </c>
      <c r="P1405" s="6">
        <v>0</v>
      </c>
    </row>
    <row r="1406" spans="1:16" ht="23.4" x14ac:dyDescent="0.45">
      <c r="A1406" s="4" t="s">
        <v>1395</v>
      </c>
      <c r="B1406" s="5" t="s">
        <v>18</v>
      </c>
      <c r="C1406" s="5">
        <v>83293.78</v>
      </c>
      <c r="D1406" s="5">
        <v>66</v>
      </c>
      <c r="E1406" s="5">
        <v>0</v>
      </c>
      <c r="F1406" s="5">
        <v>0.62539999999999996</v>
      </c>
      <c r="G1406" s="5">
        <v>0.64570000000000005</v>
      </c>
      <c r="H1406" s="5">
        <v>0</v>
      </c>
      <c r="I1406" s="5">
        <v>38737.089999999997</v>
      </c>
      <c r="J1406" s="5">
        <v>23705.98</v>
      </c>
      <c r="K1406" s="5">
        <v>101</v>
      </c>
      <c r="L1406" s="5">
        <v>4</v>
      </c>
      <c r="M1406" s="5">
        <v>1</v>
      </c>
      <c r="N1406" s="5">
        <v>2</v>
      </c>
      <c r="O1406" s="5">
        <v>683.97</v>
      </c>
      <c r="P1406" s="6">
        <v>0</v>
      </c>
    </row>
    <row r="1407" spans="1:16" ht="23.4" x14ac:dyDescent="0.45">
      <c r="A1407" s="4" t="s">
        <v>1396</v>
      </c>
      <c r="B1407" s="5" t="s">
        <v>18</v>
      </c>
      <c r="C1407" s="5">
        <v>45936.44</v>
      </c>
      <c r="D1407" s="5">
        <v>64</v>
      </c>
      <c r="E1407" s="5">
        <v>1</v>
      </c>
      <c r="F1407" s="5">
        <v>0.67910000000000004</v>
      </c>
      <c r="G1407" s="5">
        <v>0.62260000000000004</v>
      </c>
      <c r="H1407" s="5">
        <v>1</v>
      </c>
      <c r="I1407" s="5">
        <v>34338.86</v>
      </c>
      <c r="J1407" s="5">
        <v>34356.18</v>
      </c>
      <c r="K1407" s="5">
        <v>74</v>
      </c>
      <c r="L1407" s="5">
        <v>2</v>
      </c>
      <c r="M1407" s="5">
        <v>3</v>
      </c>
      <c r="N1407" s="5">
        <v>2</v>
      </c>
      <c r="O1407" s="5">
        <v>615.91999999999996</v>
      </c>
      <c r="P1407" s="6">
        <v>0</v>
      </c>
    </row>
    <row r="1408" spans="1:16" ht="23.4" x14ac:dyDescent="0.45">
      <c r="A1408" s="4" t="s">
        <v>1397</v>
      </c>
      <c r="B1408" s="5" t="s">
        <v>1</v>
      </c>
      <c r="C1408" s="5">
        <v>126773.99</v>
      </c>
      <c r="D1408" s="5">
        <v>48</v>
      </c>
      <c r="E1408" s="5">
        <v>1</v>
      </c>
      <c r="F1408" s="5">
        <v>1</v>
      </c>
      <c r="G1408" s="5">
        <v>0.2056</v>
      </c>
      <c r="H1408" s="5">
        <v>3</v>
      </c>
      <c r="I1408" s="5">
        <v>35418.050000000003</v>
      </c>
      <c r="J1408" s="5">
        <v>22087.59</v>
      </c>
      <c r="K1408" s="5">
        <v>158</v>
      </c>
      <c r="L1408" s="5">
        <v>3</v>
      </c>
      <c r="M1408" s="5">
        <v>1</v>
      </c>
      <c r="N1408" s="5">
        <v>2</v>
      </c>
      <c r="O1408" s="5">
        <v>635.19000000000005</v>
      </c>
      <c r="P1408" s="6">
        <v>0</v>
      </c>
    </row>
    <row r="1409" spans="1:16" ht="23.4" x14ac:dyDescent="0.45">
      <c r="A1409" s="4" t="s">
        <v>1398</v>
      </c>
      <c r="B1409" s="5" t="s">
        <v>9</v>
      </c>
      <c r="C1409" s="5">
        <v>131154.69</v>
      </c>
      <c r="D1409" s="5">
        <v>32</v>
      </c>
      <c r="E1409" s="5">
        <v>0</v>
      </c>
      <c r="F1409" s="5">
        <v>0.59370000000000001</v>
      </c>
      <c r="G1409" s="5">
        <v>0.60019999999999996</v>
      </c>
      <c r="H1409" s="5">
        <v>0</v>
      </c>
      <c r="I1409" s="5">
        <v>71470.62</v>
      </c>
      <c r="J1409" s="5">
        <v>29206.12</v>
      </c>
      <c r="K1409" s="5">
        <v>164</v>
      </c>
      <c r="L1409" s="5">
        <v>3</v>
      </c>
      <c r="M1409" s="5">
        <v>1</v>
      </c>
      <c r="N1409" s="5">
        <v>0</v>
      </c>
      <c r="O1409" s="5">
        <v>612.96</v>
      </c>
      <c r="P1409" s="6">
        <v>0</v>
      </c>
    </row>
    <row r="1410" spans="1:16" ht="23.4" x14ac:dyDescent="0.45">
      <c r="A1410" s="4" t="s">
        <v>1399</v>
      </c>
      <c r="B1410" s="5" t="s">
        <v>1</v>
      </c>
      <c r="C1410" s="5">
        <v>93962.66</v>
      </c>
      <c r="D1410" s="5">
        <v>41</v>
      </c>
      <c r="E1410" s="5">
        <v>1</v>
      </c>
      <c r="F1410" s="5">
        <v>0.43130000000000002</v>
      </c>
      <c r="G1410" s="5">
        <v>0.45479999999999998</v>
      </c>
      <c r="H1410" s="5">
        <v>1</v>
      </c>
      <c r="I1410" s="5">
        <v>33389</v>
      </c>
      <c r="J1410" s="5">
        <v>23720.74</v>
      </c>
      <c r="K1410" s="5">
        <v>120</v>
      </c>
      <c r="L1410" s="5">
        <v>1</v>
      </c>
      <c r="M1410" s="5">
        <v>2</v>
      </c>
      <c r="N1410" s="5">
        <v>0</v>
      </c>
      <c r="O1410" s="5">
        <v>503.88</v>
      </c>
      <c r="P1410" s="6">
        <v>0</v>
      </c>
    </row>
    <row r="1411" spans="1:16" ht="23.4" x14ac:dyDescent="0.45">
      <c r="A1411" s="4" t="s">
        <v>1400</v>
      </c>
      <c r="B1411" s="5" t="s">
        <v>9</v>
      </c>
      <c r="C1411" s="5">
        <v>126680.51</v>
      </c>
      <c r="D1411" s="5">
        <v>44</v>
      </c>
      <c r="E1411" s="5">
        <v>1</v>
      </c>
      <c r="F1411" s="5">
        <v>0.74490000000000001</v>
      </c>
      <c r="G1411" s="5">
        <v>7.1599999999999997E-2</v>
      </c>
      <c r="H1411" s="5">
        <v>2</v>
      </c>
      <c r="I1411" s="5">
        <v>15512.19</v>
      </c>
      <c r="J1411" s="5">
        <v>21355.1</v>
      </c>
      <c r="K1411" s="5">
        <v>19</v>
      </c>
      <c r="L1411" s="5">
        <v>4</v>
      </c>
      <c r="M1411" s="5">
        <v>3</v>
      </c>
      <c r="N1411" s="5">
        <v>1</v>
      </c>
      <c r="O1411" s="5">
        <v>810.22</v>
      </c>
      <c r="P1411" s="6">
        <v>0</v>
      </c>
    </row>
    <row r="1412" spans="1:16" ht="23.4" x14ac:dyDescent="0.45">
      <c r="A1412" s="4" t="s">
        <v>1401</v>
      </c>
      <c r="B1412" s="5" t="s">
        <v>4</v>
      </c>
      <c r="C1412" s="5">
        <v>91319.5</v>
      </c>
      <c r="D1412" s="5">
        <v>47</v>
      </c>
      <c r="E1412" s="5">
        <v>1</v>
      </c>
      <c r="F1412" s="5">
        <v>1</v>
      </c>
      <c r="G1412" s="5">
        <v>0.4859</v>
      </c>
      <c r="H1412" s="5">
        <v>1</v>
      </c>
      <c r="I1412" s="5">
        <v>39126.29</v>
      </c>
      <c r="J1412" s="5">
        <v>37582.79</v>
      </c>
      <c r="K1412" s="5">
        <v>20</v>
      </c>
      <c r="L1412" s="5">
        <v>2</v>
      </c>
      <c r="M1412" s="5">
        <v>1</v>
      </c>
      <c r="N1412" s="5">
        <v>1</v>
      </c>
      <c r="O1412" s="5">
        <v>703.95</v>
      </c>
      <c r="P1412" s="6">
        <v>0</v>
      </c>
    </row>
    <row r="1413" spans="1:16" ht="23.4" x14ac:dyDescent="0.45">
      <c r="A1413" s="4" t="s">
        <v>1402</v>
      </c>
      <c r="B1413" s="5" t="s">
        <v>6</v>
      </c>
      <c r="C1413" s="5">
        <v>95520.99</v>
      </c>
      <c r="D1413" s="5">
        <v>22</v>
      </c>
      <c r="E1413" s="5">
        <v>1</v>
      </c>
      <c r="F1413" s="5">
        <v>0.98299999999999998</v>
      </c>
      <c r="G1413" s="5">
        <v>0.46739999999999998</v>
      </c>
      <c r="H1413" s="5">
        <v>3</v>
      </c>
      <c r="I1413" s="5">
        <v>27226.51</v>
      </c>
      <c r="J1413" s="5">
        <v>14227.61</v>
      </c>
      <c r="K1413" s="5">
        <v>48</v>
      </c>
      <c r="L1413" s="5">
        <v>1</v>
      </c>
      <c r="M1413" s="5">
        <v>1</v>
      </c>
      <c r="N1413" s="5">
        <v>0</v>
      </c>
      <c r="O1413" s="5">
        <v>719.72</v>
      </c>
      <c r="P1413" s="6">
        <v>0</v>
      </c>
    </row>
    <row r="1414" spans="1:16" ht="23.4" x14ac:dyDescent="0.45">
      <c r="A1414" s="4" t="s">
        <v>1403</v>
      </c>
      <c r="B1414" s="5" t="s">
        <v>1</v>
      </c>
      <c r="C1414" s="5">
        <v>177381.64</v>
      </c>
      <c r="D1414" s="5">
        <v>38</v>
      </c>
      <c r="E1414" s="5">
        <v>0</v>
      </c>
      <c r="F1414" s="5">
        <v>0.95469999999999999</v>
      </c>
      <c r="G1414" s="5">
        <v>0.32869999999999999</v>
      </c>
      <c r="H1414" s="5">
        <v>3</v>
      </c>
      <c r="I1414" s="5">
        <v>67114.97</v>
      </c>
      <c r="J1414" s="5">
        <v>41739.919999999998</v>
      </c>
      <c r="K1414" s="5">
        <v>51</v>
      </c>
      <c r="L1414" s="5">
        <v>2</v>
      </c>
      <c r="M1414" s="5">
        <v>3</v>
      </c>
      <c r="N1414" s="5">
        <v>1</v>
      </c>
      <c r="O1414" s="5">
        <v>731.17</v>
      </c>
      <c r="P1414" s="6">
        <v>0</v>
      </c>
    </row>
    <row r="1415" spans="1:16" ht="23.4" x14ac:dyDescent="0.45">
      <c r="A1415" s="4" t="s">
        <v>1404</v>
      </c>
      <c r="B1415" s="5" t="s">
        <v>9</v>
      </c>
      <c r="C1415" s="5">
        <v>176601.87</v>
      </c>
      <c r="D1415" s="5">
        <v>64</v>
      </c>
      <c r="E1415" s="5">
        <v>0</v>
      </c>
      <c r="F1415" s="5">
        <v>0.60229999999999995</v>
      </c>
      <c r="G1415" s="5">
        <v>0.40150000000000002</v>
      </c>
      <c r="H1415" s="5">
        <v>4</v>
      </c>
      <c r="I1415" s="5">
        <v>107345.08</v>
      </c>
      <c r="J1415" s="5">
        <v>81534.59</v>
      </c>
      <c r="K1415" s="5">
        <v>179</v>
      </c>
      <c r="L1415" s="5">
        <v>1</v>
      </c>
      <c r="M1415" s="5">
        <v>2</v>
      </c>
      <c r="N1415" s="5">
        <v>1</v>
      </c>
      <c r="O1415" s="5">
        <v>588.07000000000005</v>
      </c>
      <c r="P1415" s="6">
        <v>0</v>
      </c>
    </row>
    <row r="1416" spans="1:16" ht="23.4" x14ac:dyDescent="0.45">
      <c r="A1416" s="4" t="s">
        <v>1405</v>
      </c>
      <c r="B1416" s="5" t="s">
        <v>4</v>
      </c>
      <c r="C1416" s="5">
        <v>103660.23</v>
      </c>
      <c r="D1416" s="5">
        <v>49</v>
      </c>
      <c r="E1416" s="5">
        <v>1</v>
      </c>
      <c r="F1416" s="5">
        <v>0.57169999999999999</v>
      </c>
      <c r="G1416" s="5">
        <v>0.27060000000000001</v>
      </c>
      <c r="H1416" s="5">
        <v>2</v>
      </c>
      <c r="I1416" s="5">
        <v>7503.97</v>
      </c>
      <c r="J1416" s="5">
        <v>9875.35</v>
      </c>
      <c r="K1416" s="5">
        <v>110</v>
      </c>
      <c r="L1416" s="5">
        <v>1</v>
      </c>
      <c r="M1416" s="5">
        <v>1</v>
      </c>
      <c r="N1416" s="5">
        <v>0</v>
      </c>
      <c r="O1416" s="5">
        <v>770.24</v>
      </c>
      <c r="P1416" s="6">
        <v>0</v>
      </c>
    </row>
    <row r="1417" spans="1:16" ht="23.4" x14ac:dyDescent="0.45">
      <c r="A1417" s="4" t="s">
        <v>1406</v>
      </c>
      <c r="B1417" s="5" t="s">
        <v>9</v>
      </c>
      <c r="C1417" s="5">
        <v>55618.400000000001</v>
      </c>
      <c r="D1417" s="5">
        <v>69</v>
      </c>
      <c r="E1417" s="5">
        <v>0</v>
      </c>
      <c r="F1417" s="5">
        <v>0.57069999999999999</v>
      </c>
      <c r="G1417" s="5">
        <v>0.22939999999999999</v>
      </c>
      <c r="H1417" s="5">
        <v>3</v>
      </c>
      <c r="I1417" s="5">
        <v>25961.08</v>
      </c>
      <c r="J1417" s="5">
        <v>14573.88</v>
      </c>
      <c r="K1417" s="5">
        <v>100</v>
      </c>
      <c r="L1417" s="5">
        <v>1</v>
      </c>
      <c r="M1417" s="5">
        <v>2</v>
      </c>
      <c r="N1417" s="5">
        <v>3</v>
      </c>
      <c r="O1417" s="5">
        <v>697.05</v>
      </c>
      <c r="P1417" s="6">
        <v>0</v>
      </c>
    </row>
    <row r="1418" spans="1:16" ht="23.4" x14ac:dyDescent="0.45">
      <c r="A1418" s="4" t="s">
        <v>1407</v>
      </c>
      <c r="B1418" s="5" t="s">
        <v>9</v>
      </c>
      <c r="C1418" s="5">
        <v>135473.07999999999</v>
      </c>
      <c r="D1418" s="5">
        <v>64</v>
      </c>
      <c r="E1418" s="5">
        <v>1</v>
      </c>
      <c r="F1418" s="5">
        <v>0.59019999999999995</v>
      </c>
      <c r="G1418" s="5">
        <v>0.45710000000000001</v>
      </c>
      <c r="H1418" s="5">
        <v>4</v>
      </c>
      <c r="I1418" s="5">
        <v>57135.03</v>
      </c>
      <c r="J1418" s="5">
        <v>42884.87</v>
      </c>
      <c r="K1418" s="5">
        <v>175</v>
      </c>
      <c r="L1418" s="5">
        <v>3</v>
      </c>
      <c r="M1418" s="5">
        <v>1</v>
      </c>
      <c r="N1418" s="5">
        <v>0</v>
      </c>
      <c r="O1418" s="5">
        <v>650.13</v>
      </c>
      <c r="P1418" s="6">
        <v>0</v>
      </c>
    </row>
    <row r="1419" spans="1:16" ht="23.4" x14ac:dyDescent="0.45">
      <c r="A1419" s="4" t="s">
        <v>1408</v>
      </c>
      <c r="B1419" s="5" t="s">
        <v>15</v>
      </c>
      <c r="C1419" s="5">
        <v>70348.37</v>
      </c>
      <c r="D1419" s="5">
        <v>28</v>
      </c>
      <c r="E1419" s="5">
        <v>1</v>
      </c>
      <c r="F1419" s="5">
        <v>0.71689999999999998</v>
      </c>
      <c r="G1419" s="5">
        <v>0.2261</v>
      </c>
      <c r="H1419" s="5">
        <v>0</v>
      </c>
      <c r="I1419" s="5">
        <v>32153.95</v>
      </c>
      <c r="J1419" s="5">
        <v>18869.05</v>
      </c>
      <c r="K1419" s="5">
        <v>48</v>
      </c>
      <c r="L1419" s="5">
        <v>3</v>
      </c>
      <c r="M1419" s="5">
        <v>1</v>
      </c>
      <c r="N1419" s="5">
        <v>0</v>
      </c>
      <c r="O1419" s="5">
        <v>652.14</v>
      </c>
      <c r="P1419" s="6">
        <v>0</v>
      </c>
    </row>
    <row r="1420" spans="1:16" ht="23.4" x14ac:dyDescent="0.45">
      <c r="A1420" s="4" t="s">
        <v>1409</v>
      </c>
      <c r="B1420" s="5" t="s">
        <v>18</v>
      </c>
      <c r="C1420" s="5">
        <v>74552.83</v>
      </c>
      <c r="D1420" s="5">
        <v>70</v>
      </c>
      <c r="E1420" s="5">
        <v>1</v>
      </c>
      <c r="F1420" s="5">
        <v>0.79320000000000002</v>
      </c>
      <c r="G1420" s="5">
        <v>0</v>
      </c>
      <c r="H1420" s="5">
        <v>3</v>
      </c>
      <c r="I1420" s="5">
        <v>21279.19</v>
      </c>
      <c r="J1420" s="5">
        <v>17191.439999999999</v>
      </c>
      <c r="K1420" s="5">
        <v>153</v>
      </c>
      <c r="L1420" s="5">
        <v>2</v>
      </c>
      <c r="M1420" s="5">
        <v>2</v>
      </c>
      <c r="N1420" s="5">
        <v>1</v>
      </c>
      <c r="O1420" s="5">
        <v>691.95</v>
      </c>
      <c r="P1420" s="6">
        <v>0</v>
      </c>
    </row>
    <row r="1421" spans="1:16" ht="23.4" x14ac:dyDescent="0.45">
      <c r="A1421" s="4" t="s">
        <v>1410</v>
      </c>
      <c r="B1421" s="5" t="s">
        <v>1</v>
      </c>
      <c r="C1421" s="5">
        <v>149573.85999999999</v>
      </c>
      <c r="D1421" s="5">
        <v>43</v>
      </c>
      <c r="E1421" s="5">
        <v>0</v>
      </c>
      <c r="F1421" s="5">
        <v>0.88500000000000001</v>
      </c>
      <c r="G1421" s="5">
        <v>0</v>
      </c>
      <c r="H1421" s="5">
        <v>0</v>
      </c>
      <c r="I1421" s="5">
        <v>500</v>
      </c>
      <c r="J1421" s="5">
        <v>3103.4</v>
      </c>
      <c r="K1421" s="5">
        <v>119</v>
      </c>
      <c r="L1421" s="5">
        <v>1</v>
      </c>
      <c r="M1421" s="5">
        <v>2</v>
      </c>
      <c r="N1421" s="5">
        <v>2</v>
      </c>
      <c r="O1421" s="5">
        <v>783.74</v>
      </c>
      <c r="P1421" s="6">
        <v>0</v>
      </c>
    </row>
    <row r="1422" spans="1:16" ht="23.4" x14ac:dyDescent="0.45">
      <c r="A1422" s="4" t="s">
        <v>1411</v>
      </c>
      <c r="B1422" s="5" t="s">
        <v>1</v>
      </c>
      <c r="C1422" s="5">
        <v>106958.99</v>
      </c>
      <c r="D1422" s="5">
        <v>51</v>
      </c>
      <c r="E1422" s="5">
        <v>1</v>
      </c>
      <c r="F1422" s="5">
        <v>0.84630000000000005</v>
      </c>
      <c r="G1422" s="5">
        <v>0.23050000000000001</v>
      </c>
      <c r="H1422" s="5">
        <v>0</v>
      </c>
      <c r="I1422" s="5">
        <v>26758.29</v>
      </c>
      <c r="J1422" s="5">
        <v>14204.87</v>
      </c>
      <c r="K1422" s="5">
        <v>96</v>
      </c>
      <c r="L1422" s="5">
        <v>1</v>
      </c>
      <c r="M1422" s="5">
        <v>1</v>
      </c>
      <c r="N1422" s="5">
        <v>0</v>
      </c>
      <c r="O1422" s="5">
        <v>572.85</v>
      </c>
      <c r="P1422" s="6">
        <v>0</v>
      </c>
    </row>
    <row r="1423" spans="1:16" ht="23.4" x14ac:dyDescent="0.45">
      <c r="A1423" s="4" t="s">
        <v>1412</v>
      </c>
      <c r="B1423" s="5" t="s">
        <v>4</v>
      </c>
      <c r="C1423" s="5">
        <v>84500.81</v>
      </c>
      <c r="D1423" s="5">
        <v>26</v>
      </c>
      <c r="E1423" s="5">
        <v>1</v>
      </c>
      <c r="F1423" s="5">
        <v>0.91149999999999998</v>
      </c>
      <c r="G1423" s="5">
        <v>0.2261</v>
      </c>
      <c r="H1423" s="5">
        <v>0</v>
      </c>
      <c r="I1423" s="5">
        <v>23665.55</v>
      </c>
      <c r="J1423" s="5">
        <v>10894.18</v>
      </c>
      <c r="K1423" s="5">
        <v>36</v>
      </c>
      <c r="L1423" s="5">
        <v>3</v>
      </c>
      <c r="M1423" s="5">
        <v>2</v>
      </c>
      <c r="N1423" s="5">
        <v>2</v>
      </c>
      <c r="O1423" s="5">
        <v>786.5</v>
      </c>
      <c r="P1423" s="6">
        <v>0</v>
      </c>
    </row>
    <row r="1424" spans="1:16" ht="23.4" x14ac:dyDescent="0.45">
      <c r="A1424" s="4" t="s">
        <v>1413</v>
      </c>
      <c r="B1424" s="5" t="s">
        <v>9</v>
      </c>
      <c r="C1424" s="5">
        <v>97377.59</v>
      </c>
      <c r="D1424" s="5">
        <v>28</v>
      </c>
      <c r="E1424" s="5">
        <v>1</v>
      </c>
      <c r="F1424" s="5">
        <v>0.70809999999999995</v>
      </c>
      <c r="G1424" s="5">
        <v>0.46379999999999999</v>
      </c>
      <c r="H1424" s="5">
        <v>4</v>
      </c>
      <c r="I1424" s="5">
        <v>22464.87</v>
      </c>
      <c r="J1424" s="5">
        <v>0</v>
      </c>
      <c r="K1424" s="5">
        <v>147</v>
      </c>
      <c r="L1424" s="5">
        <v>1</v>
      </c>
      <c r="M1424" s="5">
        <v>3</v>
      </c>
      <c r="N1424" s="5">
        <v>1</v>
      </c>
      <c r="O1424" s="5">
        <v>672.13</v>
      </c>
      <c r="P1424" s="6">
        <v>0</v>
      </c>
    </row>
    <row r="1425" spans="1:16" ht="23.4" x14ac:dyDescent="0.45">
      <c r="A1425" s="4" t="s">
        <v>1414</v>
      </c>
      <c r="B1425" s="5" t="s">
        <v>4</v>
      </c>
      <c r="C1425" s="5">
        <v>68892.039999999994</v>
      </c>
      <c r="D1425" s="5">
        <v>52</v>
      </c>
      <c r="E1425" s="5">
        <v>1</v>
      </c>
      <c r="F1425" s="5">
        <v>0.50700000000000001</v>
      </c>
      <c r="G1425" s="5">
        <v>0</v>
      </c>
      <c r="H1425" s="5">
        <v>0</v>
      </c>
      <c r="I1425" s="5">
        <v>9375.2099999999991</v>
      </c>
      <c r="J1425" s="5">
        <v>4443.79</v>
      </c>
      <c r="K1425" s="5">
        <v>109</v>
      </c>
      <c r="L1425" s="5">
        <v>2</v>
      </c>
      <c r="M1425" s="5">
        <v>1</v>
      </c>
      <c r="N1425" s="5">
        <v>1</v>
      </c>
      <c r="O1425" s="5">
        <v>829.38</v>
      </c>
      <c r="P1425" s="6">
        <v>0</v>
      </c>
    </row>
    <row r="1426" spans="1:16" ht="23.4" x14ac:dyDescent="0.45">
      <c r="A1426" s="4" t="s">
        <v>1415</v>
      </c>
      <c r="B1426" s="5" t="s">
        <v>9</v>
      </c>
      <c r="C1426" s="5">
        <v>119747.71</v>
      </c>
      <c r="D1426" s="5">
        <v>34</v>
      </c>
      <c r="E1426" s="5">
        <v>0</v>
      </c>
      <c r="F1426" s="5">
        <v>1</v>
      </c>
      <c r="G1426" s="5">
        <v>1</v>
      </c>
      <c r="H1426" s="5">
        <v>5</v>
      </c>
      <c r="I1426" s="5">
        <v>125349.78</v>
      </c>
      <c r="J1426" s="5">
        <v>103967.89</v>
      </c>
      <c r="K1426" s="5">
        <v>136</v>
      </c>
      <c r="L1426" s="5">
        <v>1</v>
      </c>
      <c r="M1426" s="5">
        <v>1</v>
      </c>
      <c r="N1426" s="5">
        <v>1</v>
      </c>
      <c r="O1426" s="5">
        <v>689.18</v>
      </c>
      <c r="P1426" s="6">
        <v>0</v>
      </c>
    </row>
    <row r="1427" spans="1:16" ht="23.4" x14ac:dyDescent="0.45">
      <c r="A1427" s="4" t="s">
        <v>1416</v>
      </c>
      <c r="B1427" s="5" t="s">
        <v>18</v>
      </c>
      <c r="C1427" s="5">
        <v>116014.96</v>
      </c>
      <c r="D1427" s="5">
        <v>63</v>
      </c>
      <c r="E1427" s="5">
        <v>0</v>
      </c>
      <c r="F1427" s="5">
        <v>0.86229999999999996</v>
      </c>
      <c r="G1427" s="5">
        <v>0.14860000000000001</v>
      </c>
      <c r="H1427" s="5">
        <v>1</v>
      </c>
      <c r="I1427" s="5">
        <v>500</v>
      </c>
      <c r="J1427" s="5">
        <v>0</v>
      </c>
      <c r="K1427" s="5">
        <v>51</v>
      </c>
      <c r="L1427" s="5">
        <v>2</v>
      </c>
      <c r="M1427" s="5">
        <v>1</v>
      </c>
      <c r="N1427" s="5">
        <v>0</v>
      </c>
      <c r="O1427" s="5">
        <v>632.25</v>
      </c>
      <c r="P1427" s="6">
        <v>0</v>
      </c>
    </row>
    <row r="1428" spans="1:16" ht="23.4" x14ac:dyDescent="0.45">
      <c r="A1428" s="4" t="s">
        <v>1417</v>
      </c>
      <c r="B1428" s="5" t="s">
        <v>1</v>
      </c>
      <c r="C1428" s="5">
        <v>198178.24</v>
      </c>
      <c r="D1428" s="5">
        <v>42</v>
      </c>
      <c r="E1428" s="5">
        <v>1</v>
      </c>
      <c r="F1428" s="5">
        <v>0.29420000000000002</v>
      </c>
      <c r="G1428" s="5">
        <v>0.48849999999999999</v>
      </c>
      <c r="H1428" s="5">
        <v>6</v>
      </c>
      <c r="I1428" s="5">
        <v>105852.45</v>
      </c>
      <c r="J1428" s="5">
        <v>51301.37</v>
      </c>
      <c r="K1428" s="5">
        <v>168</v>
      </c>
      <c r="L1428" s="5">
        <v>3</v>
      </c>
      <c r="M1428" s="5">
        <v>1</v>
      </c>
      <c r="N1428" s="5">
        <v>1</v>
      </c>
      <c r="O1428" s="5">
        <v>725.41</v>
      </c>
      <c r="P1428" s="6">
        <v>0</v>
      </c>
    </row>
    <row r="1429" spans="1:16" ht="23.4" x14ac:dyDescent="0.45">
      <c r="A1429" s="4" t="s">
        <v>1418</v>
      </c>
      <c r="B1429" s="5" t="s">
        <v>9</v>
      </c>
      <c r="C1429" s="5">
        <v>116441.53</v>
      </c>
      <c r="D1429" s="5">
        <v>38</v>
      </c>
      <c r="E1429" s="5">
        <v>1</v>
      </c>
      <c r="F1429" s="5">
        <v>0.41710000000000003</v>
      </c>
      <c r="G1429" s="5">
        <v>0.66790000000000005</v>
      </c>
      <c r="H1429" s="5">
        <v>3</v>
      </c>
      <c r="I1429" s="5">
        <v>105534.84</v>
      </c>
      <c r="J1429" s="5">
        <v>71706.55</v>
      </c>
      <c r="K1429" s="5">
        <v>64</v>
      </c>
      <c r="L1429" s="5">
        <v>3</v>
      </c>
      <c r="M1429" s="5">
        <v>3</v>
      </c>
      <c r="N1429" s="5">
        <v>1</v>
      </c>
      <c r="O1429" s="5">
        <v>650.15</v>
      </c>
      <c r="P1429" s="6">
        <v>0</v>
      </c>
    </row>
    <row r="1430" spans="1:16" ht="23.4" x14ac:dyDescent="0.45">
      <c r="A1430" s="4" t="s">
        <v>1419</v>
      </c>
      <c r="B1430" s="5" t="s">
        <v>15</v>
      </c>
      <c r="C1430" s="5">
        <v>86668.53</v>
      </c>
      <c r="D1430" s="5">
        <v>63</v>
      </c>
      <c r="E1430" s="5">
        <v>0</v>
      </c>
      <c r="F1430" s="5">
        <v>0.72950000000000004</v>
      </c>
      <c r="G1430" s="5">
        <v>0.78849999999999998</v>
      </c>
      <c r="H1430" s="5">
        <v>6</v>
      </c>
      <c r="I1430" s="5">
        <v>78419.92</v>
      </c>
      <c r="J1430" s="5">
        <v>64721.65</v>
      </c>
      <c r="K1430" s="5">
        <v>136</v>
      </c>
      <c r="L1430" s="5">
        <v>3</v>
      </c>
      <c r="M1430" s="5">
        <v>2</v>
      </c>
      <c r="N1430" s="5">
        <v>0</v>
      </c>
      <c r="O1430" s="5">
        <v>706.52</v>
      </c>
      <c r="P1430" s="6">
        <v>0</v>
      </c>
    </row>
    <row r="1431" spans="1:16" ht="23.4" x14ac:dyDescent="0.45">
      <c r="A1431" s="4" t="s">
        <v>1420</v>
      </c>
      <c r="B1431" s="5" t="s">
        <v>1</v>
      </c>
      <c r="C1431" s="5">
        <v>45052.49</v>
      </c>
      <c r="D1431" s="5">
        <v>25</v>
      </c>
      <c r="E1431" s="5">
        <v>1</v>
      </c>
      <c r="F1431" s="5">
        <v>0.6371</v>
      </c>
      <c r="G1431" s="5">
        <v>0.58530000000000004</v>
      </c>
      <c r="H1431" s="5">
        <v>2</v>
      </c>
      <c r="I1431" s="5">
        <v>28491.85</v>
      </c>
      <c r="J1431" s="5">
        <v>18630.12</v>
      </c>
      <c r="K1431" s="5">
        <v>50</v>
      </c>
      <c r="L1431" s="5">
        <v>3</v>
      </c>
      <c r="M1431" s="5">
        <v>2</v>
      </c>
      <c r="N1431" s="5">
        <v>0</v>
      </c>
      <c r="O1431" s="5">
        <v>702.95</v>
      </c>
      <c r="P1431" s="6">
        <v>0</v>
      </c>
    </row>
    <row r="1432" spans="1:16" ht="23.4" x14ac:dyDescent="0.45">
      <c r="A1432" s="4" t="s">
        <v>1421</v>
      </c>
      <c r="B1432" s="5" t="s">
        <v>9</v>
      </c>
      <c r="C1432" s="5">
        <v>86780.58</v>
      </c>
      <c r="D1432" s="5">
        <v>57</v>
      </c>
      <c r="E1432" s="5">
        <v>1</v>
      </c>
      <c r="F1432" s="5">
        <v>0.624</v>
      </c>
      <c r="G1432" s="5">
        <v>0.4385</v>
      </c>
      <c r="H1432" s="5">
        <v>0</v>
      </c>
      <c r="I1432" s="5">
        <v>32305.599999999999</v>
      </c>
      <c r="J1432" s="5">
        <v>26568.21</v>
      </c>
      <c r="K1432" s="5">
        <v>151</v>
      </c>
      <c r="L1432" s="5">
        <v>3</v>
      </c>
      <c r="M1432" s="5">
        <v>1</v>
      </c>
      <c r="N1432" s="5">
        <v>1</v>
      </c>
      <c r="O1432" s="5">
        <v>655.21</v>
      </c>
      <c r="P1432" s="6">
        <v>0</v>
      </c>
    </row>
    <row r="1433" spans="1:16" ht="23.4" x14ac:dyDescent="0.45">
      <c r="A1433" s="4" t="s">
        <v>1422</v>
      </c>
      <c r="B1433" s="5" t="s">
        <v>9</v>
      </c>
      <c r="C1433" s="5">
        <v>72979.44</v>
      </c>
      <c r="D1433" s="5">
        <v>56</v>
      </c>
      <c r="E1433" s="5">
        <v>0</v>
      </c>
      <c r="F1433" s="5">
        <v>0.33850000000000002</v>
      </c>
      <c r="G1433" s="5">
        <v>0.40949999999999998</v>
      </c>
      <c r="H1433" s="5">
        <v>6</v>
      </c>
      <c r="I1433" s="5">
        <v>39877.01</v>
      </c>
      <c r="J1433" s="5">
        <v>21925.17</v>
      </c>
      <c r="K1433" s="5">
        <v>49</v>
      </c>
      <c r="L1433" s="5">
        <v>2</v>
      </c>
      <c r="M1433" s="5">
        <v>1</v>
      </c>
      <c r="N1433" s="5">
        <v>0</v>
      </c>
      <c r="O1433" s="5">
        <v>647.21</v>
      </c>
      <c r="P1433" s="6">
        <v>0</v>
      </c>
    </row>
    <row r="1434" spans="1:16" ht="23.4" x14ac:dyDescent="0.45">
      <c r="A1434" s="4" t="s">
        <v>1423</v>
      </c>
      <c r="B1434" s="5" t="s">
        <v>9</v>
      </c>
      <c r="C1434" s="5">
        <v>78319.88</v>
      </c>
      <c r="D1434" s="5">
        <v>67</v>
      </c>
      <c r="E1434" s="5">
        <v>1</v>
      </c>
      <c r="F1434" s="5">
        <v>0.62660000000000005</v>
      </c>
      <c r="G1434" s="5">
        <v>0.32500000000000001</v>
      </c>
      <c r="H1434" s="5">
        <v>1</v>
      </c>
      <c r="I1434" s="5">
        <v>34472.199999999997</v>
      </c>
      <c r="J1434" s="5">
        <v>24815.89</v>
      </c>
      <c r="K1434" s="5">
        <v>68</v>
      </c>
      <c r="L1434" s="5">
        <v>3</v>
      </c>
      <c r="M1434" s="5">
        <v>1</v>
      </c>
      <c r="N1434" s="5">
        <v>2</v>
      </c>
      <c r="O1434" s="5">
        <v>638.42999999999995</v>
      </c>
      <c r="P1434" s="6">
        <v>0</v>
      </c>
    </row>
    <row r="1435" spans="1:16" ht="23.4" x14ac:dyDescent="0.45">
      <c r="A1435" s="4" t="s">
        <v>1424</v>
      </c>
      <c r="B1435" s="5" t="s">
        <v>6</v>
      </c>
      <c r="C1435" s="5">
        <v>121589.96</v>
      </c>
      <c r="D1435" s="5">
        <v>46</v>
      </c>
      <c r="E1435" s="5">
        <v>1</v>
      </c>
      <c r="F1435" s="5">
        <v>1</v>
      </c>
      <c r="G1435" s="5">
        <v>0.54090000000000005</v>
      </c>
      <c r="H1435" s="5">
        <v>2</v>
      </c>
      <c r="I1435" s="5">
        <v>66699.94</v>
      </c>
      <c r="J1435" s="5">
        <v>38218.400000000001</v>
      </c>
      <c r="K1435" s="5">
        <v>65</v>
      </c>
      <c r="L1435" s="5">
        <v>1</v>
      </c>
      <c r="M1435" s="5">
        <v>2</v>
      </c>
      <c r="N1435" s="5">
        <v>1</v>
      </c>
      <c r="O1435" s="5">
        <v>783.37</v>
      </c>
      <c r="P1435" s="6">
        <v>0</v>
      </c>
    </row>
    <row r="1436" spans="1:16" ht="23.4" x14ac:dyDescent="0.45">
      <c r="A1436" s="4" t="s">
        <v>1425</v>
      </c>
      <c r="B1436" s="5" t="s">
        <v>6</v>
      </c>
      <c r="C1436" s="5">
        <v>51046.92</v>
      </c>
      <c r="D1436" s="5">
        <v>22</v>
      </c>
      <c r="E1436" s="5">
        <v>0</v>
      </c>
      <c r="F1436" s="5">
        <v>0.45519999999999999</v>
      </c>
      <c r="G1436" s="5">
        <v>0.17949999999999999</v>
      </c>
      <c r="H1436" s="5">
        <v>2</v>
      </c>
      <c r="I1436" s="5">
        <v>500</v>
      </c>
      <c r="J1436" s="5">
        <v>0</v>
      </c>
      <c r="K1436" s="5">
        <v>165</v>
      </c>
      <c r="L1436" s="5">
        <v>2</v>
      </c>
      <c r="M1436" s="5">
        <v>2</v>
      </c>
      <c r="N1436" s="5">
        <v>0</v>
      </c>
      <c r="O1436" s="5">
        <v>766.13</v>
      </c>
      <c r="P1436" s="6">
        <v>0</v>
      </c>
    </row>
    <row r="1437" spans="1:16" ht="23.4" x14ac:dyDescent="0.45">
      <c r="A1437" s="4" t="s">
        <v>1426</v>
      </c>
      <c r="B1437" s="5" t="s">
        <v>9</v>
      </c>
      <c r="C1437" s="5">
        <v>2000</v>
      </c>
      <c r="D1437" s="5">
        <v>64</v>
      </c>
      <c r="E1437" s="5">
        <v>0</v>
      </c>
      <c r="F1437" s="5">
        <v>0.2994</v>
      </c>
      <c r="G1437" s="5">
        <v>0.15790000000000001</v>
      </c>
      <c r="H1437" s="5">
        <v>1</v>
      </c>
      <c r="I1437" s="5">
        <v>500</v>
      </c>
      <c r="J1437" s="5">
        <v>0</v>
      </c>
      <c r="K1437" s="5">
        <v>103</v>
      </c>
      <c r="L1437" s="5">
        <v>1</v>
      </c>
      <c r="M1437" s="5">
        <v>1</v>
      </c>
      <c r="N1437" s="5">
        <v>3</v>
      </c>
      <c r="O1437" s="5">
        <v>622.44000000000005</v>
      </c>
      <c r="P1437" s="6">
        <v>0</v>
      </c>
    </row>
    <row r="1438" spans="1:16" ht="23.4" x14ac:dyDescent="0.45">
      <c r="A1438" s="4" t="s">
        <v>1427</v>
      </c>
      <c r="B1438" s="5" t="s">
        <v>6</v>
      </c>
      <c r="C1438" s="5">
        <v>104224.05</v>
      </c>
      <c r="D1438" s="5">
        <v>32</v>
      </c>
      <c r="E1438" s="5">
        <v>1</v>
      </c>
      <c r="F1438" s="5">
        <v>0.4224</v>
      </c>
      <c r="G1438" s="5">
        <v>0.4148</v>
      </c>
      <c r="H1438" s="5">
        <v>4</v>
      </c>
      <c r="I1438" s="5">
        <v>54056.56</v>
      </c>
      <c r="J1438" s="5">
        <v>39675.360000000001</v>
      </c>
      <c r="K1438" s="5">
        <v>96</v>
      </c>
      <c r="L1438" s="5">
        <v>3</v>
      </c>
      <c r="M1438" s="5">
        <v>2</v>
      </c>
      <c r="N1438" s="5">
        <v>1</v>
      </c>
      <c r="O1438" s="5">
        <v>530.88</v>
      </c>
      <c r="P1438" s="6">
        <v>0</v>
      </c>
    </row>
    <row r="1439" spans="1:16" ht="23.4" x14ac:dyDescent="0.45">
      <c r="A1439" s="4" t="s">
        <v>1428</v>
      </c>
      <c r="B1439" s="5" t="s">
        <v>9</v>
      </c>
      <c r="C1439" s="5">
        <v>188512.17</v>
      </c>
      <c r="D1439" s="5">
        <v>50</v>
      </c>
      <c r="E1439" s="5">
        <v>0</v>
      </c>
      <c r="F1439" s="5">
        <v>0.75009999999999999</v>
      </c>
      <c r="G1439" s="5">
        <v>0.2054</v>
      </c>
      <c r="H1439" s="5">
        <v>2</v>
      </c>
      <c r="I1439" s="5">
        <v>38934.080000000002</v>
      </c>
      <c r="J1439" s="5">
        <v>40616.379999999997</v>
      </c>
      <c r="K1439" s="5">
        <v>124</v>
      </c>
      <c r="L1439" s="5">
        <v>2</v>
      </c>
      <c r="M1439" s="5">
        <v>1</v>
      </c>
      <c r="N1439" s="5">
        <v>1</v>
      </c>
      <c r="O1439" s="5">
        <v>845.14</v>
      </c>
      <c r="P1439" s="6">
        <v>0</v>
      </c>
    </row>
    <row r="1440" spans="1:16" ht="23.4" x14ac:dyDescent="0.45">
      <c r="A1440" s="4" t="s">
        <v>1429</v>
      </c>
      <c r="B1440" s="5" t="s">
        <v>1</v>
      </c>
      <c r="C1440" s="5">
        <v>42347.9</v>
      </c>
      <c r="D1440" s="5">
        <v>58</v>
      </c>
      <c r="E1440" s="5">
        <v>0</v>
      </c>
      <c r="F1440" s="5">
        <v>0.85199999999999998</v>
      </c>
      <c r="G1440" s="5">
        <v>0.1953</v>
      </c>
      <c r="H1440" s="5">
        <v>2</v>
      </c>
      <c r="I1440" s="5">
        <v>22859.08</v>
      </c>
      <c r="J1440" s="5">
        <v>13909.99</v>
      </c>
      <c r="K1440" s="5">
        <v>57</v>
      </c>
      <c r="L1440" s="5">
        <v>2</v>
      </c>
      <c r="M1440" s="5">
        <v>1</v>
      </c>
      <c r="N1440" s="5">
        <v>1</v>
      </c>
      <c r="O1440" s="5">
        <v>850</v>
      </c>
      <c r="P1440" s="6">
        <v>0</v>
      </c>
    </row>
    <row r="1441" spans="1:16" ht="23.4" x14ac:dyDescent="0.45">
      <c r="A1441" s="4" t="s">
        <v>1430</v>
      </c>
      <c r="B1441" s="5" t="s">
        <v>4</v>
      </c>
      <c r="C1441" s="5">
        <v>108723.58</v>
      </c>
      <c r="D1441" s="5">
        <v>47</v>
      </c>
      <c r="E1441" s="5">
        <v>0</v>
      </c>
      <c r="F1441" s="5">
        <v>0.70630000000000004</v>
      </c>
      <c r="G1441" s="5">
        <v>0.61719999999999997</v>
      </c>
      <c r="H1441" s="5">
        <v>4</v>
      </c>
      <c r="I1441" s="5">
        <v>76933.289999999994</v>
      </c>
      <c r="J1441" s="5">
        <v>45804.59</v>
      </c>
      <c r="K1441" s="5">
        <v>75</v>
      </c>
      <c r="L1441" s="5">
        <v>2</v>
      </c>
      <c r="M1441" s="5">
        <v>2</v>
      </c>
      <c r="N1441" s="5">
        <v>3</v>
      </c>
      <c r="O1441" s="5">
        <v>653.97</v>
      </c>
      <c r="P1441" s="6">
        <v>0</v>
      </c>
    </row>
    <row r="1442" spans="1:16" ht="23.4" x14ac:dyDescent="0.45">
      <c r="A1442" s="4" t="s">
        <v>1431</v>
      </c>
      <c r="B1442" s="5" t="s">
        <v>6</v>
      </c>
      <c r="C1442" s="5">
        <v>139249.79</v>
      </c>
      <c r="D1442" s="5">
        <v>62</v>
      </c>
      <c r="E1442" s="5">
        <v>0</v>
      </c>
      <c r="F1442" s="5">
        <v>0.88090000000000002</v>
      </c>
      <c r="G1442" s="5">
        <v>0.19620000000000001</v>
      </c>
      <c r="H1442" s="5">
        <v>4</v>
      </c>
      <c r="I1442" s="5">
        <v>17684.43</v>
      </c>
      <c r="J1442" s="5">
        <v>18119.48</v>
      </c>
      <c r="K1442" s="5">
        <v>18</v>
      </c>
      <c r="L1442" s="5">
        <v>2</v>
      </c>
      <c r="M1442" s="5">
        <v>2</v>
      </c>
      <c r="N1442" s="5">
        <v>1</v>
      </c>
      <c r="O1442" s="5">
        <v>763.95</v>
      </c>
      <c r="P1442" s="6">
        <v>0</v>
      </c>
    </row>
    <row r="1443" spans="1:16" ht="23.4" x14ac:dyDescent="0.45">
      <c r="A1443" s="4" t="s">
        <v>1432</v>
      </c>
      <c r="B1443" s="5" t="s">
        <v>18</v>
      </c>
      <c r="C1443" s="5">
        <v>127693.45</v>
      </c>
      <c r="D1443" s="5">
        <v>31</v>
      </c>
      <c r="E1443" s="5">
        <v>1</v>
      </c>
      <c r="F1443" s="5">
        <v>0.40860000000000002</v>
      </c>
      <c r="G1443" s="5">
        <v>0.48699999999999999</v>
      </c>
      <c r="H1443" s="5">
        <v>2</v>
      </c>
      <c r="I1443" s="5">
        <v>67076.59</v>
      </c>
      <c r="J1443" s="5">
        <v>43913.84</v>
      </c>
      <c r="K1443" s="5">
        <v>80</v>
      </c>
      <c r="L1443" s="5">
        <v>3</v>
      </c>
      <c r="M1443" s="5">
        <v>2</v>
      </c>
      <c r="N1443" s="5">
        <v>1</v>
      </c>
      <c r="O1443" s="5">
        <v>684.69</v>
      </c>
      <c r="P1443" s="6">
        <v>0</v>
      </c>
    </row>
    <row r="1444" spans="1:16" ht="23.4" x14ac:dyDescent="0.45">
      <c r="A1444" s="4" t="s">
        <v>1433</v>
      </c>
      <c r="B1444" s="5" t="s">
        <v>6</v>
      </c>
      <c r="C1444" s="5">
        <v>66996</v>
      </c>
      <c r="D1444" s="5">
        <v>39</v>
      </c>
      <c r="E1444" s="5">
        <v>1</v>
      </c>
      <c r="F1444" s="5">
        <v>0.87190000000000001</v>
      </c>
      <c r="G1444" s="5">
        <v>0.1711</v>
      </c>
      <c r="H1444" s="5">
        <v>2</v>
      </c>
      <c r="I1444" s="5">
        <v>7428.78</v>
      </c>
      <c r="J1444" s="5">
        <v>12396.85</v>
      </c>
      <c r="K1444" s="5">
        <v>73</v>
      </c>
      <c r="L1444" s="5">
        <v>3</v>
      </c>
      <c r="M1444" s="5">
        <v>3</v>
      </c>
      <c r="N1444" s="5">
        <v>0</v>
      </c>
      <c r="O1444" s="5">
        <v>757.79</v>
      </c>
      <c r="P1444" s="6">
        <v>0</v>
      </c>
    </row>
    <row r="1445" spans="1:16" ht="23.4" x14ac:dyDescent="0.45">
      <c r="A1445" s="4" t="s">
        <v>1434</v>
      </c>
      <c r="B1445" s="5" t="s">
        <v>4</v>
      </c>
      <c r="C1445" s="5">
        <v>159572.31</v>
      </c>
      <c r="D1445" s="5">
        <v>40</v>
      </c>
      <c r="E1445" s="5">
        <v>1</v>
      </c>
      <c r="F1445" s="5">
        <v>0.54700000000000004</v>
      </c>
      <c r="G1445" s="5">
        <v>0.23769999999999999</v>
      </c>
      <c r="H1445" s="5">
        <v>4</v>
      </c>
      <c r="I1445" s="5">
        <v>29186.69</v>
      </c>
      <c r="J1445" s="5">
        <v>18172.22</v>
      </c>
      <c r="K1445" s="5">
        <v>72</v>
      </c>
      <c r="L1445" s="5">
        <v>1</v>
      </c>
      <c r="M1445" s="5">
        <v>1</v>
      </c>
      <c r="N1445" s="5">
        <v>0</v>
      </c>
      <c r="O1445" s="5">
        <v>651.91999999999996</v>
      </c>
      <c r="P1445" s="6">
        <v>0</v>
      </c>
    </row>
    <row r="1446" spans="1:16" ht="23.4" x14ac:dyDescent="0.45">
      <c r="A1446" s="4" t="s">
        <v>1435</v>
      </c>
      <c r="B1446" s="5" t="s">
        <v>4</v>
      </c>
      <c r="C1446" s="5">
        <v>115225.07</v>
      </c>
      <c r="D1446" s="5">
        <v>54</v>
      </c>
      <c r="E1446" s="5">
        <v>0</v>
      </c>
      <c r="F1446" s="5">
        <v>0.59079999999999999</v>
      </c>
      <c r="G1446" s="5">
        <v>0.42709999999999998</v>
      </c>
      <c r="H1446" s="5">
        <v>0</v>
      </c>
      <c r="I1446" s="5">
        <v>46350.78</v>
      </c>
      <c r="J1446" s="5">
        <v>24832.46</v>
      </c>
      <c r="K1446" s="5">
        <v>63</v>
      </c>
      <c r="L1446" s="5">
        <v>1</v>
      </c>
      <c r="M1446" s="5">
        <v>1</v>
      </c>
      <c r="N1446" s="5">
        <v>0</v>
      </c>
      <c r="O1446" s="5">
        <v>632.86</v>
      </c>
      <c r="P1446" s="6">
        <v>0</v>
      </c>
    </row>
    <row r="1447" spans="1:16" ht="23.4" x14ac:dyDescent="0.45">
      <c r="A1447" s="4" t="s">
        <v>1436</v>
      </c>
      <c r="B1447" s="5" t="s">
        <v>4</v>
      </c>
      <c r="C1447" s="5">
        <v>58484.45</v>
      </c>
      <c r="D1447" s="5">
        <v>57</v>
      </c>
      <c r="E1447" s="5">
        <v>0</v>
      </c>
      <c r="F1447" s="5">
        <v>0.57969999999999999</v>
      </c>
      <c r="G1447" s="5">
        <v>0.1305</v>
      </c>
      <c r="H1447" s="5">
        <v>1</v>
      </c>
      <c r="I1447" s="5">
        <v>500</v>
      </c>
      <c r="J1447" s="5">
        <v>4300.58</v>
      </c>
      <c r="K1447" s="5">
        <v>69</v>
      </c>
      <c r="L1447" s="5">
        <v>1</v>
      </c>
      <c r="M1447" s="5">
        <v>3</v>
      </c>
      <c r="N1447" s="5">
        <v>3</v>
      </c>
      <c r="O1447" s="5">
        <v>672.13</v>
      </c>
      <c r="P1447" s="6">
        <v>0</v>
      </c>
    </row>
    <row r="1448" spans="1:16" ht="23.4" x14ac:dyDescent="0.45">
      <c r="A1448" s="4" t="s">
        <v>1437</v>
      </c>
      <c r="B1448" s="5" t="s">
        <v>4</v>
      </c>
      <c r="C1448" s="5">
        <v>74933.81</v>
      </c>
      <c r="D1448" s="5">
        <v>32</v>
      </c>
      <c r="E1448" s="5">
        <v>1</v>
      </c>
      <c r="F1448" s="5">
        <v>0.7238</v>
      </c>
      <c r="G1448" s="5">
        <v>0.6139</v>
      </c>
      <c r="H1448" s="5">
        <v>5</v>
      </c>
      <c r="I1448" s="5">
        <v>58854.09</v>
      </c>
      <c r="J1448" s="5">
        <v>42497.01</v>
      </c>
      <c r="K1448" s="5">
        <v>138</v>
      </c>
      <c r="L1448" s="5">
        <v>1</v>
      </c>
      <c r="M1448" s="5">
        <v>1</v>
      </c>
      <c r="N1448" s="5">
        <v>1</v>
      </c>
      <c r="O1448" s="5">
        <v>641.34</v>
      </c>
      <c r="P1448" s="6">
        <v>0</v>
      </c>
    </row>
    <row r="1449" spans="1:16" ht="23.4" x14ac:dyDescent="0.45">
      <c r="A1449" s="4" t="s">
        <v>1438</v>
      </c>
      <c r="B1449" s="5" t="s">
        <v>4</v>
      </c>
      <c r="C1449" s="5">
        <v>111239.01</v>
      </c>
      <c r="D1449" s="5">
        <v>29</v>
      </c>
      <c r="E1449" s="5">
        <v>0</v>
      </c>
      <c r="F1449" s="5">
        <v>0.76559999999999995</v>
      </c>
      <c r="G1449" s="5">
        <v>0.29970000000000002</v>
      </c>
      <c r="H1449" s="5">
        <v>2</v>
      </c>
      <c r="I1449" s="5">
        <v>37781.410000000003</v>
      </c>
      <c r="J1449" s="5">
        <v>25184.86</v>
      </c>
      <c r="K1449" s="5">
        <v>83</v>
      </c>
      <c r="L1449" s="5">
        <v>2</v>
      </c>
      <c r="M1449" s="5">
        <v>1</v>
      </c>
      <c r="N1449" s="5">
        <v>1</v>
      </c>
      <c r="O1449" s="5">
        <v>780.8</v>
      </c>
      <c r="P1449" s="6">
        <v>0</v>
      </c>
    </row>
    <row r="1450" spans="1:16" ht="23.4" x14ac:dyDescent="0.45">
      <c r="A1450" s="4" t="s">
        <v>1439</v>
      </c>
      <c r="B1450" s="5" t="s">
        <v>15</v>
      </c>
      <c r="C1450" s="5">
        <v>99986.58</v>
      </c>
      <c r="D1450" s="5">
        <v>68</v>
      </c>
      <c r="E1450" s="5">
        <v>0</v>
      </c>
      <c r="F1450" s="5">
        <v>0.71589999999999998</v>
      </c>
      <c r="G1450" s="5">
        <v>0.48380000000000001</v>
      </c>
      <c r="H1450" s="5">
        <v>2</v>
      </c>
      <c r="I1450" s="5">
        <v>50192.41</v>
      </c>
      <c r="J1450" s="5">
        <v>29132.67</v>
      </c>
      <c r="K1450" s="5">
        <v>124</v>
      </c>
      <c r="L1450" s="5">
        <v>1</v>
      </c>
      <c r="M1450" s="5">
        <v>1</v>
      </c>
      <c r="N1450" s="5">
        <v>0</v>
      </c>
      <c r="O1450" s="5">
        <v>681.23</v>
      </c>
      <c r="P1450" s="6">
        <v>0</v>
      </c>
    </row>
    <row r="1451" spans="1:16" ht="23.4" x14ac:dyDescent="0.45">
      <c r="A1451" s="4" t="s">
        <v>1440</v>
      </c>
      <c r="B1451" s="5" t="s">
        <v>18</v>
      </c>
      <c r="C1451" s="5">
        <v>46767.24</v>
      </c>
      <c r="D1451" s="5">
        <v>42</v>
      </c>
      <c r="E1451" s="5">
        <v>0</v>
      </c>
      <c r="F1451" s="5">
        <v>0.43459999999999999</v>
      </c>
      <c r="G1451" s="5">
        <v>5.5500000000000001E-2</v>
      </c>
      <c r="H1451" s="5">
        <v>3</v>
      </c>
      <c r="I1451" s="5">
        <v>500</v>
      </c>
      <c r="J1451" s="5">
        <v>0</v>
      </c>
      <c r="K1451" s="5">
        <v>152</v>
      </c>
      <c r="L1451" s="5">
        <v>2</v>
      </c>
      <c r="M1451" s="5">
        <v>3</v>
      </c>
      <c r="N1451" s="5">
        <v>0</v>
      </c>
      <c r="O1451" s="5">
        <v>743.84</v>
      </c>
      <c r="P1451" s="6">
        <v>0</v>
      </c>
    </row>
    <row r="1452" spans="1:16" ht="23.4" x14ac:dyDescent="0.45">
      <c r="A1452" s="4" t="s">
        <v>1441</v>
      </c>
      <c r="B1452" s="5" t="s">
        <v>1</v>
      </c>
      <c r="C1452" s="5">
        <v>79569.490000000005</v>
      </c>
      <c r="D1452" s="5">
        <v>41</v>
      </c>
      <c r="E1452" s="5">
        <v>1</v>
      </c>
      <c r="F1452" s="5">
        <v>0.84789999999999999</v>
      </c>
      <c r="G1452" s="5">
        <v>0.25919999999999999</v>
      </c>
      <c r="H1452" s="5">
        <v>3</v>
      </c>
      <c r="I1452" s="5">
        <v>52084.95</v>
      </c>
      <c r="J1452" s="5">
        <v>46715.29</v>
      </c>
      <c r="K1452" s="5">
        <v>146</v>
      </c>
      <c r="L1452" s="5">
        <v>2</v>
      </c>
      <c r="M1452" s="5">
        <v>2</v>
      </c>
      <c r="N1452" s="5">
        <v>0</v>
      </c>
      <c r="O1452" s="5">
        <v>776.71</v>
      </c>
      <c r="P1452" s="6">
        <v>0</v>
      </c>
    </row>
    <row r="1453" spans="1:16" ht="23.4" x14ac:dyDescent="0.45">
      <c r="A1453" s="4" t="s">
        <v>1442</v>
      </c>
      <c r="B1453" s="5" t="s">
        <v>18</v>
      </c>
      <c r="C1453" s="5">
        <v>167288.31</v>
      </c>
      <c r="D1453" s="5">
        <v>63</v>
      </c>
      <c r="E1453" s="5">
        <v>1</v>
      </c>
      <c r="F1453" s="5">
        <v>0.69699999999999995</v>
      </c>
      <c r="G1453" s="5">
        <v>0.33489999999999998</v>
      </c>
      <c r="H1453" s="5">
        <v>2</v>
      </c>
      <c r="I1453" s="5">
        <v>68940.25</v>
      </c>
      <c r="J1453" s="5">
        <v>45130.1</v>
      </c>
      <c r="K1453" s="5">
        <v>59</v>
      </c>
      <c r="L1453" s="5">
        <v>2</v>
      </c>
      <c r="M1453" s="5">
        <v>1</v>
      </c>
      <c r="N1453" s="5">
        <v>0</v>
      </c>
      <c r="O1453" s="5">
        <v>752.26</v>
      </c>
      <c r="P1453" s="6">
        <v>0</v>
      </c>
    </row>
    <row r="1454" spans="1:16" ht="23.4" x14ac:dyDescent="0.45">
      <c r="A1454" s="4" t="s">
        <v>1443</v>
      </c>
      <c r="B1454" s="5" t="s">
        <v>6</v>
      </c>
      <c r="C1454" s="5">
        <v>43183.62</v>
      </c>
      <c r="D1454" s="5">
        <v>65</v>
      </c>
      <c r="E1454" s="5">
        <v>1</v>
      </c>
      <c r="F1454" s="5">
        <v>0.58660000000000001</v>
      </c>
      <c r="G1454" s="5">
        <v>0.23330000000000001</v>
      </c>
      <c r="H1454" s="5">
        <v>0</v>
      </c>
      <c r="I1454" s="5">
        <v>13744.54</v>
      </c>
      <c r="J1454" s="5">
        <v>0</v>
      </c>
      <c r="K1454" s="5">
        <v>13</v>
      </c>
      <c r="L1454" s="5">
        <v>1</v>
      </c>
      <c r="M1454" s="5">
        <v>2</v>
      </c>
      <c r="N1454" s="5">
        <v>3</v>
      </c>
      <c r="O1454" s="5">
        <v>646.71</v>
      </c>
      <c r="P1454" s="6">
        <v>0</v>
      </c>
    </row>
    <row r="1455" spans="1:16" ht="23.4" x14ac:dyDescent="0.45">
      <c r="A1455" s="4" t="s">
        <v>1444</v>
      </c>
      <c r="B1455" s="5" t="s">
        <v>6</v>
      </c>
      <c r="C1455" s="5">
        <v>32363.89</v>
      </c>
      <c r="D1455" s="5">
        <v>57</v>
      </c>
      <c r="E1455" s="5">
        <v>0</v>
      </c>
      <c r="F1455" s="5">
        <v>0.82530000000000003</v>
      </c>
      <c r="G1455" s="5">
        <v>0.21149999999999999</v>
      </c>
      <c r="H1455" s="5">
        <v>1</v>
      </c>
      <c r="I1455" s="5">
        <v>4461.3100000000004</v>
      </c>
      <c r="J1455" s="5">
        <v>12052.02</v>
      </c>
      <c r="K1455" s="5">
        <v>171</v>
      </c>
      <c r="L1455" s="5">
        <v>2</v>
      </c>
      <c r="M1455" s="5">
        <v>1</v>
      </c>
      <c r="N1455" s="5">
        <v>2</v>
      </c>
      <c r="O1455" s="5">
        <v>674.78</v>
      </c>
      <c r="P1455" s="6">
        <v>0</v>
      </c>
    </row>
    <row r="1456" spans="1:16" ht="23.4" x14ac:dyDescent="0.45">
      <c r="A1456" s="4" t="s">
        <v>1445</v>
      </c>
      <c r="B1456" s="5" t="s">
        <v>18</v>
      </c>
      <c r="C1456" s="5">
        <v>77895.58</v>
      </c>
      <c r="D1456" s="5">
        <v>40</v>
      </c>
      <c r="E1456" s="5">
        <v>1</v>
      </c>
      <c r="F1456" s="5">
        <v>1</v>
      </c>
      <c r="G1456" s="5">
        <v>0.45729999999999998</v>
      </c>
      <c r="H1456" s="5">
        <v>4</v>
      </c>
      <c r="I1456" s="5">
        <v>46064.2</v>
      </c>
      <c r="J1456" s="5">
        <v>45063.31</v>
      </c>
      <c r="K1456" s="5">
        <v>99</v>
      </c>
      <c r="L1456" s="5">
        <v>3</v>
      </c>
      <c r="M1456" s="5">
        <v>1</v>
      </c>
      <c r="N1456" s="5">
        <v>2</v>
      </c>
      <c r="O1456" s="5">
        <v>695.82</v>
      </c>
      <c r="P1456" s="6">
        <v>0</v>
      </c>
    </row>
    <row r="1457" spans="1:16" ht="23.4" x14ac:dyDescent="0.45">
      <c r="A1457" s="4" t="s">
        <v>1446</v>
      </c>
      <c r="B1457" s="5" t="s">
        <v>18</v>
      </c>
      <c r="C1457" s="5">
        <v>66821.679999999993</v>
      </c>
      <c r="D1457" s="5">
        <v>32</v>
      </c>
      <c r="E1457" s="5">
        <v>0</v>
      </c>
      <c r="F1457" s="5">
        <v>0.5282</v>
      </c>
      <c r="G1457" s="5">
        <v>0.47210000000000002</v>
      </c>
      <c r="H1457" s="5">
        <v>6</v>
      </c>
      <c r="I1457" s="5">
        <v>7144.62</v>
      </c>
      <c r="J1457" s="5">
        <v>7253.98</v>
      </c>
      <c r="K1457" s="5">
        <v>139</v>
      </c>
      <c r="L1457" s="5">
        <v>4</v>
      </c>
      <c r="M1457" s="5">
        <v>2</v>
      </c>
      <c r="N1457" s="5">
        <v>0</v>
      </c>
      <c r="O1457" s="5">
        <v>709.48</v>
      </c>
      <c r="P1457" s="6">
        <v>0</v>
      </c>
    </row>
    <row r="1458" spans="1:16" ht="23.4" x14ac:dyDescent="0.45">
      <c r="A1458" s="4" t="s">
        <v>1447</v>
      </c>
      <c r="B1458" s="5" t="s">
        <v>18</v>
      </c>
      <c r="C1458" s="5">
        <v>120261.59</v>
      </c>
      <c r="D1458" s="5">
        <v>27</v>
      </c>
      <c r="E1458" s="5">
        <v>1</v>
      </c>
      <c r="F1458" s="5">
        <v>0.85150000000000003</v>
      </c>
      <c r="G1458" s="5">
        <v>0.51019999999999999</v>
      </c>
      <c r="H1458" s="5">
        <v>7</v>
      </c>
      <c r="I1458" s="5">
        <v>62695.51</v>
      </c>
      <c r="J1458" s="5">
        <v>52017.74</v>
      </c>
      <c r="K1458" s="5">
        <v>70</v>
      </c>
      <c r="L1458" s="5">
        <v>2</v>
      </c>
      <c r="M1458" s="5">
        <v>1</v>
      </c>
      <c r="N1458" s="5">
        <v>1</v>
      </c>
      <c r="O1458" s="5">
        <v>803.81</v>
      </c>
      <c r="P1458" s="6">
        <v>0</v>
      </c>
    </row>
    <row r="1459" spans="1:16" ht="23.4" x14ac:dyDescent="0.45">
      <c r="A1459" s="4" t="s">
        <v>1448</v>
      </c>
      <c r="B1459" s="5" t="s">
        <v>9</v>
      </c>
      <c r="C1459" s="5">
        <v>157490.72</v>
      </c>
      <c r="D1459" s="5">
        <v>44</v>
      </c>
      <c r="E1459" s="5">
        <v>1</v>
      </c>
      <c r="F1459" s="5">
        <v>0.7268</v>
      </c>
      <c r="G1459" s="5">
        <v>0.38500000000000001</v>
      </c>
      <c r="H1459" s="5">
        <v>3</v>
      </c>
      <c r="I1459" s="5">
        <v>54098.91</v>
      </c>
      <c r="J1459" s="5">
        <v>26489.73</v>
      </c>
      <c r="K1459" s="5">
        <v>86</v>
      </c>
      <c r="L1459" s="5">
        <v>1</v>
      </c>
      <c r="M1459" s="5">
        <v>2</v>
      </c>
      <c r="N1459" s="5">
        <v>0</v>
      </c>
      <c r="O1459" s="5">
        <v>717.56</v>
      </c>
      <c r="P1459" s="6">
        <v>0</v>
      </c>
    </row>
    <row r="1460" spans="1:16" ht="23.4" x14ac:dyDescent="0.45">
      <c r="A1460" s="4" t="s">
        <v>319</v>
      </c>
      <c r="B1460" s="5" t="s">
        <v>15</v>
      </c>
      <c r="C1460" s="5">
        <v>94450.03</v>
      </c>
      <c r="D1460" s="5">
        <v>32</v>
      </c>
      <c r="E1460" s="5">
        <v>0</v>
      </c>
      <c r="F1460" s="5">
        <v>0.77829999999999999</v>
      </c>
      <c r="G1460" s="5">
        <v>0.74419999999999997</v>
      </c>
      <c r="H1460" s="5">
        <v>2</v>
      </c>
      <c r="I1460" s="5">
        <v>59406.37</v>
      </c>
      <c r="J1460" s="5">
        <v>40120.089999999997</v>
      </c>
      <c r="K1460" s="5">
        <v>130</v>
      </c>
      <c r="L1460" s="5">
        <v>1</v>
      </c>
      <c r="M1460" s="5">
        <v>1</v>
      </c>
      <c r="N1460" s="5">
        <v>0</v>
      </c>
      <c r="O1460" s="5">
        <v>776.41</v>
      </c>
      <c r="P1460" s="6">
        <v>0</v>
      </c>
    </row>
    <row r="1461" spans="1:16" ht="23.4" x14ac:dyDescent="0.45">
      <c r="A1461" s="4" t="s">
        <v>1449</v>
      </c>
      <c r="B1461" s="5" t="s">
        <v>9</v>
      </c>
      <c r="C1461" s="5">
        <v>50639.09</v>
      </c>
      <c r="D1461" s="5">
        <v>55</v>
      </c>
      <c r="E1461" s="5">
        <v>0</v>
      </c>
      <c r="F1461" s="5">
        <v>0.67859999999999998</v>
      </c>
      <c r="G1461" s="5">
        <v>0.49</v>
      </c>
      <c r="H1461" s="5">
        <v>6</v>
      </c>
      <c r="I1461" s="5">
        <v>21372.99</v>
      </c>
      <c r="J1461" s="5">
        <v>12685.74</v>
      </c>
      <c r="K1461" s="5">
        <v>10</v>
      </c>
      <c r="L1461" s="5">
        <v>1</v>
      </c>
      <c r="M1461" s="5">
        <v>2</v>
      </c>
      <c r="N1461" s="5">
        <v>3</v>
      </c>
      <c r="O1461" s="5">
        <v>461.41</v>
      </c>
      <c r="P1461" s="6">
        <v>0</v>
      </c>
    </row>
    <row r="1462" spans="1:16" ht="23.4" x14ac:dyDescent="0.45">
      <c r="A1462" s="4" t="s">
        <v>1450</v>
      </c>
      <c r="B1462" s="5" t="s">
        <v>6</v>
      </c>
      <c r="C1462" s="5">
        <v>99915.77</v>
      </c>
      <c r="D1462" s="5">
        <v>44</v>
      </c>
      <c r="E1462" s="5">
        <v>0</v>
      </c>
      <c r="F1462" s="5">
        <v>0.74839999999999995</v>
      </c>
      <c r="G1462" s="5">
        <v>0.82809999999999995</v>
      </c>
      <c r="H1462" s="5">
        <v>6</v>
      </c>
      <c r="I1462" s="5">
        <v>76940.34</v>
      </c>
      <c r="J1462" s="5">
        <v>36260.71</v>
      </c>
      <c r="K1462" s="5">
        <v>72</v>
      </c>
      <c r="L1462" s="5">
        <v>2</v>
      </c>
      <c r="M1462" s="5">
        <v>2</v>
      </c>
      <c r="N1462" s="5">
        <v>1</v>
      </c>
      <c r="O1462" s="5">
        <v>782.99</v>
      </c>
      <c r="P1462" s="6">
        <v>0</v>
      </c>
    </row>
    <row r="1463" spans="1:16" ht="23.4" x14ac:dyDescent="0.45">
      <c r="A1463" s="4" t="s">
        <v>1451</v>
      </c>
      <c r="B1463" s="5" t="s">
        <v>6</v>
      </c>
      <c r="C1463" s="5">
        <v>68068.210000000006</v>
      </c>
      <c r="D1463" s="5">
        <v>61</v>
      </c>
      <c r="E1463" s="5">
        <v>0</v>
      </c>
      <c r="F1463" s="5">
        <v>0.63619999999999999</v>
      </c>
      <c r="G1463" s="5">
        <v>0.19489999999999999</v>
      </c>
      <c r="H1463" s="5">
        <v>1</v>
      </c>
      <c r="I1463" s="5">
        <v>20349.2</v>
      </c>
      <c r="J1463" s="5">
        <v>15793.23</v>
      </c>
      <c r="K1463" s="5">
        <v>52</v>
      </c>
      <c r="L1463" s="5">
        <v>3</v>
      </c>
      <c r="M1463" s="5">
        <v>1</v>
      </c>
      <c r="N1463" s="5">
        <v>0</v>
      </c>
      <c r="O1463" s="5">
        <v>631.6</v>
      </c>
      <c r="P1463" s="6">
        <v>0</v>
      </c>
    </row>
    <row r="1464" spans="1:16" ht="23.4" x14ac:dyDescent="0.45">
      <c r="A1464" s="4" t="s">
        <v>1452</v>
      </c>
      <c r="B1464" s="5" t="s">
        <v>6</v>
      </c>
      <c r="C1464" s="5">
        <v>2000</v>
      </c>
      <c r="D1464" s="5">
        <v>30</v>
      </c>
      <c r="E1464" s="5">
        <v>0</v>
      </c>
      <c r="F1464" s="5">
        <v>0.5968</v>
      </c>
      <c r="G1464" s="5">
        <v>0.46760000000000002</v>
      </c>
      <c r="H1464" s="5">
        <v>1</v>
      </c>
      <c r="I1464" s="5">
        <v>11552.9</v>
      </c>
      <c r="J1464" s="5">
        <v>15004.45</v>
      </c>
      <c r="K1464" s="5">
        <v>22</v>
      </c>
      <c r="L1464" s="5">
        <v>1</v>
      </c>
      <c r="M1464" s="5">
        <v>1</v>
      </c>
      <c r="N1464" s="5">
        <v>0</v>
      </c>
      <c r="O1464" s="5">
        <v>784.91</v>
      </c>
      <c r="P1464" s="6">
        <v>0</v>
      </c>
    </row>
    <row r="1465" spans="1:16" ht="23.4" x14ac:dyDescent="0.45">
      <c r="A1465" s="4" t="s">
        <v>1453</v>
      </c>
      <c r="B1465" s="5" t="s">
        <v>18</v>
      </c>
      <c r="C1465" s="5">
        <v>68461.240000000005</v>
      </c>
      <c r="D1465" s="5">
        <v>46</v>
      </c>
      <c r="E1465" s="5">
        <v>0</v>
      </c>
      <c r="F1465" s="5">
        <v>0.70840000000000003</v>
      </c>
      <c r="G1465" s="5">
        <v>0.19689999999999999</v>
      </c>
      <c r="H1465" s="5">
        <v>1</v>
      </c>
      <c r="I1465" s="5">
        <v>31314.41</v>
      </c>
      <c r="J1465" s="5">
        <v>20120.13</v>
      </c>
      <c r="K1465" s="5">
        <v>130</v>
      </c>
      <c r="L1465" s="5">
        <v>1</v>
      </c>
      <c r="M1465" s="5">
        <v>1</v>
      </c>
      <c r="N1465" s="5">
        <v>1</v>
      </c>
      <c r="O1465" s="5">
        <v>574.08000000000004</v>
      </c>
      <c r="P1465" s="6">
        <v>0</v>
      </c>
    </row>
    <row r="1466" spans="1:16" ht="23.4" x14ac:dyDescent="0.45">
      <c r="A1466" s="4" t="s">
        <v>1454</v>
      </c>
      <c r="B1466" s="5" t="s">
        <v>9</v>
      </c>
      <c r="C1466" s="5">
        <v>95683.81</v>
      </c>
      <c r="D1466" s="5">
        <v>26</v>
      </c>
      <c r="E1466" s="5">
        <v>0</v>
      </c>
      <c r="F1466" s="5">
        <v>0.6119</v>
      </c>
      <c r="G1466" s="5">
        <v>0.46660000000000001</v>
      </c>
      <c r="H1466" s="5">
        <v>3</v>
      </c>
      <c r="I1466" s="5">
        <v>6373.64</v>
      </c>
      <c r="J1466" s="5">
        <v>93.35</v>
      </c>
      <c r="K1466" s="5">
        <v>16</v>
      </c>
      <c r="L1466" s="5">
        <v>1</v>
      </c>
      <c r="M1466" s="5">
        <v>1</v>
      </c>
      <c r="N1466" s="5">
        <v>1</v>
      </c>
      <c r="O1466" s="5">
        <v>570.13</v>
      </c>
      <c r="P1466" s="6">
        <v>0</v>
      </c>
    </row>
    <row r="1467" spans="1:16" ht="23.4" x14ac:dyDescent="0.45">
      <c r="A1467" s="4" t="s">
        <v>1455</v>
      </c>
      <c r="B1467" s="5" t="s">
        <v>4</v>
      </c>
      <c r="C1467" s="5">
        <v>140751.97</v>
      </c>
      <c r="D1467" s="5">
        <v>63</v>
      </c>
      <c r="E1467" s="5">
        <v>1</v>
      </c>
      <c r="F1467" s="5">
        <v>1</v>
      </c>
      <c r="G1467" s="5">
        <v>5.74E-2</v>
      </c>
      <c r="H1467" s="5">
        <v>4</v>
      </c>
      <c r="I1467" s="5">
        <v>21281.15</v>
      </c>
      <c r="J1467" s="5">
        <v>23028</v>
      </c>
      <c r="K1467" s="5">
        <v>15</v>
      </c>
      <c r="L1467" s="5">
        <v>3</v>
      </c>
      <c r="M1467" s="5">
        <v>3</v>
      </c>
      <c r="N1467" s="5">
        <v>1</v>
      </c>
      <c r="O1467" s="5">
        <v>713</v>
      </c>
      <c r="P1467" s="6">
        <v>0</v>
      </c>
    </row>
    <row r="1468" spans="1:16" ht="23.4" x14ac:dyDescent="0.45">
      <c r="A1468" s="4" t="s">
        <v>1456</v>
      </c>
      <c r="B1468" s="5" t="s">
        <v>6</v>
      </c>
      <c r="C1468" s="5">
        <v>36719.49</v>
      </c>
      <c r="D1468" s="5">
        <v>37</v>
      </c>
      <c r="E1468" s="5">
        <v>0</v>
      </c>
      <c r="F1468" s="5">
        <v>0.5544</v>
      </c>
      <c r="G1468" s="5">
        <v>0.34639999999999999</v>
      </c>
      <c r="H1468" s="5">
        <v>1</v>
      </c>
      <c r="I1468" s="5">
        <v>500</v>
      </c>
      <c r="J1468" s="5">
        <v>15461.83</v>
      </c>
      <c r="K1468" s="5">
        <v>34</v>
      </c>
      <c r="L1468" s="5">
        <v>2</v>
      </c>
      <c r="M1468" s="5">
        <v>1</v>
      </c>
      <c r="N1468" s="5">
        <v>0</v>
      </c>
      <c r="O1468" s="5">
        <v>629.44000000000005</v>
      </c>
      <c r="P1468" s="6">
        <v>0</v>
      </c>
    </row>
    <row r="1469" spans="1:16" ht="23.4" x14ac:dyDescent="0.45">
      <c r="A1469" s="4" t="s">
        <v>1457</v>
      </c>
      <c r="B1469" s="5" t="s">
        <v>9</v>
      </c>
      <c r="C1469" s="5">
        <v>92175.56</v>
      </c>
      <c r="D1469" s="5">
        <v>35</v>
      </c>
      <c r="E1469" s="5">
        <v>0</v>
      </c>
      <c r="F1469" s="5">
        <v>0.58150000000000002</v>
      </c>
      <c r="G1469" s="5">
        <v>0.34399999999999997</v>
      </c>
      <c r="H1469" s="5">
        <v>6</v>
      </c>
      <c r="I1469" s="5">
        <v>35684.400000000001</v>
      </c>
      <c r="J1469" s="5">
        <v>24883.53</v>
      </c>
      <c r="K1469" s="5">
        <v>51</v>
      </c>
      <c r="L1469" s="5">
        <v>2</v>
      </c>
      <c r="M1469" s="5">
        <v>1</v>
      </c>
      <c r="N1469" s="5">
        <v>2</v>
      </c>
      <c r="O1469" s="5">
        <v>715.99</v>
      </c>
      <c r="P1469" s="6">
        <v>0</v>
      </c>
    </row>
    <row r="1470" spans="1:16" ht="23.4" x14ac:dyDescent="0.45">
      <c r="A1470" s="4" t="s">
        <v>1458</v>
      </c>
      <c r="B1470" s="5" t="s">
        <v>18</v>
      </c>
      <c r="C1470" s="5">
        <v>36733.760000000002</v>
      </c>
      <c r="D1470" s="5">
        <v>33</v>
      </c>
      <c r="E1470" s="5">
        <v>1</v>
      </c>
      <c r="F1470" s="5">
        <v>0.3906</v>
      </c>
      <c r="G1470" s="5">
        <v>0.74480000000000002</v>
      </c>
      <c r="H1470" s="5">
        <v>2</v>
      </c>
      <c r="I1470" s="5">
        <v>46039.9</v>
      </c>
      <c r="J1470" s="5">
        <v>25703.78</v>
      </c>
      <c r="K1470" s="5">
        <v>56</v>
      </c>
      <c r="L1470" s="5">
        <v>1</v>
      </c>
      <c r="M1470" s="5">
        <v>1</v>
      </c>
      <c r="N1470" s="5">
        <v>0</v>
      </c>
      <c r="O1470" s="5">
        <v>718.74</v>
      </c>
      <c r="P1470" s="6">
        <v>0</v>
      </c>
    </row>
    <row r="1471" spans="1:16" ht="23.4" x14ac:dyDescent="0.45">
      <c r="A1471" s="4" t="s">
        <v>1459</v>
      </c>
      <c r="B1471" s="5" t="s">
        <v>6</v>
      </c>
      <c r="C1471" s="5">
        <v>30588.41</v>
      </c>
      <c r="D1471" s="5">
        <v>54</v>
      </c>
      <c r="E1471" s="5">
        <v>1</v>
      </c>
      <c r="F1471" s="5">
        <v>0.42949999999999999</v>
      </c>
      <c r="G1471" s="5">
        <v>0.40189999999999998</v>
      </c>
      <c r="H1471" s="5">
        <v>3</v>
      </c>
      <c r="I1471" s="5">
        <v>11214.59</v>
      </c>
      <c r="J1471" s="5">
        <v>0</v>
      </c>
      <c r="K1471" s="5">
        <v>8</v>
      </c>
      <c r="L1471" s="5">
        <v>3</v>
      </c>
      <c r="M1471" s="5">
        <v>2</v>
      </c>
      <c r="N1471" s="5">
        <v>0</v>
      </c>
      <c r="O1471" s="5">
        <v>693.29</v>
      </c>
      <c r="P1471" s="6">
        <v>0</v>
      </c>
    </row>
    <row r="1472" spans="1:16" ht="23.4" x14ac:dyDescent="0.45">
      <c r="A1472" s="4" t="s">
        <v>1460</v>
      </c>
      <c r="B1472" s="5" t="s">
        <v>18</v>
      </c>
      <c r="C1472" s="5">
        <v>53800.800000000003</v>
      </c>
      <c r="D1472" s="5">
        <v>41</v>
      </c>
      <c r="E1472" s="5">
        <v>1</v>
      </c>
      <c r="F1472" s="5">
        <v>0.92330000000000001</v>
      </c>
      <c r="G1472" s="5">
        <v>0.54049999999999998</v>
      </c>
      <c r="H1472" s="5">
        <v>6</v>
      </c>
      <c r="I1472" s="5">
        <v>8103.71</v>
      </c>
      <c r="J1472" s="5">
        <v>6456.87</v>
      </c>
      <c r="K1472" s="5">
        <v>52</v>
      </c>
      <c r="L1472" s="5">
        <v>2</v>
      </c>
      <c r="M1472" s="5">
        <v>2</v>
      </c>
      <c r="N1472" s="5">
        <v>0</v>
      </c>
      <c r="O1472" s="5">
        <v>794.19</v>
      </c>
      <c r="P1472" s="6">
        <v>0</v>
      </c>
    </row>
    <row r="1473" spans="1:16" ht="23.4" x14ac:dyDescent="0.45">
      <c r="A1473" s="4" t="s">
        <v>1461</v>
      </c>
      <c r="B1473" s="5" t="s">
        <v>4</v>
      </c>
      <c r="C1473" s="5">
        <v>70375.070000000007</v>
      </c>
      <c r="D1473" s="5">
        <v>35</v>
      </c>
      <c r="E1473" s="5">
        <v>0</v>
      </c>
      <c r="F1473" s="5">
        <v>0.67520000000000002</v>
      </c>
      <c r="G1473" s="5">
        <v>0.67259999999999998</v>
      </c>
      <c r="H1473" s="5">
        <v>2</v>
      </c>
      <c r="I1473" s="5">
        <v>47498.13</v>
      </c>
      <c r="J1473" s="5">
        <v>40277.75</v>
      </c>
      <c r="K1473" s="5">
        <v>151</v>
      </c>
      <c r="L1473" s="5">
        <v>1</v>
      </c>
      <c r="M1473" s="5">
        <v>1</v>
      </c>
      <c r="N1473" s="5">
        <v>2</v>
      </c>
      <c r="O1473" s="5">
        <v>793.35</v>
      </c>
      <c r="P1473" s="6">
        <v>0</v>
      </c>
    </row>
    <row r="1474" spans="1:16" ht="23.4" x14ac:dyDescent="0.45">
      <c r="A1474" s="4" t="s">
        <v>1462</v>
      </c>
      <c r="B1474" s="5" t="s">
        <v>1</v>
      </c>
      <c r="C1474" s="5">
        <v>160872.15</v>
      </c>
      <c r="D1474" s="5">
        <v>29</v>
      </c>
      <c r="E1474" s="5">
        <v>1</v>
      </c>
      <c r="F1474" s="5">
        <v>0.88290000000000002</v>
      </c>
      <c r="G1474" s="5">
        <v>0.63619999999999999</v>
      </c>
      <c r="H1474" s="5">
        <v>4</v>
      </c>
      <c r="I1474" s="5">
        <v>100982.06</v>
      </c>
      <c r="J1474" s="5">
        <v>71425</v>
      </c>
      <c r="K1474" s="5">
        <v>157</v>
      </c>
      <c r="L1474" s="5">
        <v>1</v>
      </c>
      <c r="M1474" s="5">
        <v>1</v>
      </c>
      <c r="N1474" s="5">
        <v>2</v>
      </c>
      <c r="O1474" s="5">
        <v>803.63</v>
      </c>
      <c r="P1474" s="6">
        <v>0</v>
      </c>
    </row>
    <row r="1475" spans="1:16" ht="23.4" x14ac:dyDescent="0.45">
      <c r="A1475" s="4" t="s">
        <v>1463</v>
      </c>
      <c r="B1475" s="5" t="s">
        <v>18</v>
      </c>
      <c r="C1475" s="5">
        <v>68543.39</v>
      </c>
      <c r="D1475" s="5">
        <v>30</v>
      </c>
      <c r="E1475" s="5">
        <v>0</v>
      </c>
      <c r="F1475" s="5">
        <v>0.55369999999999997</v>
      </c>
      <c r="G1475" s="5">
        <v>0.28170000000000001</v>
      </c>
      <c r="H1475" s="5">
        <v>1</v>
      </c>
      <c r="I1475" s="5">
        <v>2273.48</v>
      </c>
      <c r="J1475" s="5">
        <v>2066.69</v>
      </c>
      <c r="K1475" s="5">
        <v>177</v>
      </c>
      <c r="L1475" s="5">
        <v>2</v>
      </c>
      <c r="M1475" s="5">
        <v>1</v>
      </c>
      <c r="N1475" s="5">
        <v>0</v>
      </c>
      <c r="O1475" s="5">
        <v>738.56</v>
      </c>
      <c r="P1475" s="6">
        <v>0</v>
      </c>
    </row>
    <row r="1476" spans="1:16" ht="23.4" x14ac:dyDescent="0.45">
      <c r="A1476" s="4" t="s">
        <v>1464</v>
      </c>
      <c r="B1476" s="5" t="s">
        <v>4</v>
      </c>
      <c r="C1476" s="5">
        <v>78662.58</v>
      </c>
      <c r="D1476" s="5">
        <v>32</v>
      </c>
      <c r="E1476" s="5">
        <v>1</v>
      </c>
      <c r="F1476" s="5">
        <v>0.40889999999999999</v>
      </c>
      <c r="G1476" s="5">
        <v>0.63449999999999995</v>
      </c>
      <c r="H1476" s="5">
        <v>4</v>
      </c>
      <c r="I1476" s="5">
        <v>43981.16</v>
      </c>
      <c r="J1476" s="5">
        <v>30115.95</v>
      </c>
      <c r="K1476" s="5">
        <v>137</v>
      </c>
      <c r="L1476" s="5">
        <v>1</v>
      </c>
      <c r="M1476" s="5">
        <v>2</v>
      </c>
      <c r="N1476" s="5">
        <v>0</v>
      </c>
      <c r="O1476" s="5">
        <v>681.18</v>
      </c>
      <c r="P1476" s="6">
        <v>0</v>
      </c>
    </row>
    <row r="1477" spans="1:16" ht="23.4" x14ac:dyDescent="0.45">
      <c r="A1477" s="4" t="s">
        <v>1465</v>
      </c>
      <c r="B1477" s="5" t="s">
        <v>4</v>
      </c>
      <c r="C1477" s="5">
        <v>157851.29999999999</v>
      </c>
      <c r="D1477" s="5">
        <v>55</v>
      </c>
      <c r="E1477" s="5">
        <v>1</v>
      </c>
      <c r="F1477" s="5">
        <v>0.70369999999999999</v>
      </c>
      <c r="G1477" s="5">
        <v>0.32829999999999998</v>
      </c>
      <c r="H1477" s="5">
        <v>2</v>
      </c>
      <c r="I1477" s="5">
        <v>70185.119999999995</v>
      </c>
      <c r="J1477" s="5">
        <v>55234.01</v>
      </c>
      <c r="K1477" s="5">
        <v>46</v>
      </c>
      <c r="L1477" s="5">
        <v>1</v>
      </c>
      <c r="M1477" s="5">
        <v>2</v>
      </c>
      <c r="N1477" s="5">
        <v>0</v>
      </c>
      <c r="O1477" s="5">
        <v>632.74</v>
      </c>
      <c r="P1477" s="6">
        <v>0</v>
      </c>
    </row>
    <row r="1478" spans="1:16" ht="23.4" x14ac:dyDescent="0.45">
      <c r="A1478" s="4" t="s">
        <v>1466</v>
      </c>
      <c r="B1478" s="5" t="s">
        <v>9</v>
      </c>
      <c r="C1478" s="5">
        <v>116356.87</v>
      </c>
      <c r="D1478" s="5">
        <v>25</v>
      </c>
      <c r="E1478" s="5">
        <v>1</v>
      </c>
      <c r="F1478" s="5">
        <v>0.66169999999999995</v>
      </c>
      <c r="G1478" s="5">
        <v>0.25459999999999999</v>
      </c>
      <c r="H1478" s="5">
        <v>3</v>
      </c>
      <c r="I1478" s="5">
        <v>13413.76</v>
      </c>
      <c r="J1478" s="5">
        <v>0</v>
      </c>
      <c r="K1478" s="5">
        <v>101</v>
      </c>
      <c r="L1478" s="5">
        <v>2</v>
      </c>
      <c r="M1478" s="5">
        <v>2</v>
      </c>
      <c r="N1478" s="5">
        <v>1</v>
      </c>
      <c r="O1478" s="5">
        <v>528.58000000000004</v>
      </c>
      <c r="P1478" s="6">
        <v>0</v>
      </c>
    </row>
    <row r="1479" spans="1:16" ht="23.4" x14ac:dyDescent="0.45">
      <c r="A1479" s="4" t="s">
        <v>1467</v>
      </c>
      <c r="B1479" s="5" t="s">
        <v>18</v>
      </c>
      <c r="C1479" s="5">
        <v>59043.66</v>
      </c>
      <c r="D1479" s="5">
        <v>21</v>
      </c>
      <c r="E1479" s="5">
        <v>0</v>
      </c>
      <c r="F1479" s="5">
        <v>0.91</v>
      </c>
      <c r="G1479" s="5">
        <v>0.60089999999999999</v>
      </c>
      <c r="H1479" s="5">
        <v>2</v>
      </c>
      <c r="I1479" s="5">
        <v>33229.75</v>
      </c>
      <c r="J1479" s="5">
        <v>17656.939999999999</v>
      </c>
      <c r="K1479" s="5">
        <v>84</v>
      </c>
      <c r="L1479" s="5">
        <v>3</v>
      </c>
      <c r="M1479" s="5">
        <v>2</v>
      </c>
      <c r="N1479" s="5">
        <v>1</v>
      </c>
      <c r="O1479" s="5">
        <v>697.31</v>
      </c>
      <c r="P1479" s="6">
        <v>0</v>
      </c>
    </row>
    <row r="1480" spans="1:16" ht="23.4" x14ac:dyDescent="0.45">
      <c r="A1480" s="4" t="s">
        <v>1468</v>
      </c>
      <c r="B1480" s="5" t="s">
        <v>9</v>
      </c>
      <c r="C1480" s="5">
        <v>45359.81</v>
      </c>
      <c r="D1480" s="5">
        <v>53</v>
      </c>
      <c r="E1480" s="5">
        <v>0</v>
      </c>
      <c r="F1480" s="5">
        <v>0.86780000000000002</v>
      </c>
      <c r="G1480" s="5">
        <v>0.65310000000000001</v>
      </c>
      <c r="H1480" s="5">
        <v>3</v>
      </c>
      <c r="I1480" s="5">
        <v>18540.580000000002</v>
      </c>
      <c r="J1480" s="5">
        <v>6861.57</v>
      </c>
      <c r="K1480" s="5">
        <v>86</v>
      </c>
      <c r="L1480" s="5">
        <v>2</v>
      </c>
      <c r="M1480" s="5">
        <v>2</v>
      </c>
      <c r="N1480" s="5">
        <v>3</v>
      </c>
      <c r="O1480" s="5">
        <v>670.26</v>
      </c>
      <c r="P1480" s="6">
        <v>0</v>
      </c>
    </row>
    <row r="1481" spans="1:16" ht="23.4" x14ac:dyDescent="0.45">
      <c r="A1481" s="4" t="s">
        <v>1469</v>
      </c>
      <c r="B1481" s="5" t="s">
        <v>1</v>
      </c>
      <c r="C1481" s="5">
        <v>62114.73</v>
      </c>
      <c r="D1481" s="5">
        <v>68</v>
      </c>
      <c r="E1481" s="5">
        <v>1</v>
      </c>
      <c r="F1481" s="5">
        <v>0.57669999999999999</v>
      </c>
      <c r="G1481" s="5">
        <v>0.78369999999999995</v>
      </c>
      <c r="H1481" s="5">
        <v>2</v>
      </c>
      <c r="I1481" s="5">
        <v>35047.589999999997</v>
      </c>
      <c r="J1481" s="5">
        <v>24466.57</v>
      </c>
      <c r="K1481" s="5">
        <v>34</v>
      </c>
      <c r="L1481" s="5">
        <v>2</v>
      </c>
      <c r="M1481" s="5">
        <v>2</v>
      </c>
      <c r="N1481" s="5">
        <v>0</v>
      </c>
      <c r="O1481" s="5">
        <v>742.66</v>
      </c>
      <c r="P1481" s="6">
        <v>0</v>
      </c>
    </row>
    <row r="1482" spans="1:16" ht="23.4" x14ac:dyDescent="0.45">
      <c r="A1482" s="4" t="s">
        <v>1470</v>
      </c>
      <c r="B1482" s="5" t="s">
        <v>4</v>
      </c>
      <c r="C1482" s="5">
        <v>115485.5</v>
      </c>
      <c r="D1482" s="5">
        <v>40</v>
      </c>
      <c r="E1482" s="5">
        <v>0</v>
      </c>
      <c r="F1482" s="5">
        <v>0.75780000000000003</v>
      </c>
      <c r="G1482" s="5">
        <v>0.372</v>
      </c>
      <c r="H1482" s="5">
        <v>2</v>
      </c>
      <c r="I1482" s="5">
        <v>48909.55</v>
      </c>
      <c r="J1482" s="5">
        <v>39610.47</v>
      </c>
      <c r="K1482" s="5">
        <v>61</v>
      </c>
      <c r="L1482" s="5">
        <v>3</v>
      </c>
      <c r="M1482" s="5">
        <v>1</v>
      </c>
      <c r="N1482" s="5">
        <v>1</v>
      </c>
      <c r="O1482" s="5">
        <v>834.92</v>
      </c>
      <c r="P1482" s="6">
        <v>0</v>
      </c>
    </row>
    <row r="1483" spans="1:16" ht="23.4" x14ac:dyDescent="0.45">
      <c r="A1483" s="4" t="s">
        <v>1471</v>
      </c>
      <c r="B1483" s="5" t="s">
        <v>4</v>
      </c>
      <c r="C1483" s="5">
        <v>51669.09</v>
      </c>
      <c r="D1483" s="5">
        <v>65</v>
      </c>
      <c r="E1483" s="5">
        <v>0</v>
      </c>
      <c r="F1483" s="5">
        <v>0.75780000000000003</v>
      </c>
      <c r="G1483" s="5">
        <v>0.31890000000000002</v>
      </c>
      <c r="H1483" s="5">
        <v>4</v>
      </c>
      <c r="I1483" s="5">
        <v>4085.25</v>
      </c>
      <c r="J1483" s="5">
        <v>6598.37</v>
      </c>
      <c r="K1483" s="5">
        <v>162</v>
      </c>
      <c r="L1483" s="5">
        <v>2</v>
      </c>
      <c r="M1483" s="5">
        <v>2</v>
      </c>
      <c r="N1483" s="5">
        <v>1</v>
      </c>
      <c r="O1483" s="5">
        <v>660.9</v>
      </c>
      <c r="P1483" s="6">
        <v>0</v>
      </c>
    </row>
    <row r="1484" spans="1:16" ht="23.4" x14ac:dyDescent="0.45">
      <c r="A1484" s="4" t="s">
        <v>1472</v>
      </c>
      <c r="B1484" s="5" t="s">
        <v>15</v>
      </c>
      <c r="C1484" s="5">
        <v>58705.02</v>
      </c>
      <c r="D1484" s="5">
        <v>33</v>
      </c>
      <c r="E1484" s="5">
        <v>1</v>
      </c>
      <c r="F1484" s="5">
        <v>0.50419999999999998</v>
      </c>
      <c r="G1484" s="5">
        <v>0.6421</v>
      </c>
      <c r="H1484" s="5">
        <v>5</v>
      </c>
      <c r="I1484" s="5">
        <v>66355.429999999993</v>
      </c>
      <c r="J1484" s="5">
        <v>45647.61</v>
      </c>
      <c r="K1484" s="5">
        <v>114</v>
      </c>
      <c r="L1484" s="5">
        <v>2</v>
      </c>
      <c r="M1484" s="5">
        <v>2</v>
      </c>
      <c r="N1484" s="5">
        <v>1</v>
      </c>
      <c r="O1484" s="5">
        <v>653.29</v>
      </c>
      <c r="P1484" s="6">
        <v>0</v>
      </c>
    </row>
    <row r="1485" spans="1:16" ht="23.4" x14ac:dyDescent="0.45">
      <c r="A1485" s="4" t="s">
        <v>1473</v>
      </c>
      <c r="B1485" s="5" t="s">
        <v>1</v>
      </c>
      <c r="C1485" s="5">
        <v>74454.67</v>
      </c>
      <c r="D1485" s="5">
        <v>33</v>
      </c>
      <c r="E1485" s="5">
        <v>1</v>
      </c>
      <c r="F1485" s="5">
        <v>0.69689999999999996</v>
      </c>
      <c r="G1485" s="5">
        <v>8.8800000000000004E-2</v>
      </c>
      <c r="H1485" s="5">
        <v>2</v>
      </c>
      <c r="I1485" s="5">
        <v>20732.16</v>
      </c>
      <c r="J1485" s="5">
        <v>14562.28</v>
      </c>
      <c r="K1485" s="5">
        <v>167</v>
      </c>
      <c r="L1485" s="5">
        <v>1</v>
      </c>
      <c r="M1485" s="5">
        <v>2</v>
      </c>
      <c r="N1485" s="5">
        <v>0</v>
      </c>
      <c r="O1485" s="5">
        <v>722.75</v>
      </c>
      <c r="P1485" s="6">
        <v>0</v>
      </c>
    </row>
    <row r="1486" spans="1:16" ht="23.4" x14ac:dyDescent="0.45">
      <c r="A1486" s="4" t="s">
        <v>1474</v>
      </c>
      <c r="B1486" s="5" t="s">
        <v>9</v>
      </c>
      <c r="C1486" s="5">
        <v>135816.10999999999</v>
      </c>
      <c r="D1486" s="5">
        <v>21</v>
      </c>
      <c r="E1486" s="5">
        <v>0</v>
      </c>
      <c r="F1486" s="5">
        <v>0.5504</v>
      </c>
      <c r="G1486" s="5">
        <v>0.6915</v>
      </c>
      <c r="H1486" s="5">
        <v>3</v>
      </c>
      <c r="I1486" s="5">
        <v>102122.02</v>
      </c>
      <c r="J1486" s="5">
        <v>70409.289999999994</v>
      </c>
      <c r="K1486" s="5">
        <v>163</v>
      </c>
      <c r="L1486" s="5">
        <v>1</v>
      </c>
      <c r="M1486" s="5">
        <v>2</v>
      </c>
      <c r="N1486" s="5">
        <v>1</v>
      </c>
      <c r="O1486" s="5">
        <v>721.45</v>
      </c>
      <c r="P1486" s="6">
        <v>0</v>
      </c>
    </row>
    <row r="1487" spans="1:16" ht="23.4" x14ac:dyDescent="0.45">
      <c r="A1487" s="4" t="s">
        <v>1475</v>
      </c>
      <c r="B1487" s="5" t="s">
        <v>1</v>
      </c>
      <c r="C1487" s="5">
        <v>108846.97</v>
      </c>
      <c r="D1487" s="5">
        <v>48</v>
      </c>
      <c r="E1487" s="5">
        <v>0</v>
      </c>
      <c r="F1487" s="5">
        <v>0.81379999999999997</v>
      </c>
      <c r="G1487" s="5">
        <v>0.6371</v>
      </c>
      <c r="H1487" s="5">
        <v>2</v>
      </c>
      <c r="I1487" s="5">
        <v>73725.05</v>
      </c>
      <c r="J1487" s="5">
        <v>55694.53</v>
      </c>
      <c r="K1487" s="5">
        <v>58</v>
      </c>
      <c r="L1487" s="5">
        <v>3</v>
      </c>
      <c r="M1487" s="5">
        <v>2</v>
      </c>
      <c r="N1487" s="5">
        <v>2</v>
      </c>
      <c r="O1487" s="5">
        <v>811.12</v>
      </c>
      <c r="P1487" s="6">
        <v>0</v>
      </c>
    </row>
    <row r="1488" spans="1:16" ht="23.4" x14ac:dyDescent="0.45">
      <c r="A1488" s="4" t="s">
        <v>1476</v>
      </c>
      <c r="B1488" s="5" t="s">
        <v>4</v>
      </c>
      <c r="C1488" s="5">
        <v>112507.62</v>
      </c>
      <c r="D1488" s="5">
        <v>51</v>
      </c>
      <c r="E1488" s="5">
        <v>1</v>
      </c>
      <c r="F1488" s="5">
        <v>0.60929999999999995</v>
      </c>
      <c r="G1488" s="5">
        <v>5.3600000000000002E-2</v>
      </c>
      <c r="H1488" s="5">
        <v>3</v>
      </c>
      <c r="I1488" s="5">
        <v>500</v>
      </c>
      <c r="J1488" s="5">
        <v>0</v>
      </c>
      <c r="K1488" s="5">
        <v>167</v>
      </c>
      <c r="L1488" s="5">
        <v>4</v>
      </c>
      <c r="M1488" s="5">
        <v>3</v>
      </c>
      <c r="N1488" s="5">
        <v>1</v>
      </c>
      <c r="O1488" s="5">
        <v>723.05</v>
      </c>
      <c r="P1488" s="6">
        <v>0</v>
      </c>
    </row>
    <row r="1489" spans="1:16" ht="23.4" x14ac:dyDescent="0.45">
      <c r="A1489" s="4" t="s">
        <v>1477</v>
      </c>
      <c r="B1489" s="5" t="s">
        <v>4</v>
      </c>
      <c r="C1489" s="5">
        <v>62087.83</v>
      </c>
      <c r="D1489" s="5">
        <v>36</v>
      </c>
      <c r="E1489" s="5">
        <v>1</v>
      </c>
      <c r="F1489" s="5">
        <v>0.54390000000000005</v>
      </c>
      <c r="G1489" s="5">
        <v>0.48580000000000001</v>
      </c>
      <c r="H1489" s="5">
        <v>3</v>
      </c>
      <c r="I1489" s="5">
        <v>29563.74</v>
      </c>
      <c r="J1489" s="5">
        <v>22403.45</v>
      </c>
      <c r="K1489" s="5">
        <v>135</v>
      </c>
      <c r="L1489" s="5">
        <v>3</v>
      </c>
      <c r="M1489" s="5">
        <v>1</v>
      </c>
      <c r="N1489" s="5">
        <v>0</v>
      </c>
      <c r="O1489" s="5">
        <v>692.1</v>
      </c>
      <c r="P1489" s="6">
        <v>0</v>
      </c>
    </row>
    <row r="1490" spans="1:16" ht="23.4" x14ac:dyDescent="0.45">
      <c r="A1490" s="4" t="s">
        <v>1478</v>
      </c>
      <c r="B1490" s="5" t="s">
        <v>6</v>
      </c>
      <c r="C1490" s="5">
        <v>135581.01</v>
      </c>
      <c r="D1490" s="5">
        <v>53</v>
      </c>
      <c r="E1490" s="5">
        <v>1</v>
      </c>
      <c r="F1490" s="5">
        <v>0.84550000000000003</v>
      </c>
      <c r="G1490" s="5">
        <v>0.37890000000000001</v>
      </c>
      <c r="H1490" s="5">
        <v>1</v>
      </c>
      <c r="I1490" s="5">
        <v>64723.64</v>
      </c>
      <c r="J1490" s="5">
        <v>42448.37</v>
      </c>
      <c r="K1490" s="5">
        <v>159</v>
      </c>
      <c r="L1490" s="5">
        <v>2</v>
      </c>
      <c r="M1490" s="5">
        <v>1</v>
      </c>
      <c r="N1490" s="5">
        <v>1</v>
      </c>
      <c r="O1490" s="5">
        <v>694.7</v>
      </c>
      <c r="P1490" s="6">
        <v>0</v>
      </c>
    </row>
    <row r="1491" spans="1:16" ht="23.4" x14ac:dyDescent="0.45">
      <c r="A1491" s="4" t="s">
        <v>1479</v>
      </c>
      <c r="B1491" s="5" t="s">
        <v>6</v>
      </c>
      <c r="C1491" s="5">
        <v>16117.42</v>
      </c>
      <c r="D1491" s="5">
        <v>22</v>
      </c>
      <c r="E1491" s="5">
        <v>1</v>
      </c>
      <c r="F1491" s="5">
        <v>0.34670000000000001</v>
      </c>
      <c r="G1491" s="5">
        <v>0.69579999999999997</v>
      </c>
      <c r="H1491" s="5">
        <v>3</v>
      </c>
      <c r="I1491" s="5">
        <v>11509.07</v>
      </c>
      <c r="J1491" s="5">
        <v>19130.27</v>
      </c>
      <c r="K1491" s="5">
        <v>100</v>
      </c>
      <c r="L1491" s="5">
        <v>3</v>
      </c>
      <c r="M1491" s="5">
        <v>1</v>
      </c>
      <c r="N1491" s="5">
        <v>1</v>
      </c>
      <c r="O1491" s="5">
        <v>663.1</v>
      </c>
      <c r="P1491" s="6">
        <v>0</v>
      </c>
    </row>
    <row r="1492" spans="1:16" ht="23.4" x14ac:dyDescent="0.45">
      <c r="A1492" s="4" t="s">
        <v>1480</v>
      </c>
      <c r="B1492" s="5" t="s">
        <v>4</v>
      </c>
      <c r="C1492" s="5">
        <v>2255.41</v>
      </c>
      <c r="D1492" s="5">
        <v>38</v>
      </c>
      <c r="E1492" s="5">
        <v>1</v>
      </c>
      <c r="F1492" s="5">
        <v>0.64410000000000001</v>
      </c>
      <c r="G1492" s="5">
        <v>0.40160000000000001</v>
      </c>
      <c r="H1492" s="5">
        <v>3</v>
      </c>
      <c r="I1492" s="5">
        <v>15172.6</v>
      </c>
      <c r="J1492" s="5">
        <v>17823.75</v>
      </c>
      <c r="K1492" s="5">
        <v>110</v>
      </c>
      <c r="L1492" s="5">
        <v>1</v>
      </c>
      <c r="M1492" s="5">
        <v>3</v>
      </c>
      <c r="N1492" s="5">
        <v>1</v>
      </c>
      <c r="O1492" s="5">
        <v>646.9</v>
      </c>
      <c r="P1492" s="6">
        <v>0</v>
      </c>
    </row>
    <row r="1493" spans="1:16" ht="23.4" x14ac:dyDescent="0.45">
      <c r="A1493" s="4" t="s">
        <v>1481</v>
      </c>
      <c r="B1493" s="5" t="s">
        <v>18</v>
      </c>
      <c r="C1493" s="5">
        <v>138315.07</v>
      </c>
      <c r="D1493" s="5">
        <v>55</v>
      </c>
      <c r="E1493" s="5">
        <v>1</v>
      </c>
      <c r="F1493" s="5">
        <v>0.54490000000000005</v>
      </c>
      <c r="G1493" s="5">
        <v>0.15559999999999999</v>
      </c>
      <c r="H1493" s="5">
        <v>0</v>
      </c>
      <c r="I1493" s="5">
        <v>42542.55</v>
      </c>
      <c r="J1493" s="5">
        <v>31522.6</v>
      </c>
      <c r="K1493" s="5">
        <v>44</v>
      </c>
      <c r="L1493" s="5">
        <v>2</v>
      </c>
      <c r="M1493" s="5">
        <v>1</v>
      </c>
      <c r="N1493" s="5">
        <v>1</v>
      </c>
      <c r="O1493" s="5">
        <v>783.95</v>
      </c>
      <c r="P1493" s="6">
        <v>0</v>
      </c>
    </row>
    <row r="1494" spans="1:16" ht="23.4" x14ac:dyDescent="0.45">
      <c r="A1494" s="4" t="s">
        <v>1482</v>
      </c>
      <c r="B1494" s="5" t="s">
        <v>1</v>
      </c>
      <c r="C1494" s="5">
        <v>15284.04</v>
      </c>
      <c r="D1494" s="5">
        <v>60</v>
      </c>
      <c r="E1494" s="5">
        <v>0</v>
      </c>
      <c r="F1494" s="5">
        <v>0.62829999999999997</v>
      </c>
      <c r="G1494" s="5">
        <v>0.62360000000000004</v>
      </c>
      <c r="H1494" s="5">
        <v>2</v>
      </c>
      <c r="I1494" s="5">
        <v>20540.68</v>
      </c>
      <c r="J1494" s="5">
        <v>17325.57</v>
      </c>
      <c r="K1494" s="5">
        <v>58</v>
      </c>
      <c r="L1494" s="5">
        <v>1</v>
      </c>
      <c r="M1494" s="5">
        <v>2</v>
      </c>
      <c r="N1494" s="5">
        <v>1</v>
      </c>
      <c r="O1494" s="5">
        <v>728.1</v>
      </c>
      <c r="P1494" s="6">
        <v>0</v>
      </c>
    </row>
    <row r="1495" spans="1:16" ht="23.4" x14ac:dyDescent="0.45">
      <c r="A1495" s="4" t="s">
        <v>1483</v>
      </c>
      <c r="B1495" s="5" t="s">
        <v>15</v>
      </c>
      <c r="C1495" s="5">
        <v>77843.58</v>
      </c>
      <c r="D1495" s="5">
        <v>38</v>
      </c>
      <c r="E1495" s="5">
        <v>1</v>
      </c>
      <c r="F1495" s="5">
        <v>0.56630000000000003</v>
      </c>
      <c r="G1495" s="5">
        <v>9.06E-2</v>
      </c>
      <c r="H1495" s="5">
        <v>3</v>
      </c>
      <c r="I1495" s="5">
        <v>7972.24</v>
      </c>
      <c r="J1495" s="5">
        <v>3710.76</v>
      </c>
      <c r="K1495" s="5">
        <v>161</v>
      </c>
      <c r="L1495" s="5">
        <v>1</v>
      </c>
      <c r="M1495" s="5">
        <v>1</v>
      </c>
      <c r="N1495" s="5">
        <v>1</v>
      </c>
      <c r="O1495" s="5">
        <v>741.75</v>
      </c>
      <c r="P1495" s="6">
        <v>0</v>
      </c>
    </row>
    <row r="1496" spans="1:16" ht="23.4" x14ac:dyDescent="0.45">
      <c r="A1496" s="4" t="s">
        <v>1484</v>
      </c>
      <c r="B1496" s="5" t="s">
        <v>9</v>
      </c>
      <c r="C1496" s="5">
        <v>38842.86</v>
      </c>
      <c r="D1496" s="5">
        <v>40</v>
      </c>
      <c r="E1496" s="5">
        <v>0</v>
      </c>
      <c r="F1496" s="5">
        <v>0.84030000000000005</v>
      </c>
      <c r="G1496" s="5">
        <v>0.64759999999999995</v>
      </c>
      <c r="H1496" s="5">
        <v>5</v>
      </c>
      <c r="I1496" s="5">
        <v>12475.91</v>
      </c>
      <c r="J1496" s="5">
        <v>2933.59</v>
      </c>
      <c r="K1496" s="5">
        <v>149</v>
      </c>
      <c r="L1496" s="5">
        <v>1</v>
      </c>
      <c r="M1496" s="5">
        <v>2</v>
      </c>
      <c r="N1496" s="5">
        <v>1</v>
      </c>
      <c r="O1496" s="5">
        <v>671.46</v>
      </c>
      <c r="P1496" s="6">
        <v>0</v>
      </c>
    </row>
    <row r="1497" spans="1:16" ht="23.4" x14ac:dyDescent="0.45">
      <c r="A1497" s="4" t="s">
        <v>1485</v>
      </c>
      <c r="B1497" s="5" t="s">
        <v>4</v>
      </c>
      <c r="C1497" s="5">
        <v>41381.19</v>
      </c>
      <c r="D1497" s="5">
        <v>64</v>
      </c>
      <c r="E1497" s="5">
        <v>0</v>
      </c>
      <c r="F1497" s="5">
        <v>0.50790000000000002</v>
      </c>
      <c r="G1497" s="5">
        <v>0.18060000000000001</v>
      </c>
      <c r="H1497" s="5">
        <v>1</v>
      </c>
      <c r="I1497" s="5">
        <v>10791.38</v>
      </c>
      <c r="J1497" s="5">
        <v>0</v>
      </c>
      <c r="K1497" s="5">
        <v>135</v>
      </c>
      <c r="L1497" s="5">
        <v>3</v>
      </c>
      <c r="M1497" s="5">
        <v>1</v>
      </c>
      <c r="N1497" s="5">
        <v>1</v>
      </c>
      <c r="O1497" s="5">
        <v>690.35</v>
      </c>
      <c r="P1497" s="6">
        <v>0</v>
      </c>
    </row>
    <row r="1498" spans="1:16" ht="23.4" x14ac:dyDescent="0.45">
      <c r="A1498" s="4" t="s">
        <v>1486</v>
      </c>
      <c r="B1498" s="5" t="s">
        <v>9</v>
      </c>
      <c r="C1498" s="5">
        <v>2000</v>
      </c>
      <c r="D1498" s="5">
        <v>42</v>
      </c>
      <c r="E1498" s="5">
        <v>0</v>
      </c>
      <c r="F1498" s="5">
        <v>0.82420000000000004</v>
      </c>
      <c r="G1498" s="5">
        <v>0.51029999999999998</v>
      </c>
      <c r="H1498" s="5">
        <v>6</v>
      </c>
      <c r="I1498" s="5">
        <v>500</v>
      </c>
      <c r="J1498" s="5">
        <v>0</v>
      </c>
      <c r="K1498" s="5">
        <v>103</v>
      </c>
      <c r="L1498" s="5">
        <v>1</v>
      </c>
      <c r="M1498" s="5">
        <v>2</v>
      </c>
      <c r="N1498" s="5">
        <v>0</v>
      </c>
      <c r="O1498" s="5">
        <v>705.98</v>
      </c>
      <c r="P1498" s="6">
        <v>0</v>
      </c>
    </row>
    <row r="1499" spans="1:16" ht="23.4" x14ac:dyDescent="0.45">
      <c r="A1499" s="4" t="s">
        <v>1325</v>
      </c>
      <c r="B1499" s="5" t="s">
        <v>6</v>
      </c>
      <c r="C1499" s="5">
        <v>96140.84</v>
      </c>
      <c r="D1499" s="5">
        <v>63</v>
      </c>
      <c r="E1499" s="5">
        <v>0</v>
      </c>
      <c r="F1499" s="5">
        <v>0.46910000000000002</v>
      </c>
      <c r="G1499" s="5">
        <v>5.0999999999999997E-2</v>
      </c>
      <c r="H1499" s="5">
        <v>2</v>
      </c>
      <c r="I1499" s="5">
        <v>500</v>
      </c>
      <c r="J1499" s="5">
        <v>7542.98</v>
      </c>
      <c r="K1499" s="5">
        <v>14</v>
      </c>
      <c r="L1499" s="5">
        <v>1</v>
      </c>
      <c r="M1499" s="5">
        <v>1</v>
      </c>
      <c r="N1499" s="5">
        <v>1</v>
      </c>
      <c r="O1499" s="5">
        <v>802.44</v>
      </c>
      <c r="P1499" s="6">
        <v>0</v>
      </c>
    </row>
    <row r="1500" spans="1:16" ht="23.4" x14ac:dyDescent="0.45">
      <c r="A1500" s="4" t="s">
        <v>1487</v>
      </c>
      <c r="B1500" s="5" t="s">
        <v>15</v>
      </c>
      <c r="C1500" s="5">
        <v>74857.87</v>
      </c>
      <c r="D1500" s="5">
        <v>24</v>
      </c>
      <c r="E1500" s="5">
        <v>0</v>
      </c>
      <c r="F1500" s="5">
        <v>0.96289999999999998</v>
      </c>
      <c r="G1500" s="5">
        <v>0.71140000000000003</v>
      </c>
      <c r="H1500" s="5">
        <v>4</v>
      </c>
      <c r="I1500" s="5">
        <v>49597.63</v>
      </c>
      <c r="J1500" s="5">
        <v>53966.76</v>
      </c>
      <c r="K1500" s="5">
        <v>97</v>
      </c>
      <c r="L1500" s="5">
        <v>2</v>
      </c>
      <c r="M1500" s="5">
        <v>2</v>
      </c>
      <c r="N1500" s="5">
        <v>0</v>
      </c>
      <c r="O1500" s="5">
        <v>764.78</v>
      </c>
      <c r="P1500" s="6">
        <v>0</v>
      </c>
    </row>
    <row r="1501" spans="1:16" ht="23.4" x14ac:dyDescent="0.45">
      <c r="A1501" s="4" t="s">
        <v>1488</v>
      </c>
      <c r="B1501" s="5" t="s">
        <v>4</v>
      </c>
      <c r="C1501" s="5">
        <v>49074.37</v>
      </c>
      <c r="D1501" s="5">
        <v>63</v>
      </c>
      <c r="E1501" s="5">
        <v>0</v>
      </c>
      <c r="F1501" s="5">
        <v>0.7601</v>
      </c>
      <c r="G1501" s="5">
        <v>0.1893</v>
      </c>
      <c r="H1501" s="5">
        <v>0</v>
      </c>
      <c r="I1501" s="5">
        <v>35201.17</v>
      </c>
      <c r="J1501" s="5">
        <v>14238.39</v>
      </c>
      <c r="K1501" s="5">
        <v>127</v>
      </c>
      <c r="L1501" s="5">
        <v>1</v>
      </c>
      <c r="M1501" s="5">
        <v>2</v>
      </c>
      <c r="N1501" s="5">
        <v>3</v>
      </c>
      <c r="O1501" s="5">
        <v>699.78</v>
      </c>
      <c r="P1501" s="6">
        <v>0</v>
      </c>
    </row>
    <row r="1502" spans="1:16" ht="23.4" x14ac:dyDescent="0.45">
      <c r="A1502" s="4" t="s">
        <v>1489</v>
      </c>
      <c r="B1502" s="5" t="s">
        <v>9</v>
      </c>
      <c r="C1502" s="5">
        <v>12129.25</v>
      </c>
      <c r="D1502" s="5">
        <v>21</v>
      </c>
      <c r="E1502" s="5">
        <v>0</v>
      </c>
      <c r="F1502" s="5">
        <v>0.90180000000000005</v>
      </c>
      <c r="G1502" s="5">
        <v>0.77500000000000002</v>
      </c>
      <c r="H1502" s="5">
        <v>8</v>
      </c>
      <c r="I1502" s="5">
        <v>17342.82</v>
      </c>
      <c r="J1502" s="5">
        <v>0</v>
      </c>
      <c r="K1502" s="5">
        <v>18</v>
      </c>
      <c r="L1502" s="5">
        <v>1</v>
      </c>
      <c r="M1502" s="5">
        <v>1</v>
      </c>
      <c r="N1502" s="5">
        <v>0</v>
      </c>
      <c r="O1502" s="5">
        <v>626.4</v>
      </c>
      <c r="P1502" s="6">
        <v>0</v>
      </c>
    </row>
    <row r="1503" spans="1:16" ht="23.4" x14ac:dyDescent="0.45">
      <c r="A1503" s="4" t="s">
        <v>1490</v>
      </c>
      <c r="B1503" s="5" t="s">
        <v>1</v>
      </c>
      <c r="C1503" s="5">
        <v>133107.56</v>
      </c>
      <c r="D1503" s="5">
        <v>70</v>
      </c>
      <c r="E1503" s="5">
        <v>1</v>
      </c>
      <c r="F1503" s="5">
        <v>0.46339999999999998</v>
      </c>
      <c r="G1503" s="5">
        <v>0.1951</v>
      </c>
      <c r="H1503" s="5">
        <v>7</v>
      </c>
      <c r="I1503" s="5">
        <v>30235.79</v>
      </c>
      <c r="J1503" s="5">
        <v>13537.35</v>
      </c>
      <c r="K1503" s="5">
        <v>148</v>
      </c>
      <c r="L1503" s="5">
        <v>1</v>
      </c>
      <c r="M1503" s="5">
        <v>2</v>
      </c>
      <c r="N1503" s="5">
        <v>2</v>
      </c>
      <c r="O1503" s="5">
        <v>728.99</v>
      </c>
      <c r="P1503" s="6">
        <v>0</v>
      </c>
    </row>
    <row r="1504" spans="1:16" ht="23.4" x14ac:dyDescent="0.45">
      <c r="A1504" s="4" t="s">
        <v>1491</v>
      </c>
      <c r="B1504" s="5" t="s">
        <v>15</v>
      </c>
      <c r="C1504" s="5">
        <v>41120.620000000003</v>
      </c>
      <c r="D1504" s="5">
        <v>39</v>
      </c>
      <c r="E1504" s="5">
        <v>0</v>
      </c>
      <c r="F1504" s="5">
        <v>0.33279999999999998</v>
      </c>
      <c r="G1504" s="5">
        <v>0.1046</v>
      </c>
      <c r="H1504" s="5">
        <v>2</v>
      </c>
      <c r="I1504" s="5">
        <v>500</v>
      </c>
      <c r="J1504" s="5">
        <v>114.07</v>
      </c>
      <c r="K1504" s="5">
        <v>10</v>
      </c>
      <c r="L1504" s="5">
        <v>2</v>
      </c>
      <c r="M1504" s="5">
        <v>2</v>
      </c>
      <c r="N1504" s="5">
        <v>0</v>
      </c>
      <c r="O1504" s="5">
        <v>759.64</v>
      </c>
      <c r="P1504" s="6">
        <v>0</v>
      </c>
    </row>
    <row r="1505" spans="1:16" ht="23.4" x14ac:dyDescent="0.45">
      <c r="A1505" s="4" t="s">
        <v>1492</v>
      </c>
      <c r="B1505" s="5" t="s">
        <v>18</v>
      </c>
      <c r="C1505" s="5">
        <v>33747.08</v>
      </c>
      <c r="D1505" s="5">
        <v>61</v>
      </c>
      <c r="E1505" s="5">
        <v>0</v>
      </c>
      <c r="F1505" s="5">
        <v>0.70020000000000004</v>
      </c>
      <c r="G1505" s="5">
        <v>0.13589999999999999</v>
      </c>
      <c r="H1505" s="5">
        <v>2</v>
      </c>
      <c r="I1505" s="5">
        <v>500</v>
      </c>
      <c r="J1505" s="5">
        <v>2484.08</v>
      </c>
      <c r="K1505" s="5">
        <v>83</v>
      </c>
      <c r="L1505" s="5">
        <v>3</v>
      </c>
      <c r="M1505" s="5">
        <v>1</v>
      </c>
      <c r="N1505" s="5">
        <v>1</v>
      </c>
      <c r="O1505" s="5">
        <v>850</v>
      </c>
      <c r="P1505" s="6">
        <v>0</v>
      </c>
    </row>
    <row r="1506" spans="1:16" ht="23.4" x14ac:dyDescent="0.45">
      <c r="A1506" s="4" t="s">
        <v>1493</v>
      </c>
      <c r="B1506" s="5" t="s">
        <v>6</v>
      </c>
      <c r="C1506" s="5">
        <v>61753.66</v>
      </c>
      <c r="D1506" s="5">
        <v>42</v>
      </c>
      <c r="E1506" s="5">
        <v>1</v>
      </c>
      <c r="F1506" s="5">
        <v>0.7994</v>
      </c>
      <c r="G1506" s="5">
        <v>0.70689999999999997</v>
      </c>
      <c r="H1506" s="5">
        <v>3</v>
      </c>
      <c r="I1506" s="5">
        <v>68660.69</v>
      </c>
      <c r="J1506" s="5">
        <v>43053.68</v>
      </c>
      <c r="K1506" s="5">
        <v>101</v>
      </c>
      <c r="L1506" s="5">
        <v>1</v>
      </c>
      <c r="M1506" s="5">
        <v>3</v>
      </c>
      <c r="N1506" s="5">
        <v>0</v>
      </c>
      <c r="O1506" s="5">
        <v>696.63</v>
      </c>
      <c r="P1506" s="6">
        <v>0</v>
      </c>
    </row>
    <row r="1507" spans="1:16" ht="23.4" x14ac:dyDescent="0.45">
      <c r="A1507" s="4" t="s">
        <v>1494</v>
      </c>
      <c r="B1507" s="5" t="s">
        <v>18</v>
      </c>
      <c r="C1507" s="5">
        <v>67282.820000000007</v>
      </c>
      <c r="D1507" s="5">
        <v>43</v>
      </c>
      <c r="E1507" s="5">
        <v>0</v>
      </c>
      <c r="F1507" s="5">
        <v>0.53610000000000002</v>
      </c>
      <c r="G1507" s="5">
        <v>0.22770000000000001</v>
      </c>
      <c r="H1507" s="5">
        <v>0</v>
      </c>
      <c r="I1507" s="5">
        <v>17148.27</v>
      </c>
      <c r="J1507" s="5">
        <v>6063.44</v>
      </c>
      <c r="K1507" s="5">
        <v>52</v>
      </c>
      <c r="L1507" s="5">
        <v>1</v>
      </c>
      <c r="M1507" s="5">
        <v>1</v>
      </c>
      <c r="N1507" s="5">
        <v>0</v>
      </c>
      <c r="O1507" s="5">
        <v>713.09</v>
      </c>
      <c r="P1507" s="6">
        <v>0</v>
      </c>
    </row>
    <row r="1508" spans="1:16" ht="23.4" x14ac:dyDescent="0.45">
      <c r="A1508" s="4" t="s">
        <v>1495</v>
      </c>
      <c r="B1508" s="5" t="s">
        <v>4</v>
      </c>
      <c r="C1508" s="5">
        <v>67416.539999999994</v>
      </c>
      <c r="D1508" s="5">
        <v>22</v>
      </c>
      <c r="E1508" s="5">
        <v>1</v>
      </c>
      <c r="F1508" s="5">
        <v>0.56630000000000003</v>
      </c>
      <c r="G1508" s="5">
        <v>0.38840000000000002</v>
      </c>
      <c r="H1508" s="5">
        <v>4</v>
      </c>
      <c r="I1508" s="5">
        <v>36543.51</v>
      </c>
      <c r="J1508" s="5">
        <v>18921.71</v>
      </c>
      <c r="K1508" s="5">
        <v>79</v>
      </c>
      <c r="L1508" s="5">
        <v>2</v>
      </c>
      <c r="M1508" s="5">
        <v>1</v>
      </c>
      <c r="N1508" s="5">
        <v>1</v>
      </c>
      <c r="O1508" s="5">
        <v>643.9</v>
      </c>
      <c r="P1508" s="6">
        <v>0</v>
      </c>
    </row>
    <row r="1509" spans="1:16" ht="23.4" x14ac:dyDescent="0.45">
      <c r="A1509" s="4" t="s">
        <v>1496</v>
      </c>
      <c r="B1509" s="5" t="s">
        <v>4</v>
      </c>
      <c r="C1509" s="5">
        <v>66334.44</v>
      </c>
      <c r="D1509" s="5">
        <v>35</v>
      </c>
      <c r="E1509" s="5">
        <v>0</v>
      </c>
      <c r="F1509" s="5">
        <v>0.53090000000000004</v>
      </c>
      <c r="G1509" s="5">
        <v>0.35360000000000003</v>
      </c>
      <c r="H1509" s="5">
        <v>1</v>
      </c>
      <c r="I1509" s="5">
        <v>23880.92</v>
      </c>
      <c r="J1509" s="5">
        <v>19310.46</v>
      </c>
      <c r="K1509" s="5">
        <v>95</v>
      </c>
      <c r="L1509" s="5">
        <v>1</v>
      </c>
      <c r="M1509" s="5">
        <v>1</v>
      </c>
      <c r="N1509" s="5">
        <v>2</v>
      </c>
      <c r="O1509" s="5">
        <v>726.41</v>
      </c>
      <c r="P1509" s="6">
        <v>0</v>
      </c>
    </row>
    <row r="1510" spans="1:16" ht="23.4" x14ac:dyDescent="0.45">
      <c r="A1510" s="4" t="s">
        <v>1497</v>
      </c>
      <c r="B1510" s="5" t="s">
        <v>18</v>
      </c>
      <c r="C1510" s="5">
        <v>159381.12</v>
      </c>
      <c r="D1510" s="5">
        <v>46</v>
      </c>
      <c r="E1510" s="5">
        <v>1</v>
      </c>
      <c r="F1510" s="5">
        <v>0.81399999999999995</v>
      </c>
      <c r="G1510" s="5">
        <v>0.5111</v>
      </c>
      <c r="H1510" s="5">
        <v>4</v>
      </c>
      <c r="I1510" s="5">
        <v>106841.49</v>
      </c>
      <c r="J1510" s="5">
        <v>86285.26</v>
      </c>
      <c r="K1510" s="5">
        <v>126</v>
      </c>
      <c r="L1510" s="5">
        <v>1</v>
      </c>
      <c r="M1510" s="5">
        <v>2</v>
      </c>
      <c r="N1510" s="5">
        <v>0</v>
      </c>
      <c r="O1510" s="5">
        <v>775.65</v>
      </c>
      <c r="P1510" s="6">
        <v>0</v>
      </c>
    </row>
    <row r="1511" spans="1:16" ht="23.4" x14ac:dyDescent="0.45">
      <c r="A1511" s="4" t="s">
        <v>1498</v>
      </c>
      <c r="B1511" s="5" t="s">
        <v>1</v>
      </c>
      <c r="C1511" s="5">
        <v>80119.34</v>
      </c>
      <c r="D1511" s="5">
        <v>38</v>
      </c>
      <c r="E1511" s="5">
        <v>1</v>
      </c>
      <c r="F1511" s="5">
        <v>0.45519999999999999</v>
      </c>
      <c r="G1511" s="5">
        <v>0.32940000000000003</v>
      </c>
      <c r="H1511" s="5">
        <v>2</v>
      </c>
      <c r="I1511" s="5">
        <v>40227.32</v>
      </c>
      <c r="J1511" s="5">
        <v>18241.259999999998</v>
      </c>
      <c r="K1511" s="5">
        <v>147</v>
      </c>
      <c r="L1511" s="5">
        <v>1</v>
      </c>
      <c r="M1511" s="5">
        <v>1</v>
      </c>
      <c r="N1511" s="5">
        <v>1</v>
      </c>
      <c r="O1511" s="5">
        <v>759.44</v>
      </c>
      <c r="P1511" s="6">
        <v>0</v>
      </c>
    </row>
    <row r="1512" spans="1:16" ht="23.4" x14ac:dyDescent="0.45">
      <c r="A1512" s="4" t="s">
        <v>1499</v>
      </c>
      <c r="B1512" s="5" t="s">
        <v>18</v>
      </c>
      <c r="C1512" s="5">
        <v>103461.92</v>
      </c>
      <c r="D1512" s="5">
        <v>41</v>
      </c>
      <c r="E1512" s="5">
        <v>1</v>
      </c>
      <c r="F1512" s="5">
        <v>0.6079</v>
      </c>
      <c r="G1512" s="5">
        <v>0.49959999999999999</v>
      </c>
      <c r="H1512" s="5">
        <v>4</v>
      </c>
      <c r="I1512" s="5">
        <v>34306.629999999997</v>
      </c>
      <c r="J1512" s="5">
        <v>21927.43</v>
      </c>
      <c r="K1512" s="5">
        <v>163</v>
      </c>
      <c r="L1512" s="5">
        <v>1</v>
      </c>
      <c r="M1512" s="5">
        <v>1</v>
      </c>
      <c r="N1512" s="5">
        <v>0</v>
      </c>
      <c r="O1512" s="5">
        <v>793.94</v>
      </c>
      <c r="P1512" s="6">
        <v>0</v>
      </c>
    </row>
    <row r="1513" spans="1:16" ht="23.4" x14ac:dyDescent="0.45">
      <c r="A1513" s="4" t="s">
        <v>1500</v>
      </c>
      <c r="B1513" s="5" t="s">
        <v>4</v>
      </c>
      <c r="C1513" s="5">
        <v>118333.47</v>
      </c>
      <c r="D1513" s="5">
        <v>40</v>
      </c>
      <c r="E1513" s="5">
        <v>1</v>
      </c>
      <c r="F1513" s="5">
        <v>0.57450000000000001</v>
      </c>
      <c r="G1513" s="5">
        <v>0.28710000000000002</v>
      </c>
      <c r="H1513" s="5">
        <v>0</v>
      </c>
      <c r="I1513" s="5">
        <v>37351.760000000002</v>
      </c>
      <c r="J1513" s="5">
        <v>24466.31</v>
      </c>
      <c r="K1513" s="5">
        <v>60</v>
      </c>
      <c r="L1513" s="5">
        <v>2</v>
      </c>
      <c r="M1513" s="5">
        <v>1</v>
      </c>
      <c r="N1513" s="5">
        <v>0</v>
      </c>
      <c r="O1513" s="5">
        <v>752.83</v>
      </c>
      <c r="P1513" s="6">
        <v>0</v>
      </c>
    </row>
    <row r="1514" spans="1:16" ht="23.4" x14ac:dyDescent="0.45">
      <c r="A1514" s="4" t="s">
        <v>1501</v>
      </c>
      <c r="B1514" s="5" t="s">
        <v>4</v>
      </c>
      <c r="C1514" s="5">
        <v>86948.479999999996</v>
      </c>
      <c r="D1514" s="5">
        <v>28</v>
      </c>
      <c r="E1514" s="5">
        <v>0</v>
      </c>
      <c r="F1514" s="5">
        <v>0.37559999999999999</v>
      </c>
      <c r="G1514" s="5">
        <v>0.64080000000000004</v>
      </c>
      <c r="H1514" s="5">
        <v>0</v>
      </c>
      <c r="I1514" s="5">
        <v>70210.86</v>
      </c>
      <c r="J1514" s="5">
        <v>45807.74</v>
      </c>
      <c r="K1514" s="5">
        <v>152</v>
      </c>
      <c r="L1514" s="5">
        <v>2</v>
      </c>
      <c r="M1514" s="5">
        <v>1</v>
      </c>
      <c r="N1514" s="5">
        <v>2</v>
      </c>
      <c r="O1514" s="5">
        <v>630.73</v>
      </c>
      <c r="P1514" s="6">
        <v>0</v>
      </c>
    </row>
    <row r="1515" spans="1:16" ht="23.4" x14ac:dyDescent="0.45">
      <c r="A1515" s="4" t="s">
        <v>1502</v>
      </c>
      <c r="B1515" s="5" t="s">
        <v>18</v>
      </c>
      <c r="C1515" s="5">
        <v>82583.839999999997</v>
      </c>
      <c r="D1515" s="5">
        <v>53</v>
      </c>
      <c r="E1515" s="5">
        <v>1</v>
      </c>
      <c r="F1515" s="5">
        <v>0.5615</v>
      </c>
      <c r="G1515" s="5">
        <v>0.36209999999999998</v>
      </c>
      <c r="H1515" s="5">
        <v>3</v>
      </c>
      <c r="I1515" s="5">
        <v>37326.86</v>
      </c>
      <c r="J1515" s="5">
        <v>35516.35</v>
      </c>
      <c r="K1515" s="5">
        <v>57</v>
      </c>
      <c r="L1515" s="5">
        <v>1</v>
      </c>
      <c r="M1515" s="5">
        <v>2</v>
      </c>
      <c r="N1515" s="5">
        <v>2</v>
      </c>
      <c r="O1515" s="5">
        <v>741.11</v>
      </c>
      <c r="P1515" s="6">
        <v>0</v>
      </c>
    </row>
    <row r="1516" spans="1:16" ht="23.4" x14ac:dyDescent="0.45">
      <c r="A1516" s="4" t="s">
        <v>1503</v>
      </c>
      <c r="B1516" s="5" t="s">
        <v>4</v>
      </c>
      <c r="C1516" s="5">
        <v>78849.899999999994</v>
      </c>
      <c r="D1516" s="5">
        <v>51</v>
      </c>
      <c r="E1516" s="5">
        <v>1</v>
      </c>
      <c r="F1516" s="5">
        <v>0.72440000000000004</v>
      </c>
      <c r="G1516" s="5">
        <v>0</v>
      </c>
      <c r="H1516" s="5">
        <v>0</v>
      </c>
      <c r="I1516" s="5">
        <v>7277.02</v>
      </c>
      <c r="J1516" s="5">
        <v>0</v>
      </c>
      <c r="K1516" s="5">
        <v>96</v>
      </c>
      <c r="L1516" s="5">
        <v>3</v>
      </c>
      <c r="M1516" s="5">
        <v>1</v>
      </c>
      <c r="N1516" s="5">
        <v>1</v>
      </c>
      <c r="O1516" s="5">
        <v>849.16</v>
      </c>
      <c r="P1516" s="6">
        <v>0</v>
      </c>
    </row>
    <row r="1517" spans="1:16" ht="23.4" x14ac:dyDescent="0.45">
      <c r="A1517" s="4" t="s">
        <v>1504</v>
      </c>
      <c r="B1517" s="5" t="s">
        <v>6</v>
      </c>
      <c r="C1517" s="5">
        <v>95105.78</v>
      </c>
      <c r="D1517" s="5">
        <v>41</v>
      </c>
      <c r="E1517" s="5">
        <v>1</v>
      </c>
      <c r="F1517" s="5">
        <v>0.63039999999999996</v>
      </c>
      <c r="G1517" s="5">
        <v>0.2014</v>
      </c>
      <c r="H1517" s="5">
        <v>4</v>
      </c>
      <c r="I1517" s="5">
        <v>35136.129999999997</v>
      </c>
      <c r="J1517" s="5">
        <v>10233.69</v>
      </c>
      <c r="K1517" s="5">
        <v>60</v>
      </c>
      <c r="L1517" s="5">
        <v>3</v>
      </c>
      <c r="M1517" s="5">
        <v>2</v>
      </c>
      <c r="N1517" s="5">
        <v>1</v>
      </c>
      <c r="O1517" s="5">
        <v>771.07</v>
      </c>
      <c r="P1517" s="6">
        <v>0</v>
      </c>
    </row>
    <row r="1518" spans="1:16" ht="23.4" x14ac:dyDescent="0.45">
      <c r="A1518" s="4" t="s">
        <v>1505</v>
      </c>
      <c r="B1518" s="5" t="s">
        <v>15</v>
      </c>
      <c r="C1518" s="5">
        <v>69234.990000000005</v>
      </c>
      <c r="D1518" s="5">
        <v>57</v>
      </c>
      <c r="E1518" s="5">
        <v>1</v>
      </c>
      <c r="F1518" s="5">
        <v>0.69310000000000005</v>
      </c>
      <c r="G1518" s="5">
        <v>0.55349999999999999</v>
      </c>
      <c r="H1518" s="5">
        <v>2</v>
      </c>
      <c r="I1518" s="5">
        <v>34506.58</v>
      </c>
      <c r="J1518" s="5">
        <v>18623.96</v>
      </c>
      <c r="K1518" s="5">
        <v>77</v>
      </c>
      <c r="L1518" s="5">
        <v>3</v>
      </c>
      <c r="M1518" s="5">
        <v>1</v>
      </c>
      <c r="N1518" s="5">
        <v>1</v>
      </c>
      <c r="O1518" s="5">
        <v>634.09</v>
      </c>
      <c r="P1518" s="6">
        <v>0</v>
      </c>
    </row>
    <row r="1519" spans="1:16" ht="23.4" x14ac:dyDescent="0.45">
      <c r="A1519" s="4" t="s">
        <v>1506</v>
      </c>
      <c r="B1519" s="5" t="s">
        <v>9</v>
      </c>
      <c r="C1519" s="5">
        <v>105474.36</v>
      </c>
      <c r="D1519" s="5">
        <v>46</v>
      </c>
      <c r="E1519" s="5">
        <v>1</v>
      </c>
      <c r="F1519" s="5">
        <v>0.63770000000000004</v>
      </c>
      <c r="G1519" s="5">
        <v>0.3513</v>
      </c>
      <c r="H1519" s="5">
        <v>2</v>
      </c>
      <c r="I1519" s="5">
        <v>46620.44</v>
      </c>
      <c r="J1519" s="5">
        <v>22082.09</v>
      </c>
      <c r="K1519" s="5">
        <v>153</v>
      </c>
      <c r="L1519" s="5">
        <v>1</v>
      </c>
      <c r="M1519" s="5">
        <v>1</v>
      </c>
      <c r="N1519" s="5">
        <v>1</v>
      </c>
      <c r="O1519" s="5">
        <v>746.94</v>
      </c>
      <c r="P1519" s="6">
        <v>0</v>
      </c>
    </row>
    <row r="1520" spans="1:16" ht="23.4" x14ac:dyDescent="0.45">
      <c r="A1520" s="4" t="s">
        <v>1507</v>
      </c>
      <c r="B1520" s="5" t="s">
        <v>1</v>
      </c>
      <c r="C1520" s="5">
        <v>102295.94</v>
      </c>
      <c r="D1520" s="5">
        <v>58</v>
      </c>
      <c r="E1520" s="5">
        <v>1</v>
      </c>
      <c r="F1520" s="5">
        <v>0.66339999999999999</v>
      </c>
      <c r="G1520" s="5">
        <v>6.4000000000000003E-3</v>
      </c>
      <c r="H1520" s="5">
        <v>0</v>
      </c>
      <c r="I1520" s="5">
        <v>500</v>
      </c>
      <c r="J1520" s="5">
        <v>0</v>
      </c>
      <c r="K1520" s="5">
        <v>142</v>
      </c>
      <c r="L1520" s="5">
        <v>2</v>
      </c>
      <c r="M1520" s="5">
        <v>1</v>
      </c>
      <c r="N1520" s="5">
        <v>0</v>
      </c>
      <c r="O1520" s="5">
        <v>850</v>
      </c>
      <c r="P1520" s="6">
        <v>0</v>
      </c>
    </row>
    <row r="1521" spans="1:16" ht="23.4" x14ac:dyDescent="0.45">
      <c r="A1521" s="4" t="s">
        <v>1508</v>
      </c>
      <c r="B1521" s="5" t="s">
        <v>15</v>
      </c>
      <c r="C1521" s="5">
        <v>100407.54</v>
      </c>
      <c r="D1521" s="5">
        <v>64</v>
      </c>
      <c r="E1521" s="5">
        <v>1</v>
      </c>
      <c r="F1521" s="5">
        <v>0.6694</v>
      </c>
      <c r="G1521" s="5">
        <v>0.2555</v>
      </c>
      <c r="H1521" s="5">
        <v>1</v>
      </c>
      <c r="I1521" s="5">
        <v>7716.12</v>
      </c>
      <c r="J1521" s="5">
        <v>0</v>
      </c>
      <c r="K1521" s="5">
        <v>79</v>
      </c>
      <c r="L1521" s="5">
        <v>1</v>
      </c>
      <c r="M1521" s="5">
        <v>1</v>
      </c>
      <c r="N1521" s="5">
        <v>0</v>
      </c>
      <c r="O1521" s="5">
        <v>749.12</v>
      </c>
      <c r="P1521" s="6">
        <v>0</v>
      </c>
    </row>
    <row r="1522" spans="1:16" ht="23.4" x14ac:dyDescent="0.45">
      <c r="A1522" s="4" t="s">
        <v>1509</v>
      </c>
      <c r="B1522" s="5" t="s">
        <v>1</v>
      </c>
      <c r="C1522" s="5">
        <v>96263.17</v>
      </c>
      <c r="D1522" s="5">
        <v>69</v>
      </c>
      <c r="E1522" s="5">
        <v>0</v>
      </c>
      <c r="F1522" s="5">
        <v>0.53420000000000001</v>
      </c>
      <c r="G1522" s="5">
        <v>0.84360000000000002</v>
      </c>
      <c r="H1522" s="5">
        <v>3</v>
      </c>
      <c r="I1522" s="5">
        <v>68762.559999999998</v>
      </c>
      <c r="J1522" s="5">
        <v>36342.239999999998</v>
      </c>
      <c r="K1522" s="5">
        <v>100</v>
      </c>
      <c r="L1522" s="5">
        <v>2</v>
      </c>
      <c r="M1522" s="5">
        <v>2</v>
      </c>
      <c r="N1522" s="5">
        <v>2</v>
      </c>
      <c r="O1522" s="5">
        <v>703.04</v>
      </c>
      <c r="P1522" s="6">
        <v>0</v>
      </c>
    </row>
    <row r="1523" spans="1:16" ht="23.4" x14ac:dyDescent="0.45">
      <c r="A1523" s="4" t="s">
        <v>1510</v>
      </c>
      <c r="B1523" s="5" t="s">
        <v>1</v>
      </c>
      <c r="C1523" s="5">
        <v>5486.94</v>
      </c>
      <c r="D1523" s="5">
        <v>66</v>
      </c>
      <c r="E1523" s="5">
        <v>1</v>
      </c>
      <c r="F1523" s="5">
        <v>0.3977</v>
      </c>
      <c r="G1523" s="5">
        <v>0.21929999999999999</v>
      </c>
      <c r="H1523" s="5">
        <v>3</v>
      </c>
      <c r="I1523" s="5">
        <v>14136.84</v>
      </c>
      <c r="J1523" s="5">
        <v>16111.4</v>
      </c>
      <c r="K1523" s="5">
        <v>51</v>
      </c>
      <c r="L1523" s="5">
        <v>1</v>
      </c>
      <c r="M1523" s="5">
        <v>1</v>
      </c>
      <c r="N1523" s="5">
        <v>1</v>
      </c>
      <c r="O1523" s="5">
        <v>731.87</v>
      </c>
      <c r="P1523" s="6">
        <v>0</v>
      </c>
    </row>
    <row r="1524" spans="1:16" ht="23.4" x14ac:dyDescent="0.45">
      <c r="A1524" s="4" t="s">
        <v>1511</v>
      </c>
      <c r="B1524" s="5" t="s">
        <v>15</v>
      </c>
      <c r="C1524" s="5">
        <v>15735.62</v>
      </c>
      <c r="D1524" s="5">
        <v>61</v>
      </c>
      <c r="E1524" s="5">
        <v>0</v>
      </c>
      <c r="F1524" s="5">
        <v>0.42970000000000003</v>
      </c>
      <c r="G1524" s="5">
        <v>0.64459999999999995</v>
      </c>
      <c r="H1524" s="5">
        <v>1</v>
      </c>
      <c r="I1524" s="5">
        <v>4448.2</v>
      </c>
      <c r="J1524" s="5">
        <v>12046.22</v>
      </c>
      <c r="K1524" s="5">
        <v>169</v>
      </c>
      <c r="L1524" s="5">
        <v>2</v>
      </c>
      <c r="M1524" s="5">
        <v>2</v>
      </c>
      <c r="N1524" s="5">
        <v>2</v>
      </c>
      <c r="O1524" s="5">
        <v>516.86</v>
      </c>
      <c r="P1524" s="6">
        <v>0</v>
      </c>
    </row>
    <row r="1525" spans="1:16" ht="23.4" x14ac:dyDescent="0.45">
      <c r="A1525" s="4" t="s">
        <v>1512</v>
      </c>
      <c r="B1525" s="5" t="s">
        <v>4</v>
      </c>
      <c r="C1525" s="5">
        <v>114223.67999999999</v>
      </c>
      <c r="D1525" s="5">
        <v>54</v>
      </c>
      <c r="E1525" s="5">
        <v>1</v>
      </c>
      <c r="F1525" s="5">
        <v>0.54200000000000004</v>
      </c>
      <c r="G1525" s="5">
        <v>1</v>
      </c>
      <c r="H1525" s="5">
        <v>9</v>
      </c>
      <c r="I1525" s="5">
        <v>101862.92</v>
      </c>
      <c r="J1525" s="5">
        <v>66360.56</v>
      </c>
      <c r="K1525" s="5">
        <v>58</v>
      </c>
      <c r="L1525" s="5">
        <v>2</v>
      </c>
      <c r="M1525" s="5">
        <v>2</v>
      </c>
      <c r="N1525" s="5">
        <v>0</v>
      </c>
      <c r="O1525" s="5">
        <v>531.59</v>
      </c>
      <c r="P1525" s="6">
        <v>0</v>
      </c>
    </row>
    <row r="1526" spans="1:16" ht="23.4" x14ac:dyDescent="0.45">
      <c r="A1526" s="4" t="s">
        <v>1513</v>
      </c>
      <c r="B1526" s="5" t="s">
        <v>18</v>
      </c>
      <c r="C1526" s="5">
        <v>111041.24</v>
      </c>
      <c r="D1526" s="5">
        <v>32</v>
      </c>
      <c r="E1526" s="5">
        <v>1</v>
      </c>
      <c r="F1526" s="5">
        <v>0.68940000000000001</v>
      </c>
      <c r="G1526" s="5">
        <v>0.34670000000000001</v>
      </c>
      <c r="H1526" s="5">
        <v>0</v>
      </c>
      <c r="I1526" s="5">
        <v>42917.66</v>
      </c>
      <c r="J1526" s="5">
        <v>38160.86</v>
      </c>
      <c r="K1526" s="5">
        <v>117</v>
      </c>
      <c r="L1526" s="5">
        <v>3</v>
      </c>
      <c r="M1526" s="5">
        <v>1</v>
      </c>
      <c r="N1526" s="5">
        <v>0</v>
      </c>
      <c r="O1526" s="5">
        <v>709.66</v>
      </c>
      <c r="P1526" s="6">
        <v>0</v>
      </c>
    </row>
    <row r="1527" spans="1:16" ht="23.4" x14ac:dyDescent="0.45">
      <c r="A1527" s="4" t="s">
        <v>1514</v>
      </c>
      <c r="B1527" s="5" t="s">
        <v>18</v>
      </c>
      <c r="C1527" s="5">
        <v>221516.88</v>
      </c>
      <c r="D1527" s="5">
        <v>55</v>
      </c>
      <c r="E1527" s="5">
        <v>0</v>
      </c>
      <c r="F1527" s="5">
        <v>1</v>
      </c>
      <c r="G1527" s="5">
        <v>0.68959999999999999</v>
      </c>
      <c r="H1527" s="5">
        <v>4</v>
      </c>
      <c r="I1527" s="5">
        <v>154698.68</v>
      </c>
      <c r="J1527" s="5">
        <v>129412.31</v>
      </c>
      <c r="K1527" s="5">
        <v>164</v>
      </c>
      <c r="L1527" s="5">
        <v>2</v>
      </c>
      <c r="M1527" s="5">
        <v>2</v>
      </c>
      <c r="N1527" s="5">
        <v>2</v>
      </c>
      <c r="O1527" s="5">
        <v>626.27</v>
      </c>
      <c r="P1527" s="6">
        <v>0</v>
      </c>
    </row>
    <row r="1528" spans="1:16" ht="23.4" x14ac:dyDescent="0.45">
      <c r="A1528" s="4" t="s">
        <v>1515</v>
      </c>
      <c r="B1528" s="5" t="s">
        <v>9</v>
      </c>
      <c r="C1528" s="5">
        <v>138294.35</v>
      </c>
      <c r="D1528" s="5">
        <v>49</v>
      </c>
      <c r="E1528" s="5">
        <v>1</v>
      </c>
      <c r="F1528" s="5">
        <v>0.3881</v>
      </c>
      <c r="G1528" s="5">
        <v>0.32400000000000001</v>
      </c>
      <c r="H1528" s="5">
        <v>2</v>
      </c>
      <c r="I1528" s="5">
        <v>37101.08</v>
      </c>
      <c r="J1528" s="5">
        <v>29995.16</v>
      </c>
      <c r="K1528" s="5">
        <v>114</v>
      </c>
      <c r="L1528" s="5">
        <v>3</v>
      </c>
      <c r="M1528" s="5">
        <v>2</v>
      </c>
      <c r="N1528" s="5">
        <v>0</v>
      </c>
      <c r="O1528" s="5">
        <v>677</v>
      </c>
      <c r="P1528" s="6">
        <v>0</v>
      </c>
    </row>
    <row r="1529" spans="1:16" ht="23.4" x14ac:dyDescent="0.45">
      <c r="A1529" s="4" t="s">
        <v>1516</v>
      </c>
      <c r="B1529" s="5" t="s">
        <v>4</v>
      </c>
      <c r="C1529" s="5">
        <v>71112.600000000006</v>
      </c>
      <c r="D1529" s="5">
        <v>41</v>
      </c>
      <c r="E1529" s="5">
        <v>0</v>
      </c>
      <c r="F1529" s="5">
        <v>0.69140000000000001</v>
      </c>
      <c r="G1529" s="5">
        <v>8.9300000000000004E-2</v>
      </c>
      <c r="H1529" s="5">
        <v>4</v>
      </c>
      <c r="I1529" s="5">
        <v>9458.0499999999993</v>
      </c>
      <c r="J1529" s="5">
        <v>7599.72</v>
      </c>
      <c r="K1529" s="5">
        <v>177</v>
      </c>
      <c r="L1529" s="5">
        <v>1</v>
      </c>
      <c r="M1529" s="5">
        <v>1</v>
      </c>
      <c r="N1529" s="5">
        <v>0</v>
      </c>
      <c r="O1529" s="5">
        <v>723.59</v>
      </c>
      <c r="P1529" s="6">
        <v>0</v>
      </c>
    </row>
    <row r="1530" spans="1:16" ht="23.4" x14ac:dyDescent="0.45">
      <c r="A1530" s="4" t="s">
        <v>1517</v>
      </c>
      <c r="B1530" s="5" t="s">
        <v>18</v>
      </c>
      <c r="C1530" s="5">
        <v>132560.95000000001</v>
      </c>
      <c r="D1530" s="5">
        <v>58</v>
      </c>
      <c r="E1530" s="5">
        <v>0</v>
      </c>
      <c r="F1530" s="5">
        <v>0.88109999999999999</v>
      </c>
      <c r="G1530" s="5">
        <v>0.56569999999999998</v>
      </c>
      <c r="H1530" s="5">
        <v>4</v>
      </c>
      <c r="I1530" s="5">
        <v>79861.759999999995</v>
      </c>
      <c r="J1530" s="5">
        <v>56858.28</v>
      </c>
      <c r="K1530" s="5">
        <v>152</v>
      </c>
      <c r="L1530" s="5">
        <v>4</v>
      </c>
      <c r="M1530" s="5">
        <v>1</v>
      </c>
      <c r="N1530" s="5">
        <v>1</v>
      </c>
      <c r="O1530" s="5">
        <v>698.33</v>
      </c>
      <c r="P1530" s="6">
        <v>0</v>
      </c>
    </row>
    <row r="1531" spans="1:16" ht="23.4" x14ac:dyDescent="0.45">
      <c r="A1531" s="4" t="s">
        <v>1518</v>
      </c>
      <c r="B1531" s="5" t="s">
        <v>15</v>
      </c>
      <c r="C1531" s="5">
        <v>110990.62</v>
      </c>
      <c r="D1531" s="5">
        <v>23</v>
      </c>
      <c r="E1531" s="5">
        <v>1</v>
      </c>
      <c r="F1531" s="5">
        <v>0.42630000000000001</v>
      </c>
      <c r="G1531" s="5">
        <v>0.22850000000000001</v>
      </c>
      <c r="H1531" s="5">
        <v>0</v>
      </c>
      <c r="I1531" s="5">
        <v>41733.14</v>
      </c>
      <c r="J1531" s="5">
        <v>31418.46</v>
      </c>
      <c r="K1531" s="5">
        <v>37</v>
      </c>
      <c r="L1531" s="5">
        <v>1</v>
      </c>
      <c r="M1531" s="5">
        <v>1</v>
      </c>
      <c r="N1531" s="5">
        <v>2</v>
      </c>
      <c r="O1531" s="5">
        <v>724.93</v>
      </c>
      <c r="P1531" s="6">
        <v>0</v>
      </c>
    </row>
    <row r="1532" spans="1:16" ht="23.4" x14ac:dyDescent="0.45">
      <c r="A1532" s="4" t="s">
        <v>1519</v>
      </c>
      <c r="B1532" s="5" t="s">
        <v>1</v>
      </c>
      <c r="C1532" s="5">
        <v>83253.070000000007</v>
      </c>
      <c r="D1532" s="5">
        <v>25</v>
      </c>
      <c r="E1532" s="5">
        <v>0</v>
      </c>
      <c r="F1532" s="5">
        <v>0.56730000000000003</v>
      </c>
      <c r="G1532" s="5">
        <v>0.88190000000000002</v>
      </c>
      <c r="H1532" s="5">
        <v>2</v>
      </c>
      <c r="I1532" s="5">
        <v>78579.16</v>
      </c>
      <c r="J1532" s="5">
        <v>39810.910000000003</v>
      </c>
      <c r="K1532" s="5">
        <v>58</v>
      </c>
      <c r="L1532" s="5">
        <v>2</v>
      </c>
      <c r="M1532" s="5">
        <v>1</v>
      </c>
      <c r="N1532" s="5">
        <v>2</v>
      </c>
      <c r="O1532" s="5">
        <v>728.33</v>
      </c>
      <c r="P1532" s="6">
        <v>0</v>
      </c>
    </row>
    <row r="1533" spans="1:16" ht="23.4" x14ac:dyDescent="0.45">
      <c r="A1533" s="4" t="s">
        <v>1520</v>
      </c>
      <c r="B1533" s="5" t="s">
        <v>1</v>
      </c>
      <c r="C1533" s="5">
        <v>122757.57</v>
      </c>
      <c r="D1533" s="5">
        <v>59</v>
      </c>
      <c r="E1533" s="5">
        <v>1</v>
      </c>
      <c r="F1533" s="5">
        <v>0.57809999999999995</v>
      </c>
      <c r="G1533" s="5">
        <v>0.50939999999999996</v>
      </c>
      <c r="H1533" s="5">
        <v>1</v>
      </c>
      <c r="I1533" s="5">
        <v>83923.5</v>
      </c>
      <c r="J1533" s="5">
        <v>53863.06</v>
      </c>
      <c r="K1533" s="5">
        <v>91</v>
      </c>
      <c r="L1533" s="5">
        <v>2</v>
      </c>
      <c r="M1533" s="5">
        <v>3</v>
      </c>
      <c r="N1533" s="5">
        <v>3</v>
      </c>
      <c r="O1533" s="5">
        <v>681.27</v>
      </c>
      <c r="P1533" s="6">
        <v>0</v>
      </c>
    </row>
    <row r="1534" spans="1:16" ht="23.4" x14ac:dyDescent="0.45">
      <c r="A1534" s="4" t="s">
        <v>1521</v>
      </c>
      <c r="B1534" s="5" t="s">
        <v>18</v>
      </c>
      <c r="C1534" s="5">
        <v>51056.62</v>
      </c>
      <c r="D1534" s="5">
        <v>39</v>
      </c>
      <c r="E1534" s="5">
        <v>1</v>
      </c>
      <c r="F1534" s="5">
        <v>0.78120000000000001</v>
      </c>
      <c r="G1534" s="5">
        <v>0.22109999999999999</v>
      </c>
      <c r="H1534" s="5">
        <v>2</v>
      </c>
      <c r="I1534" s="5">
        <v>500</v>
      </c>
      <c r="J1534" s="5">
        <v>0</v>
      </c>
      <c r="K1534" s="5">
        <v>102</v>
      </c>
      <c r="L1534" s="5">
        <v>1</v>
      </c>
      <c r="M1534" s="5">
        <v>1</v>
      </c>
      <c r="N1534" s="5">
        <v>0</v>
      </c>
      <c r="O1534" s="5">
        <v>655.89</v>
      </c>
      <c r="P1534" s="6">
        <v>0</v>
      </c>
    </row>
    <row r="1535" spans="1:16" ht="23.4" x14ac:dyDescent="0.45">
      <c r="A1535" s="4" t="s">
        <v>1522</v>
      </c>
      <c r="B1535" s="5" t="s">
        <v>9</v>
      </c>
      <c r="C1535" s="5">
        <v>165664.24</v>
      </c>
      <c r="D1535" s="5">
        <v>39</v>
      </c>
      <c r="E1535" s="5">
        <v>0</v>
      </c>
      <c r="F1535" s="5">
        <v>0.71230000000000004</v>
      </c>
      <c r="G1535" s="5">
        <v>1</v>
      </c>
      <c r="H1535" s="5">
        <v>3</v>
      </c>
      <c r="I1535" s="5">
        <v>151255.14000000001</v>
      </c>
      <c r="J1535" s="5">
        <v>112867.76</v>
      </c>
      <c r="K1535" s="5">
        <v>126</v>
      </c>
      <c r="L1535" s="5">
        <v>2</v>
      </c>
      <c r="M1535" s="5">
        <v>1</v>
      </c>
      <c r="N1535" s="5">
        <v>2</v>
      </c>
      <c r="O1535" s="5">
        <v>543.29999999999995</v>
      </c>
      <c r="P1535" s="6">
        <v>0</v>
      </c>
    </row>
    <row r="1536" spans="1:16" ht="23.4" x14ac:dyDescent="0.45">
      <c r="A1536" s="4" t="s">
        <v>1523</v>
      </c>
      <c r="B1536" s="5" t="s">
        <v>18</v>
      </c>
      <c r="C1536" s="5">
        <v>22400.15</v>
      </c>
      <c r="D1536" s="5">
        <v>45</v>
      </c>
      <c r="E1536" s="5">
        <v>0</v>
      </c>
      <c r="F1536" s="5">
        <v>0.86070000000000002</v>
      </c>
      <c r="G1536" s="5">
        <v>0.20660000000000001</v>
      </c>
      <c r="H1536" s="5">
        <v>3</v>
      </c>
      <c r="I1536" s="5">
        <v>4664.53</v>
      </c>
      <c r="J1536" s="5">
        <v>8466.51</v>
      </c>
      <c r="K1536" s="5">
        <v>27</v>
      </c>
      <c r="L1536" s="5">
        <v>2</v>
      </c>
      <c r="M1536" s="5">
        <v>1</v>
      </c>
      <c r="N1536" s="5">
        <v>0</v>
      </c>
      <c r="O1536" s="5">
        <v>719.43</v>
      </c>
      <c r="P1536" s="6">
        <v>0</v>
      </c>
    </row>
    <row r="1537" spans="1:16" ht="23.4" x14ac:dyDescent="0.45">
      <c r="A1537" s="4" t="s">
        <v>1524</v>
      </c>
      <c r="B1537" s="5" t="s">
        <v>1</v>
      </c>
      <c r="C1537" s="5">
        <v>45467.93</v>
      </c>
      <c r="D1537" s="5">
        <v>27</v>
      </c>
      <c r="E1537" s="5">
        <v>0</v>
      </c>
      <c r="F1537" s="5">
        <v>0.47949999999999998</v>
      </c>
      <c r="G1537" s="5">
        <v>0.12970000000000001</v>
      </c>
      <c r="H1537" s="5">
        <v>3</v>
      </c>
      <c r="I1537" s="5">
        <v>2509.4</v>
      </c>
      <c r="J1537" s="5">
        <v>7097.84</v>
      </c>
      <c r="K1537" s="5">
        <v>168</v>
      </c>
      <c r="L1537" s="5">
        <v>3</v>
      </c>
      <c r="M1537" s="5">
        <v>1</v>
      </c>
      <c r="N1537" s="5">
        <v>0</v>
      </c>
      <c r="O1537" s="5">
        <v>663.07</v>
      </c>
      <c r="P1537" s="6">
        <v>0</v>
      </c>
    </row>
    <row r="1538" spans="1:16" ht="23.4" x14ac:dyDescent="0.45">
      <c r="A1538" s="4" t="s">
        <v>1525</v>
      </c>
      <c r="B1538" s="5" t="s">
        <v>6</v>
      </c>
      <c r="C1538" s="5">
        <v>102108.62</v>
      </c>
      <c r="D1538" s="5">
        <v>63</v>
      </c>
      <c r="E1538" s="5">
        <v>1</v>
      </c>
      <c r="F1538" s="5">
        <v>0.68740000000000001</v>
      </c>
      <c r="G1538" s="5">
        <v>0.38850000000000001</v>
      </c>
      <c r="H1538" s="5">
        <v>2</v>
      </c>
      <c r="I1538" s="5">
        <v>29279.64</v>
      </c>
      <c r="J1538" s="5">
        <v>20096.47</v>
      </c>
      <c r="K1538" s="5">
        <v>73</v>
      </c>
      <c r="L1538" s="5">
        <v>1</v>
      </c>
      <c r="M1538" s="5">
        <v>1</v>
      </c>
      <c r="N1538" s="5">
        <v>0</v>
      </c>
      <c r="O1538" s="5">
        <v>766.85</v>
      </c>
      <c r="P1538" s="6">
        <v>0</v>
      </c>
    </row>
    <row r="1539" spans="1:16" ht="23.4" x14ac:dyDescent="0.45">
      <c r="A1539" s="4" t="s">
        <v>1526</v>
      </c>
      <c r="B1539" s="5" t="s">
        <v>18</v>
      </c>
      <c r="C1539" s="5">
        <v>68256.210000000006</v>
      </c>
      <c r="D1539" s="5">
        <v>61</v>
      </c>
      <c r="E1539" s="5">
        <v>1</v>
      </c>
      <c r="F1539" s="5">
        <v>0.69089999999999996</v>
      </c>
      <c r="G1539" s="5">
        <v>0.59830000000000005</v>
      </c>
      <c r="H1539" s="5">
        <v>6</v>
      </c>
      <c r="I1539" s="5">
        <v>57597.26</v>
      </c>
      <c r="J1539" s="5">
        <v>39834.67</v>
      </c>
      <c r="K1539" s="5">
        <v>60</v>
      </c>
      <c r="L1539" s="5">
        <v>3</v>
      </c>
      <c r="M1539" s="5">
        <v>2</v>
      </c>
      <c r="N1539" s="5">
        <v>1</v>
      </c>
      <c r="O1539" s="5">
        <v>737.02</v>
      </c>
      <c r="P1539" s="6">
        <v>0</v>
      </c>
    </row>
    <row r="1540" spans="1:16" ht="23.4" x14ac:dyDescent="0.45">
      <c r="A1540" s="4" t="s">
        <v>1527</v>
      </c>
      <c r="B1540" s="5" t="s">
        <v>15</v>
      </c>
      <c r="C1540" s="5">
        <v>55084.25</v>
      </c>
      <c r="D1540" s="5">
        <v>69</v>
      </c>
      <c r="E1540" s="5">
        <v>1</v>
      </c>
      <c r="F1540" s="5">
        <v>0.7046</v>
      </c>
      <c r="G1540" s="5">
        <v>0.63480000000000003</v>
      </c>
      <c r="H1540" s="5">
        <v>1</v>
      </c>
      <c r="I1540" s="5">
        <v>4528.25</v>
      </c>
      <c r="J1540" s="5">
        <v>0</v>
      </c>
      <c r="K1540" s="5">
        <v>6</v>
      </c>
      <c r="L1540" s="5">
        <v>2</v>
      </c>
      <c r="M1540" s="5">
        <v>1</v>
      </c>
      <c r="N1540" s="5">
        <v>1</v>
      </c>
      <c r="O1540" s="5">
        <v>772.84</v>
      </c>
      <c r="P1540" s="6">
        <v>0</v>
      </c>
    </row>
    <row r="1541" spans="1:16" ht="23.4" x14ac:dyDescent="0.45">
      <c r="A1541" s="4" t="s">
        <v>1528</v>
      </c>
      <c r="B1541" s="5" t="s">
        <v>4</v>
      </c>
      <c r="C1541" s="5">
        <v>7355.22</v>
      </c>
      <c r="D1541" s="5">
        <v>69</v>
      </c>
      <c r="E1541" s="5">
        <v>0</v>
      </c>
      <c r="F1541" s="5">
        <v>0.6784</v>
      </c>
      <c r="G1541" s="5">
        <v>0.6179</v>
      </c>
      <c r="H1541" s="5">
        <v>5</v>
      </c>
      <c r="I1541" s="5">
        <v>2768.02</v>
      </c>
      <c r="J1541" s="5">
        <v>0</v>
      </c>
      <c r="K1541" s="5">
        <v>90</v>
      </c>
      <c r="L1541" s="5">
        <v>2</v>
      </c>
      <c r="M1541" s="5">
        <v>2</v>
      </c>
      <c r="N1541" s="5">
        <v>0</v>
      </c>
      <c r="O1541" s="5">
        <v>572.92999999999995</v>
      </c>
      <c r="P1541" s="6">
        <v>0</v>
      </c>
    </row>
    <row r="1542" spans="1:16" ht="23.4" x14ac:dyDescent="0.45">
      <c r="A1542" s="4" t="s">
        <v>1529</v>
      </c>
      <c r="B1542" s="5" t="s">
        <v>9</v>
      </c>
      <c r="C1542" s="5">
        <v>2000</v>
      </c>
      <c r="D1542" s="5">
        <v>22</v>
      </c>
      <c r="E1542" s="5">
        <v>1</v>
      </c>
      <c r="F1542" s="5">
        <v>0.8206</v>
      </c>
      <c r="G1542" s="5">
        <v>0.23469999999999999</v>
      </c>
      <c r="H1542" s="5">
        <v>0</v>
      </c>
      <c r="I1542" s="5">
        <v>500</v>
      </c>
      <c r="J1542" s="5">
        <v>0</v>
      </c>
      <c r="K1542" s="5">
        <v>36</v>
      </c>
      <c r="L1542" s="5">
        <v>3</v>
      </c>
      <c r="M1542" s="5">
        <v>2</v>
      </c>
      <c r="N1542" s="5">
        <v>2</v>
      </c>
      <c r="O1542" s="5">
        <v>774.31</v>
      </c>
      <c r="P1542" s="6">
        <v>0</v>
      </c>
    </row>
    <row r="1543" spans="1:16" ht="23.4" x14ac:dyDescent="0.45">
      <c r="A1543" s="4" t="s">
        <v>1530</v>
      </c>
      <c r="B1543" s="5" t="s">
        <v>18</v>
      </c>
      <c r="C1543" s="5">
        <v>19762.16</v>
      </c>
      <c r="D1543" s="5">
        <v>23</v>
      </c>
      <c r="E1543" s="5">
        <v>1</v>
      </c>
      <c r="F1543" s="5">
        <v>0.84089999999999998</v>
      </c>
      <c r="G1543" s="5">
        <v>0.98</v>
      </c>
      <c r="H1543" s="5">
        <v>3</v>
      </c>
      <c r="I1543" s="5">
        <v>5701.81</v>
      </c>
      <c r="J1543" s="5">
        <v>11938.88</v>
      </c>
      <c r="K1543" s="5">
        <v>58</v>
      </c>
      <c r="L1543" s="5">
        <v>2</v>
      </c>
      <c r="M1543" s="5">
        <v>1</v>
      </c>
      <c r="N1543" s="5">
        <v>1</v>
      </c>
      <c r="O1543" s="5">
        <v>630.96</v>
      </c>
      <c r="P1543" s="6">
        <v>0</v>
      </c>
    </row>
    <row r="1544" spans="1:16" ht="23.4" x14ac:dyDescent="0.45">
      <c r="A1544" s="4" t="s">
        <v>1531</v>
      </c>
      <c r="B1544" s="5" t="s">
        <v>1</v>
      </c>
      <c r="C1544" s="5">
        <v>95660.93</v>
      </c>
      <c r="D1544" s="5">
        <v>46</v>
      </c>
      <c r="E1544" s="5">
        <v>0</v>
      </c>
      <c r="F1544" s="5">
        <v>0.84389999999999998</v>
      </c>
      <c r="G1544" s="5">
        <v>0.33989999999999998</v>
      </c>
      <c r="H1544" s="5">
        <v>4</v>
      </c>
      <c r="I1544" s="5">
        <v>43877.83</v>
      </c>
      <c r="J1544" s="5">
        <v>32893.43</v>
      </c>
      <c r="K1544" s="5">
        <v>65</v>
      </c>
      <c r="L1544" s="5">
        <v>2</v>
      </c>
      <c r="M1544" s="5">
        <v>2</v>
      </c>
      <c r="N1544" s="5">
        <v>1</v>
      </c>
      <c r="O1544" s="5">
        <v>836.19</v>
      </c>
      <c r="P1544" s="6">
        <v>0</v>
      </c>
    </row>
    <row r="1545" spans="1:16" ht="23.4" x14ac:dyDescent="0.45">
      <c r="A1545" s="4" t="s">
        <v>1532</v>
      </c>
      <c r="B1545" s="5" t="s">
        <v>9</v>
      </c>
      <c r="C1545" s="5">
        <v>162016.72</v>
      </c>
      <c r="D1545" s="5">
        <v>61</v>
      </c>
      <c r="E1545" s="5">
        <v>1</v>
      </c>
      <c r="F1545" s="5">
        <v>1</v>
      </c>
      <c r="G1545" s="5">
        <v>0</v>
      </c>
      <c r="H1545" s="5">
        <v>1</v>
      </c>
      <c r="I1545" s="5">
        <v>7221.52</v>
      </c>
      <c r="J1545" s="5">
        <v>9975.9599999999991</v>
      </c>
      <c r="K1545" s="5">
        <v>48</v>
      </c>
      <c r="L1545" s="5">
        <v>4</v>
      </c>
      <c r="M1545" s="5">
        <v>3</v>
      </c>
      <c r="N1545" s="5">
        <v>0</v>
      </c>
      <c r="O1545" s="5">
        <v>804.93</v>
      </c>
      <c r="P1545" s="6">
        <v>0</v>
      </c>
    </row>
    <row r="1546" spans="1:16" ht="23.4" x14ac:dyDescent="0.45">
      <c r="A1546" s="4" t="s">
        <v>1533</v>
      </c>
      <c r="B1546" s="5" t="s">
        <v>9</v>
      </c>
      <c r="C1546" s="5">
        <v>111245.9</v>
      </c>
      <c r="D1546" s="5">
        <v>26</v>
      </c>
      <c r="E1546" s="5">
        <v>0</v>
      </c>
      <c r="F1546" s="5">
        <v>0.58919999999999995</v>
      </c>
      <c r="G1546" s="5">
        <v>9.2799999999999994E-2</v>
      </c>
      <c r="H1546" s="5">
        <v>0</v>
      </c>
      <c r="I1546" s="5">
        <v>500</v>
      </c>
      <c r="J1546" s="5">
        <v>7316.58</v>
      </c>
      <c r="K1546" s="5">
        <v>7</v>
      </c>
      <c r="L1546" s="5">
        <v>1</v>
      </c>
      <c r="M1546" s="5">
        <v>1</v>
      </c>
      <c r="N1546" s="5">
        <v>0</v>
      </c>
      <c r="O1546" s="5">
        <v>694.69</v>
      </c>
      <c r="P1546" s="6">
        <v>0</v>
      </c>
    </row>
    <row r="1547" spans="1:16" ht="23.4" x14ac:dyDescent="0.45">
      <c r="A1547" s="4" t="s">
        <v>1534</v>
      </c>
      <c r="B1547" s="5" t="s">
        <v>4</v>
      </c>
      <c r="C1547" s="5">
        <v>39300.67</v>
      </c>
      <c r="D1547" s="5">
        <v>66</v>
      </c>
      <c r="E1547" s="5">
        <v>1</v>
      </c>
      <c r="F1547" s="5">
        <v>0.6643</v>
      </c>
      <c r="G1547" s="5">
        <v>0.71950000000000003</v>
      </c>
      <c r="H1547" s="5">
        <v>5</v>
      </c>
      <c r="I1547" s="5">
        <v>40454.730000000003</v>
      </c>
      <c r="J1547" s="5">
        <v>29875.73</v>
      </c>
      <c r="K1547" s="5">
        <v>170</v>
      </c>
      <c r="L1547" s="5">
        <v>1</v>
      </c>
      <c r="M1547" s="5">
        <v>2</v>
      </c>
      <c r="N1547" s="5">
        <v>1</v>
      </c>
      <c r="O1547" s="5">
        <v>559.39</v>
      </c>
      <c r="P1547" s="6">
        <v>0</v>
      </c>
    </row>
    <row r="1548" spans="1:16" ht="23.4" x14ac:dyDescent="0.45">
      <c r="A1548" s="4" t="s">
        <v>1535</v>
      </c>
      <c r="B1548" s="5" t="s">
        <v>9</v>
      </c>
      <c r="C1548" s="5">
        <v>187959.57</v>
      </c>
      <c r="D1548" s="5">
        <v>30</v>
      </c>
      <c r="E1548" s="5">
        <v>0</v>
      </c>
      <c r="F1548" s="5">
        <v>0.57279999999999998</v>
      </c>
      <c r="G1548" s="5">
        <v>0.40129999999999999</v>
      </c>
      <c r="H1548" s="5">
        <v>0</v>
      </c>
      <c r="I1548" s="5">
        <v>55930.53</v>
      </c>
      <c r="J1548" s="5">
        <v>37468.269999999997</v>
      </c>
      <c r="K1548" s="5">
        <v>148</v>
      </c>
      <c r="L1548" s="5">
        <v>2</v>
      </c>
      <c r="M1548" s="5">
        <v>2</v>
      </c>
      <c r="N1548" s="5">
        <v>3</v>
      </c>
      <c r="O1548" s="5">
        <v>738.69</v>
      </c>
      <c r="P1548" s="6">
        <v>0</v>
      </c>
    </row>
    <row r="1549" spans="1:16" ht="23.4" x14ac:dyDescent="0.45">
      <c r="A1549" s="4" t="s">
        <v>1536</v>
      </c>
      <c r="B1549" s="5" t="s">
        <v>15</v>
      </c>
      <c r="C1549" s="5">
        <v>46017.42</v>
      </c>
      <c r="D1549" s="5">
        <v>32</v>
      </c>
      <c r="E1549" s="5">
        <v>1</v>
      </c>
      <c r="F1549" s="5">
        <v>0.26640000000000003</v>
      </c>
      <c r="G1549" s="5">
        <v>0.95450000000000002</v>
      </c>
      <c r="H1549" s="5">
        <v>7</v>
      </c>
      <c r="I1549" s="5">
        <v>21609.48</v>
      </c>
      <c r="J1549" s="5">
        <v>11475.33</v>
      </c>
      <c r="K1549" s="5">
        <v>171</v>
      </c>
      <c r="L1549" s="5">
        <v>2</v>
      </c>
      <c r="M1549" s="5">
        <v>1</v>
      </c>
      <c r="N1549" s="5">
        <v>0</v>
      </c>
      <c r="O1549" s="5">
        <v>614.86</v>
      </c>
      <c r="P1549" s="6">
        <v>0</v>
      </c>
    </row>
    <row r="1550" spans="1:16" ht="23.4" x14ac:dyDescent="0.45">
      <c r="A1550" s="4" t="s">
        <v>1537</v>
      </c>
      <c r="B1550" s="5" t="s">
        <v>6</v>
      </c>
      <c r="C1550" s="5">
        <v>81284.100000000006</v>
      </c>
      <c r="D1550" s="5">
        <v>40</v>
      </c>
      <c r="E1550" s="5">
        <v>1</v>
      </c>
      <c r="F1550" s="5">
        <v>0.66279999999999994</v>
      </c>
      <c r="G1550" s="5">
        <v>0.2034</v>
      </c>
      <c r="H1550" s="5">
        <v>3</v>
      </c>
      <c r="I1550" s="5">
        <v>12537.66</v>
      </c>
      <c r="J1550" s="5">
        <v>3194.06</v>
      </c>
      <c r="K1550" s="5">
        <v>127</v>
      </c>
      <c r="L1550" s="5">
        <v>1</v>
      </c>
      <c r="M1550" s="5">
        <v>2</v>
      </c>
      <c r="N1550" s="5">
        <v>0</v>
      </c>
      <c r="O1550" s="5">
        <v>701.57</v>
      </c>
      <c r="P1550" s="6">
        <v>0</v>
      </c>
    </row>
    <row r="1551" spans="1:16" ht="23.4" x14ac:dyDescent="0.45">
      <c r="A1551" s="4" t="s">
        <v>1538</v>
      </c>
      <c r="B1551" s="5" t="s">
        <v>18</v>
      </c>
      <c r="C1551" s="5">
        <v>77474.009999999995</v>
      </c>
      <c r="D1551" s="5">
        <v>70</v>
      </c>
      <c r="E1551" s="5">
        <v>0</v>
      </c>
      <c r="F1551" s="5">
        <v>0.96220000000000006</v>
      </c>
      <c r="G1551" s="5">
        <v>0.47360000000000002</v>
      </c>
      <c r="H1551" s="5">
        <v>3</v>
      </c>
      <c r="I1551" s="5">
        <v>25860.35</v>
      </c>
      <c r="J1551" s="5">
        <v>26778.07</v>
      </c>
      <c r="K1551" s="5">
        <v>40</v>
      </c>
      <c r="L1551" s="5">
        <v>1</v>
      </c>
      <c r="M1551" s="5">
        <v>1</v>
      </c>
      <c r="N1551" s="5">
        <v>0</v>
      </c>
      <c r="O1551" s="5">
        <v>689.02</v>
      </c>
      <c r="P1551" s="6">
        <v>0</v>
      </c>
    </row>
    <row r="1552" spans="1:16" ht="23.4" x14ac:dyDescent="0.45">
      <c r="A1552" s="4" t="s">
        <v>1539</v>
      </c>
      <c r="B1552" s="5" t="s">
        <v>6</v>
      </c>
      <c r="C1552" s="5">
        <v>130161.82</v>
      </c>
      <c r="D1552" s="5">
        <v>51</v>
      </c>
      <c r="E1552" s="5">
        <v>1</v>
      </c>
      <c r="F1552" s="5">
        <v>0.73540000000000005</v>
      </c>
      <c r="G1552" s="5">
        <v>0.35120000000000001</v>
      </c>
      <c r="H1552" s="5">
        <v>2</v>
      </c>
      <c r="I1552" s="5">
        <v>54948.24</v>
      </c>
      <c r="J1552" s="5">
        <v>41525.949999999997</v>
      </c>
      <c r="K1552" s="5">
        <v>91</v>
      </c>
      <c r="L1552" s="5">
        <v>4</v>
      </c>
      <c r="M1552" s="5">
        <v>2</v>
      </c>
      <c r="N1552" s="5">
        <v>0</v>
      </c>
      <c r="O1552" s="5">
        <v>722.73</v>
      </c>
      <c r="P1552" s="6">
        <v>0</v>
      </c>
    </row>
    <row r="1553" spans="1:16" ht="23.4" x14ac:dyDescent="0.45">
      <c r="A1553" s="4" t="s">
        <v>1540</v>
      </c>
      <c r="B1553" s="5" t="s">
        <v>6</v>
      </c>
      <c r="C1553" s="5">
        <v>60039.93</v>
      </c>
      <c r="D1553" s="5">
        <v>33</v>
      </c>
      <c r="E1553" s="5">
        <v>0</v>
      </c>
      <c r="F1553" s="5">
        <v>0.70089999999999997</v>
      </c>
      <c r="G1553" s="5">
        <v>0.3337</v>
      </c>
      <c r="H1553" s="5">
        <v>1</v>
      </c>
      <c r="I1553" s="5">
        <v>22694.23</v>
      </c>
      <c r="J1553" s="5">
        <v>23161.200000000001</v>
      </c>
      <c r="K1553" s="5">
        <v>103</v>
      </c>
      <c r="L1553" s="5">
        <v>2</v>
      </c>
      <c r="M1553" s="5">
        <v>2</v>
      </c>
      <c r="N1553" s="5">
        <v>1</v>
      </c>
      <c r="O1553" s="5">
        <v>754.8</v>
      </c>
      <c r="P1553" s="6">
        <v>0</v>
      </c>
    </row>
    <row r="1554" spans="1:16" ht="23.4" x14ac:dyDescent="0.45">
      <c r="A1554" s="4" t="s">
        <v>1541</v>
      </c>
      <c r="B1554" s="5" t="s">
        <v>1</v>
      </c>
      <c r="C1554" s="5">
        <v>70786.52</v>
      </c>
      <c r="D1554" s="5">
        <v>28</v>
      </c>
      <c r="E1554" s="5">
        <v>0</v>
      </c>
      <c r="F1554" s="5">
        <v>0.77080000000000004</v>
      </c>
      <c r="G1554" s="5">
        <v>0.86</v>
      </c>
      <c r="H1554" s="5">
        <v>5</v>
      </c>
      <c r="I1554" s="5">
        <v>47182.54</v>
      </c>
      <c r="J1554" s="5">
        <v>49950.89</v>
      </c>
      <c r="K1554" s="5">
        <v>77</v>
      </c>
      <c r="L1554" s="5">
        <v>2</v>
      </c>
      <c r="M1554" s="5">
        <v>2</v>
      </c>
      <c r="N1554" s="5">
        <v>3</v>
      </c>
      <c r="O1554" s="5">
        <v>701.52</v>
      </c>
      <c r="P1554" s="6">
        <v>0</v>
      </c>
    </row>
    <row r="1555" spans="1:16" ht="23.4" x14ac:dyDescent="0.45">
      <c r="A1555" s="4" t="s">
        <v>1542</v>
      </c>
      <c r="B1555" s="5" t="s">
        <v>9</v>
      </c>
      <c r="C1555" s="5">
        <v>107476.65</v>
      </c>
      <c r="D1555" s="5">
        <v>25</v>
      </c>
      <c r="E1555" s="5">
        <v>1</v>
      </c>
      <c r="F1555" s="5">
        <v>0.67779999999999996</v>
      </c>
      <c r="G1555" s="5">
        <v>0.40460000000000002</v>
      </c>
      <c r="H1555" s="5">
        <v>2</v>
      </c>
      <c r="I1555" s="5">
        <v>54714.400000000001</v>
      </c>
      <c r="J1555" s="5">
        <v>57619.44</v>
      </c>
      <c r="K1555" s="5">
        <v>63</v>
      </c>
      <c r="L1555" s="5">
        <v>3</v>
      </c>
      <c r="M1555" s="5">
        <v>1</v>
      </c>
      <c r="N1555" s="5">
        <v>1</v>
      </c>
      <c r="O1555" s="5">
        <v>754.07</v>
      </c>
      <c r="P1555" s="6">
        <v>0</v>
      </c>
    </row>
    <row r="1556" spans="1:16" ht="23.4" x14ac:dyDescent="0.45">
      <c r="A1556" s="4" t="s">
        <v>1543</v>
      </c>
      <c r="B1556" s="5" t="s">
        <v>1</v>
      </c>
      <c r="C1556" s="5">
        <v>100167.16</v>
      </c>
      <c r="D1556" s="5">
        <v>62</v>
      </c>
      <c r="E1556" s="5">
        <v>1</v>
      </c>
      <c r="F1556" s="5">
        <v>0.80210000000000004</v>
      </c>
      <c r="G1556" s="5">
        <v>0.28860000000000002</v>
      </c>
      <c r="H1556" s="5">
        <v>3</v>
      </c>
      <c r="I1556" s="5">
        <v>42763.12</v>
      </c>
      <c r="J1556" s="5">
        <v>46811.26</v>
      </c>
      <c r="K1556" s="5">
        <v>75</v>
      </c>
      <c r="L1556" s="5">
        <v>3</v>
      </c>
      <c r="M1556" s="5">
        <v>1</v>
      </c>
      <c r="N1556" s="5">
        <v>1</v>
      </c>
      <c r="O1556" s="5">
        <v>812.69</v>
      </c>
      <c r="P1556" s="6">
        <v>0</v>
      </c>
    </row>
    <row r="1557" spans="1:16" ht="23.4" x14ac:dyDescent="0.45">
      <c r="A1557" s="4" t="s">
        <v>1544</v>
      </c>
      <c r="B1557" s="5" t="s">
        <v>4</v>
      </c>
      <c r="C1557" s="5">
        <v>61701.79</v>
      </c>
      <c r="D1557" s="5">
        <v>40</v>
      </c>
      <c r="E1557" s="5">
        <v>0</v>
      </c>
      <c r="F1557" s="5">
        <v>0.68899999999999995</v>
      </c>
      <c r="G1557" s="5">
        <v>0.12859999999999999</v>
      </c>
      <c r="H1557" s="5">
        <v>3</v>
      </c>
      <c r="I1557" s="5">
        <v>500</v>
      </c>
      <c r="J1557" s="5">
        <v>0</v>
      </c>
      <c r="K1557" s="5">
        <v>178</v>
      </c>
      <c r="L1557" s="5">
        <v>1</v>
      </c>
      <c r="M1557" s="5">
        <v>2</v>
      </c>
      <c r="N1557" s="5">
        <v>0</v>
      </c>
      <c r="O1557" s="5">
        <v>731.41</v>
      </c>
      <c r="P1557" s="6">
        <v>0</v>
      </c>
    </row>
    <row r="1558" spans="1:16" ht="23.4" x14ac:dyDescent="0.45">
      <c r="A1558" s="4" t="s">
        <v>1545</v>
      </c>
      <c r="B1558" s="5" t="s">
        <v>18</v>
      </c>
      <c r="C1558" s="5">
        <v>134902.06</v>
      </c>
      <c r="D1558" s="5">
        <v>26</v>
      </c>
      <c r="E1558" s="5">
        <v>0</v>
      </c>
      <c r="F1558" s="5">
        <v>0.59509999999999996</v>
      </c>
      <c r="G1558" s="5">
        <v>0.20300000000000001</v>
      </c>
      <c r="H1558" s="5">
        <v>0</v>
      </c>
      <c r="I1558" s="5">
        <v>21459.62</v>
      </c>
      <c r="J1558" s="5">
        <v>23401.119999999999</v>
      </c>
      <c r="K1558" s="5">
        <v>179</v>
      </c>
      <c r="L1558" s="5">
        <v>1</v>
      </c>
      <c r="M1558" s="5">
        <v>3</v>
      </c>
      <c r="N1558" s="5">
        <v>2</v>
      </c>
      <c r="O1558" s="5">
        <v>657.83</v>
      </c>
      <c r="P1558" s="6">
        <v>0</v>
      </c>
    </row>
    <row r="1559" spans="1:16" ht="23.4" x14ac:dyDescent="0.45">
      <c r="A1559" s="4" t="s">
        <v>1546</v>
      </c>
      <c r="B1559" s="5" t="s">
        <v>9</v>
      </c>
      <c r="C1559" s="5">
        <v>133416.85999999999</v>
      </c>
      <c r="D1559" s="5">
        <v>23</v>
      </c>
      <c r="E1559" s="5">
        <v>1</v>
      </c>
      <c r="F1559" s="5">
        <v>0.76429999999999998</v>
      </c>
      <c r="G1559" s="5">
        <v>0.48709999999999998</v>
      </c>
      <c r="H1559" s="5">
        <v>2</v>
      </c>
      <c r="I1559" s="5">
        <v>53557.35</v>
      </c>
      <c r="J1559" s="5">
        <v>47353.85</v>
      </c>
      <c r="K1559" s="5">
        <v>29</v>
      </c>
      <c r="L1559" s="5">
        <v>1</v>
      </c>
      <c r="M1559" s="5">
        <v>1</v>
      </c>
      <c r="N1559" s="5">
        <v>2</v>
      </c>
      <c r="O1559" s="5">
        <v>669.09</v>
      </c>
      <c r="P1559" s="6">
        <v>0</v>
      </c>
    </row>
    <row r="1560" spans="1:16" ht="23.4" x14ac:dyDescent="0.45">
      <c r="A1560" s="4" t="s">
        <v>1547</v>
      </c>
      <c r="B1560" s="5" t="s">
        <v>6</v>
      </c>
      <c r="C1560" s="5">
        <v>68783.44</v>
      </c>
      <c r="D1560" s="5">
        <v>55</v>
      </c>
      <c r="E1560" s="5">
        <v>1</v>
      </c>
      <c r="F1560" s="5">
        <v>0.38919999999999999</v>
      </c>
      <c r="G1560" s="5">
        <v>0.54390000000000005</v>
      </c>
      <c r="H1560" s="5">
        <v>2</v>
      </c>
      <c r="I1560" s="5">
        <v>12490.34</v>
      </c>
      <c r="J1560" s="5">
        <v>2060.62</v>
      </c>
      <c r="K1560" s="5">
        <v>137</v>
      </c>
      <c r="L1560" s="5">
        <v>2</v>
      </c>
      <c r="M1560" s="5">
        <v>1</v>
      </c>
      <c r="N1560" s="5">
        <v>1</v>
      </c>
      <c r="O1560" s="5">
        <v>784.21</v>
      </c>
      <c r="P1560" s="6">
        <v>0</v>
      </c>
    </row>
    <row r="1561" spans="1:16" ht="23.4" x14ac:dyDescent="0.45">
      <c r="A1561" s="4" t="s">
        <v>1548</v>
      </c>
      <c r="B1561" s="5" t="s">
        <v>18</v>
      </c>
      <c r="C1561" s="5">
        <v>89461.14</v>
      </c>
      <c r="D1561" s="5">
        <v>38</v>
      </c>
      <c r="E1561" s="5">
        <v>1</v>
      </c>
      <c r="F1561" s="5">
        <v>0.64119999999999999</v>
      </c>
      <c r="G1561" s="5">
        <v>0.57899999999999996</v>
      </c>
      <c r="H1561" s="5">
        <v>2</v>
      </c>
      <c r="I1561" s="5">
        <v>51037.03</v>
      </c>
      <c r="J1561" s="5">
        <v>37905.47</v>
      </c>
      <c r="K1561" s="5">
        <v>28</v>
      </c>
      <c r="L1561" s="5">
        <v>4</v>
      </c>
      <c r="M1561" s="5">
        <v>1</v>
      </c>
      <c r="N1561" s="5">
        <v>0</v>
      </c>
      <c r="O1561" s="5">
        <v>611.48</v>
      </c>
      <c r="P1561" s="6">
        <v>0</v>
      </c>
    </row>
    <row r="1562" spans="1:16" ht="23.4" x14ac:dyDescent="0.45">
      <c r="A1562" s="4" t="s">
        <v>1549</v>
      </c>
      <c r="B1562" s="5" t="s">
        <v>18</v>
      </c>
      <c r="C1562" s="5">
        <v>103552.64</v>
      </c>
      <c r="D1562" s="5">
        <v>48</v>
      </c>
      <c r="E1562" s="5">
        <v>0</v>
      </c>
      <c r="F1562" s="5">
        <v>0.61299999999999999</v>
      </c>
      <c r="G1562" s="5">
        <v>0.37480000000000002</v>
      </c>
      <c r="H1562" s="5">
        <v>3</v>
      </c>
      <c r="I1562" s="5">
        <v>17051.759999999998</v>
      </c>
      <c r="J1562" s="5">
        <v>5426.37</v>
      </c>
      <c r="K1562" s="5">
        <v>141</v>
      </c>
      <c r="L1562" s="5">
        <v>3</v>
      </c>
      <c r="M1562" s="5">
        <v>2</v>
      </c>
      <c r="N1562" s="5">
        <v>2</v>
      </c>
      <c r="O1562" s="5">
        <v>718.16</v>
      </c>
      <c r="P1562" s="6">
        <v>0</v>
      </c>
    </row>
    <row r="1563" spans="1:16" ht="23.4" x14ac:dyDescent="0.45">
      <c r="A1563" s="4" t="s">
        <v>1550</v>
      </c>
      <c r="B1563" s="5" t="s">
        <v>6</v>
      </c>
      <c r="C1563" s="5">
        <v>148754.19</v>
      </c>
      <c r="D1563" s="5">
        <v>29</v>
      </c>
      <c r="E1563" s="5">
        <v>0</v>
      </c>
      <c r="F1563" s="5">
        <v>0.876</v>
      </c>
      <c r="G1563" s="5">
        <v>2.0500000000000001E-2</v>
      </c>
      <c r="H1563" s="5">
        <v>2</v>
      </c>
      <c r="I1563" s="5">
        <v>1506.67</v>
      </c>
      <c r="J1563" s="5">
        <v>108.4</v>
      </c>
      <c r="K1563" s="5">
        <v>120</v>
      </c>
      <c r="L1563" s="5">
        <v>3</v>
      </c>
      <c r="M1563" s="5">
        <v>1</v>
      </c>
      <c r="N1563" s="5">
        <v>0</v>
      </c>
      <c r="O1563" s="5">
        <v>817.33</v>
      </c>
      <c r="P1563" s="6">
        <v>0</v>
      </c>
    </row>
    <row r="1564" spans="1:16" ht="23.4" x14ac:dyDescent="0.45">
      <c r="A1564" s="4" t="s">
        <v>1551</v>
      </c>
      <c r="B1564" s="5" t="s">
        <v>1</v>
      </c>
      <c r="C1564" s="5">
        <v>135158.51999999999</v>
      </c>
      <c r="D1564" s="5">
        <v>38</v>
      </c>
      <c r="E1564" s="5">
        <v>0</v>
      </c>
      <c r="F1564" s="5">
        <v>0.65580000000000005</v>
      </c>
      <c r="G1564" s="5">
        <v>0.27129999999999999</v>
      </c>
      <c r="H1564" s="5">
        <v>2</v>
      </c>
      <c r="I1564" s="5">
        <v>42281.22</v>
      </c>
      <c r="J1564" s="5">
        <v>24179.67</v>
      </c>
      <c r="K1564" s="5">
        <v>48</v>
      </c>
      <c r="L1564" s="5">
        <v>1</v>
      </c>
      <c r="M1564" s="5">
        <v>2</v>
      </c>
      <c r="N1564" s="5">
        <v>1</v>
      </c>
      <c r="O1564" s="5">
        <v>701.35</v>
      </c>
      <c r="P1564" s="6">
        <v>0</v>
      </c>
    </row>
    <row r="1565" spans="1:16" ht="23.4" x14ac:dyDescent="0.45">
      <c r="A1565" s="4" t="s">
        <v>1552</v>
      </c>
      <c r="B1565" s="5" t="s">
        <v>18</v>
      </c>
      <c r="C1565" s="5">
        <v>2000</v>
      </c>
      <c r="D1565" s="5">
        <v>42</v>
      </c>
      <c r="E1565" s="5">
        <v>1</v>
      </c>
      <c r="F1565" s="5">
        <v>0.83660000000000001</v>
      </c>
      <c r="G1565" s="5">
        <v>0.40160000000000001</v>
      </c>
      <c r="H1565" s="5">
        <v>3</v>
      </c>
      <c r="I1565" s="5">
        <v>6014.82</v>
      </c>
      <c r="J1565" s="5">
        <v>14034.65</v>
      </c>
      <c r="K1565" s="5">
        <v>69</v>
      </c>
      <c r="L1565" s="5">
        <v>3</v>
      </c>
      <c r="M1565" s="5">
        <v>2</v>
      </c>
      <c r="N1565" s="5">
        <v>3</v>
      </c>
      <c r="O1565" s="5">
        <v>726.54</v>
      </c>
      <c r="P1565" s="6">
        <v>0</v>
      </c>
    </row>
    <row r="1566" spans="1:16" ht="23.4" x14ac:dyDescent="0.45">
      <c r="A1566" s="4" t="s">
        <v>728</v>
      </c>
      <c r="B1566" s="5" t="s">
        <v>1</v>
      </c>
      <c r="C1566" s="5">
        <v>38499.29</v>
      </c>
      <c r="D1566" s="5">
        <v>21</v>
      </c>
      <c r="E1566" s="5">
        <v>0</v>
      </c>
      <c r="F1566" s="5">
        <v>0.54710000000000003</v>
      </c>
      <c r="G1566" s="5">
        <v>7.6100000000000001E-2</v>
      </c>
      <c r="H1566" s="5">
        <v>1</v>
      </c>
      <c r="I1566" s="5">
        <v>12961</v>
      </c>
      <c r="J1566" s="5">
        <v>0</v>
      </c>
      <c r="K1566" s="5">
        <v>37</v>
      </c>
      <c r="L1566" s="5">
        <v>1</v>
      </c>
      <c r="M1566" s="5">
        <v>1</v>
      </c>
      <c r="N1566" s="5">
        <v>0</v>
      </c>
      <c r="O1566" s="5">
        <v>605.95000000000005</v>
      </c>
      <c r="P1566" s="6">
        <v>0</v>
      </c>
    </row>
    <row r="1567" spans="1:16" ht="23.4" x14ac:dyDescent="0.45">
      <c r="A1567" s="4" t="s">
        <v>1553</v>
      </c>
      <c r="B1567" s="5" t="s">
        <v>6</v>
      </c>
      <c r="C1567" s="5">
        <v>47502.98</v>
      </c>
      <c r="D1567" s="5">
        <v>57</v>
      </c>
      <c r="E1567" s="5">
        <v>1</v>
      </c>
      <c r="F1567" s="5">
        <v>0.70520000000000005</v>
      </c>
      <c r="G1567" s="5">
        <v>4.8599999999999997E-2</v>
      </c>
      <c r="H1567" s="5">
        <v>1</v>
      </c>
      <c r="I1567" s="5">
        <v>500</v>
      </c>
      <c r="J1567" s="5">
        <v>0</v>
      </c>
      <c r="K1567" s="5">
        <v>154</v>
      </c>
      <c r="L1567" s="5">
        <v>2</v>
      </c>
      <c r="M1567" s="5">
        <v>3</v>
      </c>
      <c r="N1567" s="5">
        <v>1</v>
      </c>
      <c r="O1567" s="5">
        <v>735.6</v>
      </c>
      <c r="P1567" s="6">
        <v>0</v>
      </c>
    </row>
    <row r="1568" spans="1:16" ht="23.4" x14ac:dyDescent="0.45">
      <c r="A1568" s="4" t="s">
        <v>1554</v>
      </c>
      <c r="B1568" s="5" t="s">
        <v>18</v>
      </c>
      <c r="C1568" s="5">
        <v>87143.99</v>
      </c>
      <c r="D1568" s="5">
        <v>21</v>
      </c>
      <c r="E1568" s="5">
        <v>0</v>
      </c>
      <c r="F1568" s="5">
        <v>0.64080000000000004</v>
      </c>
      <c r="G1568" s="5">
        <v>7.6E-3</v>
      </c>
      <c r="H1568" s="5">
        <v>0</v>
      </c>
      <c r="I1568" s="5">
        <v>500</v>
      </c>
      <c r="J1568" s="5">
        <v>23167.25</v>
      </c>
      <c r="K1568" s="5">
        <v>27</v>
      </c>
      <c r="L1568" s="5">
        <v>3</v>
      </c>
      <c r="M1568" s="5">
        <v>2</v>
      </c>
      <c r="N1568" s="5">
        <v>1</v>
      </c>
      <c r="O1568" s="5">
        <v>680.3</v>
      </c>
      <c r="P1568" s="6">
        <v>0</v>
      </c>
    </row>
    <row r="1569" spans="1:16" ht="23.4" x14ac:dyDescent="0.45">
      <c r="A1569" s="4" t="s">
        <v>1555</v>
      </c>
      <c r="B1569" s="5" t="s">
        <v>4</v>
      </c>
      <c r="C1569" s="5">
        <v>94350.97</v>
      </c>
      <c r="D1569" s="5">
        <v>24</v>
      </c>
      <c r="E1569" s="5">
        <v>0</v>
      </c>
      <c r="F1569" s="5">
        <v>0.9667</v>
      </c>
      <c r="G1569" s="5">
        <v>0.4486</v>
      </c>
      <c r="H1569" s="5">
        <v>4</v>
      </c>
      <c r="I1569" s="5">
        <v>25507.8</v>
      </c>
      <c r="J1569" s="5">
        <v>19105.169999999998</v>
      </c>
      <c r="K1569" s="5">
        <v>117</v>
      </c>
      <c r="L1569" s="5">
        <v>1</v>
      </c>
      <c r="M1569" s="5">
        <v>1</v>
      </c>
      <c r="N1569" s="5">
        <v>2</v>
      </c>
      <c r="O1569" s="5">
        <v>771.69</v>
      </c>
      <c r="P1569" s="6">
        <v>0</v>
      </c>
    </row>
    <row r="1570" spans="1:16" ht="23.4" x14ac:dyDescent="0.45">
      <c r="A1570" s="4" t="s">
        <v>1556</v>
      </c>
      <c r="B1570" s="5" t="s">
        <v>15</v>
      </c>
      <c r="C1570" s="5">
        <v>107574.42</v>
      </c>
      <c r="D1570" s="5">
        <v>26</v>
      </c>
      <c r="E1570" s="5">
        <v>0</v>
      </c>
      <c r="F1570" s="5">
        <v>0.74450000000000005</v>
      </c>
      <c r="G1570" s="5">
        <v>0.2467</v>
      </c>
      <c r="H1570" s="5">
        <v>4</v>
      </c>
      <c r="I1570" s="5">
        <v>12991.88</v>
      </c>
      <c r="J1570" s="5">
        <v>6450.29</v>
      </c>
      <c r="K1570" s="5">
        <v>72</v>
      </c>
      <c r="L1570" s="5">
        <v>1</v>
      </c>
      <c r="M1570" s="5">
        <v>1</v>
      </c>
      <c r="N1570" s="5">
        <v>1</v>
      </c>
      <c r="O1570" s="5">
        <v>731.17</v>
      </c>
      <c r="P1570" s="6">
        <v>0</v>
      </c>
    </row>
    <row r="1571" spans="1:16" ht="23.4" x14ac:dyDescent="0.45">
      <c r="A1571" s="4" t="s">
        <v>1557</v>
      </c>
      <c r="B1571" s="5" t="s">
        <v>15</v>
      </c>
      <c r="C1571" s="5">
        <v>65846.33</v>
      </c>
      <c r="D1571" s="5">
        <v>61</v>
      </c>
      <c r="E1571" s="5">
        <v>1</v>
      </c>
      <c r="F1571" s="5">
        <v>0.67620000000000002</v>
      </c>
      <c r="G1571" s="5">
        <v>0.88419999999999999</v>
      </c>
      <c r="H1571" s="5">
        <v>7</v>
      </c>
      <c r="I1571" s="5">
        <v>59300.36</v>
      </c>
      <c r="J1571" s="5">
        <v>37108.89</v>
      </c>
      <c r="K1571" s="5">
        <v>111</v>
      </c>
      <c r="L1571" s="5">
        <v>2</v>
      </c>
      <c r="M1571" s="5">
        <v>1</v>
      </c>
      <c r="N1571" s="5">
        <v>0</v>
      </c>
      <c r="O1571" s="5">
        <v>700.06</v>
      </c>
      <c r="P1571" s="6">
        <v>0</v>
      </c>
    </row>
    <row r="1572" spans="1:16" ht="23.4" x14ac:dyDescent="0.45">
      <c r="A1572" s="4" t="s">
        <v>1558</v>
      </c>
      <c r="B1572" s="5" t="s">
        <v>15</v>
      </c>
      <c r="C1572" s="5">
        <v>59908.88</v>
      </c>
      <c r="D1572" s="5">
        <v>66</v>
      </c>
      <c r="E1572" s="5">
        <v>0</v>
      </c>
      <c r="F1572" s="5">
        <v>0.60629999999999995</v>
      </c>
      <c r="G1572" s="5">
        <v>0.36280000000000001</v>
      </c>
      <c r="H1572" s="5">
        <v>4</v>
      </c>
      <c r="I1572" s="5">
        <v>500</v>
      </c>
      <c r="J1572" s="5">
        <v>4874.6400000000003</v>
      </c>
      <c r="K1572" s="5">
        <v>30</v>
      </c>
      <c r="L1572" s="5">
        <v>1</v>
      </c>
      <c r="M1572" s="5">
        <v>1</v>
      </c>
      <c r="N1572" s="5">
        <v>2</v>
      </c>
      <c r="O1572" s="5">
        <v>673.93</v>
      </c>
      <c r="P1572" s="6">
        <v>0</v>
      </c>
    </row>
    <row r="1573" spans="1:16" ht="23.4" x14ac:dyDescent="0.45">
      <c r="A1573" s="4" t="s">
        <v>1559</v>
      </c>
      <c r="B1573" s="5" t="s">
        <v>18</v>
      </c>
      <c r="C1573" s="5">
        <v>9329.59</v>
      </c>
      <c r="D1573" s="5">
        <v>55</v>
      </c>
      <c r="E1573" s="5">
        <v>1</v>
      </c>
      <c r="F1573" s="5">
        <v>0.95820000000000005</v>
      </c>
      <c r="G1573" s="5">
        <v>0.19589999999999999</v>
      </c>
      <c r="H1573" s="5">
        <v>2</v>
      </c>
      <c r="I1573" s="5">
        <v>8500.7099999999991</v>
      </c>
      <c r="J1573" s="5">
        <v>8155.55</v>
      </c>
      <c r="K1573" s="5">
        <v>79</v>
      </c>
      <c r="L1573" s="5">
        <v>4</v>
      </c>
      <c r="M1573" s="5">
        <v>1</v>
      </c>
      <c r="N1573" s="5">
        <v>2</v>
      </c>
      <c r="O1573" s="5">
        <v>813.63</v>
      </c>
      <c r="P1573" s="6">
        <v>0</v>
      </c>
    </row>
    <row r="1574" spans="1:16" ht="23.4" x14ac:dyDescent="0.45">
      <c r="A1574" s="4" t="s">
        <v>1560</v>
      </c>
      <c r="B1574" s="5" t="s">
        <v>18</v>
      </c>
      <c r="C1574" s="5">
        <v>37950.82</v>
      </c>
      <c r="D1574" s="5">
        <v>25</v>
      </c>
      <c r="E1574" s="5">
        <v>1</v>
      </c>
      <c r="F1574" s="5">
        <v>0.65449999999999997</v>
      </c>
      <c r="G1574" s="5">
        <v>1.8100000000000002E-2</v>
      </c>
      <c r="H1574" s="5">
        <v>1</v>
      </c>
      <c r="I1574" s="5">
        <v>14605.23</v>
      </c>
      <c r="J1574" s="5">
        <v>4609.59</v>
      </c>
      <c r="K1574" s="5">
        <v>97</v>
      </c>
      <c r="L1574" s="5">
        <v>2</v>
      </c>
      <c r="M1574" s="5">
        <v>1</v>
      </c>
      <c r="N1574" s="5">
        <v>0</v>
      </c>
      <c r="O1574" s="5">
        <v>767.65</v>
      </c>
      <c r="P1574" s="6">
        <v>0</v>
      </c>
    </row>
    <row r="1575" spans="1:16" ht="23.4" x14ac:dyDescent="0.45">
      <c r="A1575" s="4" t="s">
        <v>1561</v>
      </c>
      <c r="B1575" s="5" t="s">
        <v>4</v>
      </c>
      <c r="C1575" s="5">
        <v>80337.679999999993</v>
      </c>
      <c r="D1575" s="5">
        <v>22</v>
      </c>
      <c r="E1575" s="5">
        <v>1</v>
      </c>
      <c r="F1575" s="5">
        <v>0.7853</v>
      </c>
      <c r="G1575" s="5">
        <v>0.40560000000000002</v>
      </c>
      <c r="H1575" s="5">
        <v>0</v>
      </c>
      <c r="I1575" s="5">
        <v>524.6</v>
      </c>
      <c r="J1575" s="5">
        <v>0</v>
      </c>
      <c r="K1575" s="5">
        <v>90</v>
      </c>
      <c r="L1575" s="5">
        <v>1</v>
      </c>
      <c r="M1575" s="5">
        <v>1</v>
      </c>
      <c r="N1575" s="5">
        <v>0</v>
      </c>
      <c r="O1575" s="5">
        <v>699.68</v>
      </c>
      <c r="P1575" s="6">
        <v>0</v>
      </c>
    </row>
    <row r="1576" spans="1:16" ht="23.4" x14ac:dyDescent="0.45">
      <c r="A1576" s="4" t="s">
        <v>1562</v>
      </c>
      <c r="B1576" s="5" t="s">
        <v>18</v>
      </c>
      <c r="C1576" s="5">
        <v>118266.21</v>
      </c>
      <c r="D1576" s="5">
        <v>41</v>
      </c>
      <c r="E1576" s="5">
        <v>0</v>
      </c>
      <c r="F1576" s="5">
        <v>0.95320000000000005</v>
      </c>
      <c r="G1576" s="5">
        <v>0.37309999999999999</v>
      </c>
      <c r="H1576" s="5">
        <v>3</v>
      </c>
      <c r="I1576" s="5">
        <v>28097.82</v>
      </c>
      <c r="J1576" s="5">
        <v>7386.17</v>
      </c>
      <c r="K1576" s="5">
        <v>35</v>
      </c>
      <c r="L1576" s="5">
        <v>3</v>
      </c>
      <c r="M1576" s="5">
        <v>1</v>
      </c>
      <c r="N1576" s="5">
        <v>1</v>
      </c>
      <c r="O1576" s="5">
        <v>743.62</v>
      </c>
      <c r="P1576" s="6">
        <v>0</v>
      </c>
    </row>
    <row r="1577" spans="1:16" ht="23.4" x14ac:dyDescent="0.45">
      <c r="A1577" s="4" t="s">
        <v>1563</v>
      </c>
      <c r="B1577" s="5" t="s">
        <v>6</v>
      </c>
      <c r="C1577" s="5">
        <v>124608.81</v>
      </c>
      <c r="D1577" s="5">
        <v>24</v>
      </c>
      <c r="E1577" s="5">
        <v>1</v>
      </c>
      <c r="F1577" s="5">
        <v>0.92090000000000005</v>
      </c>
      <c r="G1577" s="5">
        <v>0.56389999999999996</v>
      </c>
      <c r="H1577" s="5">
        <v>1</v>
      </c>
      <c r="I1577" s="5">
        <v>67935.13</v>
      </c>
      <c r="J1577" s="5">
        <v>64801.919999999998</v>
      </c>
      <c r="K1577" s="5">
        <v>50</v>
      </c>
      <c r="L1577" s="5">
        <v>1</v>
      </c>
      <c r="M1577" s="5">
        <v>3</v>
      </c>
      <c r="N1577" s="5">
        <v>1</v>
      </c>
      <c r="O1577" s="5">
        <v>733.2</v>
      </c>
      <c r="P1577" s="6">
        <v>0</v>
      </c>
    </row>
    <row r="1578" spans="1:16" ht="23.4" x14ac:dyDescent="0.45">
      <c r="A1578" s="4" t="s">
        <v>1564</v>
      </c>
      <c r="B1578" s="5" t="s">
        <v>9</v>
      </c>
      <c r="C1578" s="5">
        <v>78162.75</v>
      </c>
      <c r="D1578" s="5">
        <v>26</v>
      </c>
      <c r="E1578" s="5">
        <v>1</v>
      </c>
      <c r="F1578" s="5">
        <v>0.64600000000000002</v>
      </c>
      <c r="G1578" s="5">
        <v>0.65769999999999995</v>
      </c>
      <c r="H1578" s="5">
        <v>6</v>
      </c>
      <c r="I1578" s="5">
        <v>49726.19</v>
      </c>
      <c r="J1578" s="5">
        <v>42561.2</v>
      </c>
      <c r="K1578" s="5">
        <v>101</v>
      </c>
      <c r="L1578" s="5">
        <v>1</v>
      </c>
      <c r="M1578" s="5">
        <v>2</v>
      </c>
      <c r="N1578" s="5">
        <v>0</v>
      </c>
      <c r="O1578" s="5">
        <v>606.79999999999995</v>
      </c>
      <c r="P1578" s="6">
        <v>0</v>
      </c>
    </row>
    <row r="1579" spans="1:16" ht="23.4" x14ac:dyDescent="0.45">
      <c r="A1579" s="4" t="s">
        <v>1565</v>
      </c>
      <c r="B1579" s="5" t="s">
        <v>9</v>
      </c>
      <c r="C1579" s="5">
        <v>190080.71</v>
      </c>
      <c r="D1579" s="5">
        <v>67</v>
      </c>
      <c r="E1579" s="5">
        <v>0</v>
      </c>
      <c r="F1579" s="5">
        <v>0.98660000000000003</v>
      </c>
      <c r="G1579" s="5">
        <v>0.18340000000000001</v>
      </c>
      <c r="H1579" s="5">
        <v>0</v>
      </c>
      <c r="I1579" s="5">
        <v>57164.56</v>
      </c>
      <c r="J1579" s="5">
        <v>52139.92</v>
      </c>
      <c r="K1579" s="5">
        <v>51</v>
      </c>
      <c r="L1579" s="5">
        <v>3</v>
      </c>
      <c r="M1579" s="5">
        <v>3</v>
      </c>
      <c r="N1579" s="5">
        <v>0</v>
      </c>
      <c r="O1579" s="5">
        <v>744.33</v>
      </c>
      <c r="P1579" s="6">
        <v>0</v>
      </c>
    </row>
    <row r="1580" spans="1:16" ht="23.4" x14ac:dyDescent="0.45">
      <c r="A1580" s="4" t="s">
        <v>1566</v>
      </c>
      <c r="B1580" s="5" t="s">
        <v>1</v>
      </c>
      <c r="C1580" s="5">
        <v>60558.48</v>
      </c>
      <c r="D1580" s="5">
        <v>22</v>
      </c>
      <c r="E1580" s="5">
        <v>0</v>
      </c>
      <c r="F1580" s="5">
        <v>0.5534</v>
      </c>
      <c r="G1580" s="5">
        <v>0.48399999999999999</v>
      </c>
      <c r="H1580" s="5">
        <v>3</v>
      </c>
      <c r="I1580" s="5">
        <v>30513.51</v>
      </c>
      <c r="J1580" s="5">
        <v>26569.86</v>
      </c>
      <c r="K1580" s="5">
        <v>166</v>
      </c>
      <c r="L1580" s="5">
        <v>4</v>
      </c>
      <c r="M1580" s="5">
        <v>3</v>
      </c>
      <c r="N1580" s="5">
        <v>0</v>
      </c>
      <c r="O1580" s="5">
        <v>703.92</v>
      </c>
      <c r="P1580" s="6">
        <v>0</v>
      </c>
    </row>
    <row r="1581" spans="1:16" ht="23.4" x14ac:dyDescent="0.45">
      <c r="A1581" s="4" t="s">
        <v>1567</v>
      </c>
      <c r="B1581" s="5" t="s">
        <v>15</v>
      </c>
      <c r="C1581" s="5">
        <v>61194.17</v>
      </c>
      <c r="D1581" s="5">
        <v>47</v>
      </c>
      <c r="E1581" s="5">
        <v>0</v>
      </c>
      <c r="F1581" s="5">
        <v>1</v>
      </c>
      <c r="G1581" s="5">
        <v>0.86960000000000004</v>
      </c>
      <c r="H1581" s="5">
        <v>4</v>
      </c>
      <c r="I1581" s="5">
        <v>51276.75</v>
      </c>
      <c r="J1581" s="5">
        <v>39490.39</v>
      </c>
      <c r="K1581" s="5">
        <v>179</v>
      </c>
      <c r="L1581" s="5">
        <v>1</v>
      </c>
      <c r="M1581" s="5">
        <v>1</v>
      </c>
      <c r="N1581" s="5">
        <v>3</v>
      </c>
      <c r="O1581" s="5">
        <v>725.71</v>
      </c>
      <c r="P1581" s="6">
        <v>0</v>
      </c>
    </row>
    <row r="1582" spans="1:16" ht="23.4" x14ac:dyDescent="0.45">
      <c r="A1582" s="4" t="s">
        <v>1568</v>
      </c>
      <c r="B1582" s="5" t="s">
        <v>18</v>
      </c>
      <c r="C1582" s="5">
        <v>143520.22</v>
      </c>
      <c r="D1582" s="5">
        <v>47</v>
      </c>
      <c r="E1582" s="5">
        <v>1</v>
      </c>
      <c r="F1582" s="5">
        <v>0.68030000000000002</v>
      </c>
      <c r="G1582" s="5">
        <v>0.32879999999999998</v>
      </c>
      <c r="H1582" s="5">
        <v>0</v>
      </c>
      <c r="I1582" s="5">
        <v>33410.160000000003</v>
      </c>
      <c r="J1582" s="5">
        <v>32432.57</v>
      </c>
      <c r="K1582" s="5">
        <v>108</v>
      </c>
      <c r="L1582" s="5">
        <v>4</v>
      </c>
      <c r="M1582" s="5">
        <v>2</v>
      </c>
      <c r="N1582" s="5">
        <v>0</v>
      </c>
      <c r="O1582" s="5">
        <v>826.89</v>
      </c>
      <c r="P1582" s="6">
        <v>0</v>
      </c>
    </row>
    <row r="1583" spans="1:16" ht="23.4" x14ac:dyDescent="0.45">
      <c r="A1583" s="4" t="s">
        <v>1569</v>
      </c>
      <c r="B1583" s="5" t="s">
        <v>9</v>
      </c>
      <c r="C1583" s="5">
        <v>137604.43</v>
      </c>
      <c r="D1583" s="5">
        <v>47</v>
      </c>
      <c r="E1583" s="5">
        <v>0</v>
      </c>
      <c r="F1583" s="5">
        <v>0.82950000000000002</v>
      </c>
      <c r="G1583" s="5">
        <v>0.18379999999999999</v>
      </c>
      <c r="H1583" s="5">
        <v>2</v>
      </c>
      <c r="I1583" s="5">
        <v>15961.92</v>
      </c>
      <c r="J1583" s="5">
        <v>5216.97</v>
      </c>
      <c r="K1583" s="5">
        <v>26</v>
      </c>
      <c r="L1583" s="5">
        <v>2</v>
      </c>
      <c r="M1583" s="5">
        <v>2</v>
      </c>
      <c r="N1583" s="5">
        <v>1</v>
      </c>
      <c r="O1583" s="5">
        <v>687.23</v>
      </c>
      <c r="P1583" s="6">
        <v>0</v>
      </c>
    </row>
    <row r="1584" spans="1:16" ht="23.4" x14ac:dyDescent="0.45">
      <c r="A1584" s="4" t="s">
        <v>1570</v>
      </c>
      <c r="B1584" s="5" t="s">
        <v>6</v>
      </c>
      <c r="C1584" s="5">
        <v>209007.83</v>
      </c>
      <c r="D1584" s="5">
        <v>27</v>
      </c>
      <c r="E1584" s="5">
        <v>0</v>
      </c>
      <c r="F1584" s="5">
        <v>0.82350000000000001</v>
      </c>
      <c r="G1584" s="5">
        <v>0.47360000000000002</v>
      </c>
      <c r="H1584" s="5">
        <v>1</v>
      </c>
      <c r="I1584" s="5">
        <v>55423.32</v>
      </c>
      <c r="J1584" s="5">
        <v>30262.58</v>
      </c>
      <c r="K1584" s="5">
        <v>43</v>
      </c>
      <c r="L1584" s="5">
        <v>1</v>
      </c>
      <c r="M1584" s="5">
        <v>1</v>
      </c>
      <c r="N1584" s="5">
        <v>0</v>
      </c>
      <c r="O1584" s="5">
        <v>715.95</v>
      </c>
      <c r="P1584" s="6">
        <v>0</v>
      </c>
    </row>
    <row r="1585" spans="1:16" ht="23.4" x14ac:dyDescent="0.45">
      <c r="A1585" s="4" t="s">
        <v>1571</v>
      </c>
      <c r="B1585" s="5" t="s">
        <v>1</v>
      </c>
      <c r="C1585" s="5">
        <v>104462</v>
      </c>
      <c r="D1585" s="5">
        <v>68</v>
      </c>
      <c r="E1585" s="5">
        <v>0</v>
      </c>
      <c r="F1585" s="5">
        <v>0.70620000000000005</v>
      </c>
      <c r="G1585" s="5">
        <v>8.5199999999999998E-2</v>
      </c>
      <c r="H1585" s="5">
        <v>2</v>
      </c>
      <c r="I1585" s="5">
        <v>6118.42</v>
      </c>
      <c r="J1585" s="5">
        <v>0</v>
      </c>
      <c r="K1585" s="5">
        <v>70</v>
      </c>
      <c r="L1585" s="5">
        <v>2</v>
      </c>
      <c r="M1585" s="5">
        <v>2</v>
      </c>
      <c r="N1585" s="5">
        <v>0</v>
      </c>
      <c r="O1585" s="5">
        <v>801.12</v>
      </c>
      <c r="P1585" s="6">
        <v>0</v>
      </c>
    </row>
    <row r="1586" spans="1:16" ht="23.4" x14ac:dyDescent="0.45">
      <c r="A1586" s="4" t="s">
        <v>1572</v>
      </c>
      <c r="B1586" s="5" t="s">
        <v>4</v>
      </c>
      <c r="C1586" s="5">
        <v>91861.78</v>
      </c>
      <c r="D1586" s="5">
        <v>46</v>
      </c>
      <c r="E1586" s="5">
        <v>1</v>
      </c>
      <c r="F1586" s="5">
        <v>0.66369999999999996</v>
      </c>
      <c r="G1586" s="5">
        <v>0.29220000000000002</v>
      </c>
      <c r="H1586" s="5">
        <v>1</v>
      </c>
      <c r="I1586" s="5">
        <v>21125.919999999998</v>
      </c>
      <c r="J1586" s="5">
        <v>28517.31</v>
      </c>
      <c r="K1586" s="5">
        <v>37</v>
      </c>
      <c r="L1586" s="5">
        <v>1</v>
      </c>
      <c r="M1586" s="5">
        <v>2</v>
      </c>
      <c r="N1586" s="5">
        <v>1</v>
      </c>
      <c r="O1586" s="5">
        <v>731.72</v>
      </c>
      <c r="P1586" s="6">
        <v>0</v>
      </c>
    </row>
    <row r="1587" spans="1:16" ht="23.4" x14ac:dyDescent="0.45">
      <c r="A1587" s="4" t="s">
        <v>1573</v>
      </c>
      <c r="B1587" s="5" t="s">
        <v>4</v>
      </c>
      <c r="C1587" s="5">
        <v>143606.07</v>
      </c>
      <c r="D1587" s="5">
        <v>50</v>
      </c>
      <c r="E1587" s="5">
        <v>1</v>
      </c>
      <c r="F1587" s="5">
        <v>0.70230000000000004</v>
      </c>
      <c r="G1587" s="5">
        <v>0.89319999999999999</v>
      </c>
      <c r="H1587" s="5">
        <v>3</v>
      </c>
      <c r="I1587" s="5">
        <v>133807.76999999999</v>
      </c>
      <c r="J1587" s="5">
        <v>85562.37</v>
      </c>
      <c r="K1587" s="5">
        <v>79</v>
      </c>
      <c r="L1587" s="5">
        <v>2</v>
      </c>
      <c r="M1587" s="5">
        <v>2</v>
      </c>
      <c r="N1587" s="5">
        <v>2</v>
      </c>
      <c r="O1587" s="5">
        <v>730.87</v>
      </c>
      <c r="P1587" s="6">
        <v>0</v>
      </c>
    </row>
    <row r="1588" spans="1:16" ht="23.4" x14ac:dyDescent="0.45">
      <c r="A1588" s="4" t="s">
        <v>1574</v>
      </c>
      <c r="B1588" s="5" t="s">
        <v>18</v>
      </c>
      <c r="C1588" s="5">
        <v>54307.91</v>
      </c>
      <c r="D1588" s="5">
        <v>47</v>
      </c>
      <c r="E1588" s="5">
        <v>0</v>
      </c>
      <c r="F1588" s="5">
        <v>0.67159999999999997</v>
      </c>
      <c r="G1588" s="5">
        <v>0</v>
      </c>
      <c r="H1588" s="5">
        <v>0</v>
      </c>
      <c r="I1588" s="5">
        <v>500</v>
      </c>
      <c r="J1588" s="5">
        <v>9340.14</v>
      </c>
      <c r="K1588" s="5">
        <v>10</v>
      </c>
      <c r="L1588" s="5">
        <v>1</v>
      </c>
      <c r="M1588" s="5">
        <v>1</v>
      </c>
      <c r="N1588" s="5">
        <v>0</v>
      </c>
      <c r="O1588" s="5">
        <v>755.83</v>
      </c>
      <c r="P1588" s="6">
        <v>0</v>
      </c>
    </row>
    <row r="1589" spans="1:16" ht="23.4" x14ac:dyDescent="0.45">
      <c r="A1589" s="4" t="s">
        <v>1575</v>
      </c>
      <c r="B1589" s="5" t="s">
        <v>1</v>
      </c>
      <c r="C1589" s="5">
        <v>95338.22</v>
      </c>
      <c r="D1589" s="5">
        <v>44</v>
      </c>
      <c r="E1589" s="5">
        <v>1</v>
      </c>
      <c r="F1589" s="5">
        <v>0.5907</v>
      </c>
      <c r="G1589" s="5">
        <v>0.73899999999999999</v>
      </c>
      <c r="H1589" s="5">
        <v>4</v>
      </c>
      <c r="I1589" s="5">
        <v>97007.13</v>
      </c>
      <c r="J1589" s="5">
        <v>67921.95</v>
      </c>
      <c r="K1589" s="5">
        <v>36</v>
      </c>
      <c r="L1589" s="5">
        <v>2</v>
      </c>
      <c r="M1589" s="5">
        <v>1</v>
      </c>
      <c r="N1589" s="5">
        <v>1</v>
      </c>
      <c r="O1589" s="5">
        <v>772.03</v>
      </c>
      <c r="P1589" s="6">
        <v>0</v>
      </c>
    </row>
    <row r="1590" spans="1:16" ht="23.4" x14ac:dyDescent="0.45">
      <c r="A1590" s="4" t="s">
        <v>1576</v>
      </c>
      <c r="B1590" s="5" t="s">
        <v>18</v>
      </c>
      <c r="C1590" s="5">
        <v>15555.62</v>
      </c>
      <c r="D1590" s="5">
        <v>36</v>
      </c>
      <c r="E1590" s="5">
        <v>0</v>
      </c>
      <c r="F1590" s="5">
        <v>0.87150000000000005</v>
      </c>
      <c r="G1590" s="5">
        <v>0.28499999999999998</v>
      </c>
      <c r="H1590" s="5">
        <v>2</v>
      </c>
      <c r="I1590" s="5">
        <v>615.15</v>
      </c>
      <c r="J1590" s="5">
        <v>0</v>
      </c>
      <c r="K1590" s="5">
        <v>104</v>
      </c>
      <c r="L1590" s="5">
        <v>1</v>
      </c>
      <c r="M1590" s="5">
        <v>1</v>
      </c>
      <c r="N1590" s="5">
        <v>0</v>
      </c>
      <c r="O1590" s="5">
        <v>772.05</v>
      </c>
      <c r="P1590" s="6">
        <v>0</v>
      </c>
    </row>
    <row r="1591" spans="1:16" ht="23.4" x14ac:dyDescent="0.45">
      <c r="A1591" s="4" t="s">
        <v>1577</v>
      </c>
      <c r="B1591" s="5" t="s">
        <v>18</v>
      </c>
      <c r="C1591" s="5">
        <v>89905.600000000006</v>
      </c>
      <c r="D1591" s="5">
        <v>56</v>
      </c>
      <c r="E1591" s="5">
        <v>1</v>
      </c>
      <c r="F1591" s="5">
        <v>0.83160000000000001</v>
      </c>
      <c r="G1591" s="5">
        <v>9.1999999999999998E-2</v>
      </c>
      <c r="H1591" s="5">
        <v>2</v>
      </c>
      <c r="I1591" s="5">
        <v>5774.02</v>
      </c>
      <c r="J1591" s="5">
        <v>9670.7199999999993</v>
      </c>
      <c r="K1591" s="5">
        <v>9</v>
      </c>
      <c r="L1591" s="5">
        <v>1</v>
      </c>
      <c r="M1591" s="5">
        <v>3</v>
      </c>
      <c r="N1591" s="5">
        <v>1</v>
      </c>
      <c r="O1591" s="5">
        <v>768.13</v>
      </c>
      <c r="P1591" s="6">
        <v>0</v>
      </c>
    </row>
    <row r="1592" spans="1:16" ht="23.4" x14ac:dyDescent="0.45">
      <c r="A1592" s="4" t="s">
        <v>1578</v>
      </c>
      <c r="B1592" s="5" t="s">
        <v>1</v>
      </c>
      <c r="C1592" s="5">
        <v>143890.75</v>
      </c>
      <c r="D1592" s="5">
        <v>68</v>
      </c>
      <c r="E1592" s="5">
        <v>0</v>
      </c>
      <c r="F1592" s="5">
        <v>0.89049999999999996</v>
      </c>
      <c r="G1592" s="5">
        <v>0.77800000000000002</v>
      </c>
      <c r="H1592" s="5">
        <v>7</v>
      </c>
      <c r="I1592" s="5">
        <v>113381.95</v>
      </c>
      <c r="J1592" s="5">
        <v>75590.929999999993</v>
      </c>
      <c r="K1592" s="5">
        <v>17</v>
      </c>
      <c r="L1592" s="5">
        <v>3</v>
      </c>
      <c r="M1592" s="5">
        <v>1</v>
      </c>
      <c r="N1592" s="5">
        <v>1</v>
      </c>
      <c r="O1592" s="5">
        <v>589.89</v>
      </c>
      <c r="P1592" s="6">
        <v>0</v>
      </c>
    </row>
    <row r="1593" spans="1:16" ht="23.4" x14ac:dyDescent="0.45">
      <c r="A1593" s="4" t="s">
        <v>1579</v>
      </c>
      <c r="B1593" s="5" t="s">
        <v>18</v>
      </c>
      <c r="C1593" s="5">
        <v>156696.1</v>
      </c>
      <c r="D1593" s="5">
        <v>43</v>
      </c>
      <c r="E1593" s="5">
        <v>1</v>
      </c>
      <c r="F1593" s="5">
        <v>0.58799999999999997</v>
      </c>
      <c r="G1593" s="5">
        <v>8.3299999999999999E-2</v>
      </c>
      <c r="H1593" s="5">
        <v>1</v>
      </c>
      <c r="I1593" s="5">
        <v>8201.82</v>
      </c>
      <c r="J1593" s="5">
        <v>1569.93</v>
      </c>
      <c r="K1593" s="5">
        <v>171</v>
      </c>
      <c r="L1593" s="5">
        <v>1</v>
      </c>
      <c r="M1593" s="5">
        <v>3</v>
      </c>
      <c r="N1593" s="5">
        <v>1</v>
      </c>
      <c r="O1593" s="5">
        <v>712.64</v>
      </c>
      <c r="P1593" s="6">
        <v>0</v>
      </c>
    </row>
    <row r="1594" spans="1:16" ht="23.4" x14ac:dyDescent="0.45">
      <c r="A1594" s="4" t="s">
        <v>1580</v>
      </c>
      <c r="B1594" s="5" t="s">
        <v>18</v>
      </c>
      <c r="C1594" s="5">
        <v>158205.01</v>
      </c>
      <c r="D1594" s="5">
        <v>61</v>
      </c>
      <c r="E1594" s="5">
        <v>0</v>
      </c>
      <c r="F1594" s="5">
        <v>0.36620000000000003</v>
      </c>
      <c r="G1594" s="5">
        <v>0.52339999999999998</v>
      </c>
      <c r="H1594" s="5">
        <v>4</v>
      </c>
      <c r="I1594" s="5">
        <v>72954.05</v>
      </c>
      <c r="J1594" s="5">
        <v>42042.71</v>
      </c>
      <c r="K1594" s="5">
        <v>141</v>
      </c>
      <c r="L1594" s="5">
        <v>1</v>
      </c>
      <c r="M1594" s="5">
        <v>1</v>
      </c>
      <c r="N1594" s="5">
        <v>1</v>
      </c>
      <c r="O1594" s="5">
        <v>688.93</v>
      </c>
      <c r="P1594" s="6">
        <v>0</v>
      </c>
    </row>
    <row r="1595" spans="1:16" ht="23.4" x14ac:dyDescent="0.45">
      <c r="A1595" s="4" t="s">
        <v>1581</v>
      </c>
      <c r="B1595" s="5" t="s">
        <v>15</v>
      </c>
      <c r="C1595" s="5">
        <v>137752.54</v>
      </c>
      <c r="D1595" s="5">
        <v>49</v>
      </c>
      <c r="E1595" s="5">
        <v>1</v>
      </c>
      <c r="F1595" s="5">
        <v>0.6835</v>
      </c>
      <c r="G1595" s="5">
        <v>0.39710000000000001</v>
      </c>
      <c r="H1595" s="5">
        <v>4</v>
      </c>
      <c r="I1595" s="5">
        <v>67516.55</v>
      </c>
      <c r="J1595" s="5">
        <v>46297.84</v>
      </c>
      <c r="K1595" s="5">
        <v>125</v>
      </c>
      <c r="L1595" s="5">
        <v>1</v>
      </c>
      <c r="M1595" s="5">
        <v>1</v>
      </c>
      <c r="N1595" s="5">
        <v>0</v>
      </c>
      <c r="O1595" s="5">
        <v>605.39</v>
      </c>
      <c r="P1595" s="6">
        <v>0</v>
      </c>
    </row>
    <row r="1596" spans="1:16" ht="23.4" x14ac:dyDescent="0.45">
      <c r="A1596" s="4" t="s">
        <v>1582</v>
      </c>
      <c r="B1596" s="5" t="s">
        <v>18</v>
      </c>
      <c r="C1596" s="5">
        <v>12007.45</v>
      </c>
      <c r="D1596" s="5">
        <v>51</v>
      </c>
      <c r="E1596" s="5">
        <v>1</v>
      </c>
      <c r="F1596" s="5">
        <v>0.67379999999999995</v>
      </c>
      <c r="G1596" s="5">
        <v>0.54330000000000001</v>
      </c>
      <c r="H1596" s="5">
        <v>3</v>
      </c>
      <c r="I1596" s="5">
        <v>24229.65</v>
      </c>
      <c r="J1596" s="5">
        <v>8778.73</v>
      </c>
      <c r="K1596" s="5">
        <v>156</v>
      </c>
      <c r="L1596" s="5">
        <v>2</v>
      </c>
      <c r="M1596" s="5">
        <v>1</v>
      </c>
      <c r="N1596" s="5">
        <v>1</v>
      </c>
      <c r="O1596" s="5">
        <v>698.98</v>
      </c>
      <c r="P1596" s="6">
        <v>0</v>
      </c>
    </row>
    <row r="1597" spans="1:16" ht="23.4" x14ac:dyDescent="0.45">
      <c r="A1597" s="4" t="s">
        <v>1583</v>
      </c>
      <c r="B1597" s="5" t="s">
        <v>15</v>
      </c>
      <c r="C1597" s="5">
        <v>34955.17</v>
      </c>
      <c r="D1597" s="5">
        <v>35</v>
      </c>
      <c r="E1597" s="5">
        <v>1</v>
      </c>
      <c r="F1597" s="5">
        <v>1</v>
      </c>
      <c r="G1597" s="5">
        <v>0.52859999999999996</v>
      </c>
      <c r="H1597" s="5">
        <v>2</v>
      </c>
      <c r="I1597" s="5">
        <v>15876.91</v>
      </c>
      <c r="J1597" s="5">
        <v>16859.09</v>
      </c>
      <c r="K1597" s="5">
        <v>79</v>
      </c>
      <c r="L1597" s="5">
        <v>2</v>
      </c>
      <c r="M1597" s="5">
        <v>2</v>
      </c>
      <c r="N1597" s="5">
        <v>1</v>
      </c>
      <c r="O1597" s="5">
        <v>705.93</v>
      </c>
      <c r="P1597" s="6">
        <v>0</v>
      </c>
    </row>
    <row r="1598" spans="1:16" ht="23.4" x14ac:dyDescent="0.45">
      <c r="A1598" s="4" t="s">
        <v>1584</v>
      </c>
      <c r="B1598" s="5" t="s">
        <v>4</v>
      </c>
      <c r="C1598" s="5">
        <v>35988.1</v>
      </c>
      <c r="D1598" s="5">
        <v>53</v>
      </c>
      <c r="E1598" s="5">
        <v>0</v>
      </c>
      <c r="F1598" s="5">
        <v>1</v>
      </c>
      <c r="G1598" s="5">
        <v>0.54949999999999999</v>
      </c>
      <c r="H1598" s="5">
        <v>3</v>
      </c>
      <c r="I1598" s="5">
        <v>18468.23</v>
      </c>
      <c r="J1598" s="5">
        <v>30862.799999999999</v>
      </c>
      <c r="K1598" s="5">
        <v>55</v>
      </c>
      <c r="L1598" s="5">
        <v>3</v>
      </c>
      <c r="M1598" s="5">
        <v>1</v>
      </c>
      <c r="N1598" s="5">
        <v>2</v>
      </c>
      <c r="O1598" s="5">
        <v>760.84</v>
      </c>
      <c r="P1598" s="6">
        <v>0</v>
      </c>
    </row>
    <row r="1599" spans="1:16" ht="23.4" x14ac:dyDescent="0.45">
      <c r="A1599" s="4" t="s">
        <v>1585</v>
      </c>
      <c r="B1599" s="5" t="s">
        <v>4</v>
      </c>
      <c r="C1599" s="5">
        <v>83995.81</v>
      </c>
      <c r="D1599" s="5">
        <v>46</v>
      </c>
      <c r="E1599" s="5">
        <v>0</v>
      </c>
      <c r="F1599" s="5">
        <v>0.39629999999999999</v>
      </c>
      <c r="G1599" s="5">
        <v>0.17519999999999999</v>
      </c>
      <c r="H1599" s="5">
        <v>0</v>
      </c>
      <c r="I1599" s="5">
        <v>29522.36</v>
      </c>
      <c r="J1599" s="5">
        <v>10974.76</v>
      </c>
      <c r="K1599" s="5">
        <v>122</v>
      </c>
      <c r="L1599" s="5">
        <v>1</v>
      </c>
      <c r="M1599" s="5">
        <v>2</v>
      </c>
      <c r="N1599" s="5">
        <v>0</v>
      </c>
      <c r="O1599" s="5">
        <v>721.2</v>
      </c>
      <c r="P1599" s="6">
        <v>0</v>
      </c>
    </row>
    <row r="1600" spans="1:16" ht="23.4" x14ac:dyDescent="0.45">
      <c r="A1600" s="4" t="s">
        <v>1586</v>
      </c>
      <c r="B1600" s="5" t="s">
        <v>18</v>
      </c>
      <c r="C1600" s="5">
        <v>72548.95</v>
      </c>
      <c r="D1600" s="5">
        <v>48</v>
      </c>
      <c r="E1600" s="5">
        <v>0</v>
      </c>
      <c r="F1600" s="5">
        <v>0.52900000000000003</v>
      </c>
      <c r="G1600" s="5">
        <v>0.30840000000000001</v>
      </c>
      <c r="H1600" s="5">
        <v>1</v>
      </c>
      <c r="I1600" s="5">
        <v>500</v>
      </c>
      <c r="J1600" s="5">
        <v>0</v>
      </c>
      <c r="K1600" s="5">
        <v>99</v>
      </c>
      <c r="L1600" s="5">
        <v>2</v>
      </c>
      <c r="M1600" s="5">
        <v>3</v>
      </c>
      <c r="N1600" s="5">
        <v>2</v>
      </c>
      <c r="O1600" s="5">
        <v>705.87</v>
      </c>
      <c r="P1600" s="6">
        <v>0</v>
      </c>
    </row>
    <row r="1601" spans="1:16" ht="23.4" x14ac:dyDescent="0.45">
      <c r="A1601" s="4" t="s">
        <v>1587</v>
      </c>
      <c r="B1601" s="5" t="s">
        <v>4</v>
      </c>
      <c r="C1601" s="5">
        <v>98059.54</v>
      </c>
      <c r="D1601" s="5">
        <v>47</v>
      </c>
      <c r="E1601" s="5">
        <v>1</v>
      </c>
      <c r="F1601" s="5">
        <v>0.99380000000000002</v>
      </c>
      <c r="G1601" s="5">
        <v>0.1138</v>
      </c>
      <c r="H1601" s="5">
        <v>1</v>
      </c>
      <c r="I1601" s="5">
        <v>12072.06</v>
      </c>
      <c r="J1601" s="5">
        <v>14664.26</v>
      </c>
      <c r="K1601" s="5">
        <v>99</v>
      </c>
      <c r="L1601" s="5">
        <v>1</v>
      </c>
      <c r="M1601" s="5">
        <v>3</v>
      </c>
      <c r="N1601" s="5">
        <v>2</v>
      </c>
      <c r="O1601" s="5">
        <v>741.72</v>
      </c>
      <c r="P1601" s="6">
        <v>0</v>
      </c>
    </row>
    <row r="1602" spans="1:16" ht="23.4" x14ac:dyDescent="0.45">
      <c r="A1602" s="4" t="s">
        <v>1588</v>
      </c>
      <c r="B1602" s="5" t="s">
        <v>1</v>
      </c>
      <c r="C1602" s="5">
        <v>86041.34</v>
      </c>
      <c r="D1602" s="5">
        <v>39</v>
      </c>
      <c r="E1602" s="5">
        <v>0</v>
      </c>
      <c r="F1602" s="5">
        <v>1</v>
      </c>
      <c r="G1602" s="5">
        <v>0.626</v>
      </c>
      <c r="H1602" s="5">
        <v>1</v>
      </c>
      <c r="I1602" s="5">
        <v>46774.080000000002</v>
      </c>
      <c r="J1602" s="5">
        <v>26952.16</v>
      </c>
      <c r="K1602" s="5">
        <v>62</v>
      </c>
      <c r="L1602" s="5">
        <v>2</v>
      </c>
      <c r="M1602" s="5">
        <v>1</v>
      </c>
      <c r="N1602" s="5">
        <v>2</v>
      </c>
      <c r="O1602" s="5">
        <v>677.59</v>
      </c>
      <c r="P1602" s="6">
        <v>1</v>
      </c>
    </row>
    <row r="1603" spans="1:16" ht="23.4" x14ac:dyDescent="0.45">
      <c r="A1603" s="4" t="s">
        <v>1589</v>
      </c>
      <c r="B1603" s="5" t="s">
        <v>18</v>
      </c>
      <c r="C1603" s="5">
        <v>89323.85</v>
      </c>
      <c r="D1603" s="5">
        <v>27</v>
      </c>
      <c r="E1603" s="5">
        <v>0</v>
      </c>
      <c r="F1603" s="5">
        <v>0.68059999999999998</v>
      </c>
      <c r="G1603" s="5">
        <v>6.2100000000000002E-2</v>
      </c>
      <c r="H1603" s="5">
        <v>2</v>
      </c>
      <c r="I1603" s="5">
        <v>500</v>
      </c>
      <c r="J1603" s="5">
        <v>0</v>
      </c>
      <c r="K1603" s="5">
        <v>43</v>
      </c>
      <c r="L1603" s="5">
        <v>1</v>
      </c>
      <c r="M1603" s="5">
        <v>3</v>
      </c>
      <c r="N1603" s="5">
        <v>0</v>
      </c>
      <c r="O1603" s="5">
        <v>766.23</v>
      </c>
      <c r="P1603" s="6">
        <v>0</v>
      </c>
    </row>
    <row r="1604" spans="1:16" ht="23.4" x14ac:dyDescent="0.45">
      <c r="A1604" s="4" t="s">
        <v>1110</v>
      </c>
      <c r="B1604" s="5" t="s">
        <v>4</v>
      </c>
      <c r="C1604" s="5">
        <v>96102.05</v>
      </c>
      <c r="D1604" s="5">
        <v>45</v>
      </c>
      <c r="E1604" s="5">
        <v>1</v>
      </c>
      <c r="F1604" s="5">
        <v>0.3846</v>
      </c>
      <c r="G1604" s="5">
        <v>0.31879999999999997</v>
      </c>
      <c r="H1604" s="5">
        <v>0</v>
      </c>
      <c r="I1604" s="5">
        <v>33614.67</v>
      </c>
      <c r="J1604" s="5">
        <v>13039.31</v>
      </c>
      <c r="K1604" s="5">
        <v>163</v>
      </c>
      <c r="L1604" s="5">
        <v>3</v>
      </c>
      <c r="M1604" s="5">
        <v>1</v>
      </c>
      <c r="N1604" s="5">
        <v>1</v>
      </c>
      <c r="O1604" s="5">
        <v>715</v>
      </c>
      <c r="P1604" s="6">
        <v>0</v>
      </c>
    </row>
    <row r="1605" spans="1:16" ht="23.4" x14ac:dyDescent="0.45">
      <c r="A1605" s="4" t="s">
        <v>1590</v>
      </c>
      <c r="B1605" s="5" t="s">
        <v>6</v>
      </c>
      <c r="C1605" s="5">
        <v>112143.53</v>
      </c>
      <c r="D1605" s="5">
        <v>69</v>
      </c>
      <c r="E1605" s="5">
        <v>0</v>
      </c>
      <c r="F1605" s="5">
        <v>0.66159999999999997</v>
      </c>
      <c r="G1605" s="5">
        <v>0.68979999999999997</v>
      </c>
      <c r="H1605" s="5">
        <v>4</v>
      </c>
      <c r="I1605" s="5">
        <v>124970.33</v>
      </c>
      <c r="J1605" s="5">
        <v>68263.33</v>
      </c>
      <c r="K1605" s="5">
        <v>155</v>
      </c>
      <c r="L1605" s="5">
        <v>3</v>
      </c>
      <c r="M1605" s="5">
        <v>2</v>
      </c>
      <c r="N1605" s="5">
        <v>0</v>
      </c>
      <c r="O1605" s="5">
        <v>680.78</v>
      </c>
      <c r="P1605" s="6">
        <v>0</v>
      </c>
    </row>
    <row r="1606" spans="1:16" ht="23.4" x14ac:dyDescent="0.45">
      <c r="A1606" s="4" t="s">
        <v>1591</v>
      </c>
      <c r="B1606" s="5" t="s">
        <v>18</v>
      </c>
      <c r="C1606" s="5">
        <v>52486.37</v>
      </c>
      <c r="D1606" s="5">
        <v>69</v>
      </c>
      <c r="E1606" s="5">
        <v>1</v>
      </c>
      <c r="F1606" s="5">
        <v>0.64370000000000005</v>
      </c>
      <c r="G1606" s="5">
        <v>0.50419999999999998</v>
      </c>
      <c r="H1606" s="5">
        <v>3</v>
      </c>
      <c r="I1606" s="5">
        <v>20734.72</v>
      </c>
      <c r="J1606" s="5">
        <v>12723.87</v>
      </c>
      <c r="K1606" s="5">
        <v>120</v>
      </c>
      <c r="L1606" s="5">
        <v>3</v>
      </c>
      <c r="M1606" s="5">
        <v>1</v>
      </c>
      <c r="N1606" s="5">
        <v>0</v>
      </c>
      <c r="O1606" s="5">
        <v>692.64</v>
      </c>
      <c r="P1606" s="6">
        <v>0</v>
      </c>
    </row>
    <row r="1607" spans="1:16" ht="23.4" x14ac:dyDescent="0.45">
      <c r="A1607" s="4" t="s">
        <v>1592</v>
      </c>
      <c r="B1607" s="5" t="s">
        <v>9</v>
      </c>
      <c r="C1607" s="5">
        <v>133201.60000000001</v>
      </c>
      <c r="D1607" s="5">
        <v>53</v>
      </c>
      <c r="E1607" s="5">
        <v>1</v>
      </c>
      <c r="F1607" s="5">
        <v>0.85450000000000004</v>
      </c>
      <c r="G1607" s="5">
        <v>0.53749999999999998</v>
      </c>
      <c r="H1607" s="5">
        <v>5</v>
      </c>
      <c r="I1607" s="5">
        <v>95915.38</v>
      </c>
      <c r="J1607" s="5">
        <v>62472.68</v>
      </c>
      <c r="K1607" s="5">
        <v>159</v>
      </c>
      <c r="L1607" s="5">
        <v>2</v>
      </c>
      <c r="M1607" s="5">
        <v>1</v>
      </c>
      <c r="N1607" s="5">
        <v>0</v>
      </c>
      <c r="O1607" s="5">
        <v>631.37</v>
      </c>
      <c r="P1607" s="6">
        <v>0</v>
      </c>
    </row>
    <row r="1608" spans="1:16" ht="23.4" x14ac:dyDescent="0.45">
      <c r="A1608" s="4" t="s">
        <v>1593</v>
      </c>
      <c r="B1608" s="5" t="s">
        <v>15</v>
      </c>
      <c r="C1608" s="5">
        <v>101012.5</v>
      </c>
      <c r="D1608" s="5">
        <v>68</v>
      </c>
      <c r="E1608" s="5">
        <v>1</v>
      </c>
      <c r="F1608" s="5">
        <v>0.4919</v>
      </c>
      <c r="G1608" s="5">
        <v>0.53200000000000003</v>
      </c>
      <c r="H1608" s="5">
        <v>2</v>
      </c>
      <c r="I1608" s="5">
        <v>48867.360000000001</v>
      </c>
      <c r="J1608" s="5">
        <v>42695.519999999997</v>
      </c>
      <c r="K1608" s="5">
        <v>125</v>
      </c>
      <c r="L1608" s="5">
        <v>1</v>
      </c>
      <c r="M1608" s="5">
        <v>1</v>
      </c>
      <c r="N1608" s="5">
        <v>0</v>
      </c>
      <c r="O1608" s="5">
        <v>706.36</v>
      </c>
      <c r="P1608" s="6">
        <v>0</v>
      </c>
    </row>
    <row r="1609" spans="1:16" ht="23.4" x14ac:dyDescent="0.45">
      <c r="A1609" s="4" t="s">
        <v>1594</v>
      </c>
      <c r="B1609" s="5" t="s">
        <v>4</v>
      </c>
      <c r="C1609" s="5">
        <v>95185.66</v>
      </c>
      <c r="D1609" s="5">
        <v>50</v>
      </c>
      <c r="E1609" s="5">
        <v>1</v>
      </c>
      <c r="F1609" s="5">
        <v>0.84140000000000004</v>
      </c>
      <c r="G1609" s="5">
        <v>0.57130000000000003</v>
      </c>
      <c r="H1609" s="5">
        <v>3</v>
      </c>
      <c r="I1609" s="5">
        <v>76108.990000000005</v>
      </c>
      <c r="J1609" s="5">
        <v>44830.19</v>
      </c>
      <c r="K1609" s="5">
        <v>64</v>
      </c>
      <c r="L1609" s="5">
        <v>2</v>
      </c>
      <c r="M1609" s="5">
        <v>2</v>
      </c>
      <c r="N1609" s="5">
        <v>0</v>
      </c>
      <c r="O1609" s="5">
        <v>688.34</v>
      </c>
      <c r="P1609" s="6">
        <v>0</v>
      </c>
    </row>
    <row r="1610" spans="1:16" ht="23.4" x14ac:dyDescent="0.45">
      <c r="A1610" s="4" t="s">
        <v>1595</v>
      </c>
      <c r="B1610" s="5" t="s">
        <v>9</v>
      </c>
      <c r="C1610" s="5">
        <v>78664.3</v>
      </c>
      <c r="D1610" s="5">
        <v>22</v>
      </c>
      <c r="E1610" s="5">
        <v>1</v>
      </c>
      <c r="F1610" s="5">
        <v>0.83489999999999998</v>
      </c>
      <c r="G1610" s="5">
        <v>0.48620000000000002</v>
      </c>
      <c r="H1610" s="5">
        <v>0</v>
      </c>
      <c r="I1610" s="5">
        <v>36567.22</v>
      </c>
      <c r="J1610" s="5">
        <v>29819.17</v>
      </c>
      <c r="K1610" s="5">
        <v>83</v>
      </c>
      <c r="L1610" s="5">
        <v>2</v>
      </c>
      <c r="M1610" s="5">
        <v>1</v>
      </c>
      <c r="N1610" s="5">
        <v>1</v>
      </c>
      <c r="O1610" s="5">
        <v>719.34</v>
      </c>
      <c r="P1610" s="6">
        <v>0</v>
      </c>
    </row>
    <row r="1611" spans="1:16" ht="23.4" x14ac:dyDescent="0.45">
      <c r="A1611" s="4" t="s">
        <v>1596</v>
      </c>
      <c r="B1611" s="5" t="s">
        <v>4</v>
      </c>
      <c r="C1611" s="5">
        <v>103056.8</v>
      </c>
      <c r="D1611" s="5">
        <v>42</v>
      </c>
      <c r="E1611" s="5">
        <v>1</v>
      </c>
      <c r="F1611" s="5">
        <v>0.68</v>
      </c>
      <c r="G1611" s="5">
        <v>0.81659999999999999</v>
      </c>
      <c r="H1611" s="5">
        <v>4</v>
      </c>
      <c r="I1611" s="5">
        <v>70165.100000000006</v>
      </c>
      <c r="J1611" s="5">
        <v>52408.99</v>
      </c>
      <c r="K1611" s="5">
        <v>148</v>
      </c>
      <c r="L1611" s="5">
        <v>2</v>
      </c>
      <c r="M1611" s="5">
        <v>1</v>
      </c>
      <c r="N1611" s="5">
        <v>0</v>
      </c>
      <c r="O1611" s="5">
        <v>718.8</v>
      </c>
      <c r="P1611" s="6">
        <v>0</v>
      </c>
    </row>
    <row r="1612" spans="1:16" ht="23.4" x14ac:dyDescent="0.45">
      <c r="A1612" s="4" t="s">
        <v>1597</v>
      </c>
      <c r="B1612" s="5" t="s">
        <v>6</v>
      </c>
      <c r="C1612" s="5">
        <v>89972.69</v>
      </c>
      <c r="D1612" s="5">
        <v>62</v>
      </c>
      <c r="E1612" s="5">
        <v>1</v>
      </c>
      <c r="F1612" s="5">
        <v>0.7288</v>
      </c>
      <c r="G1612" s="5">
        <v>0.6956</v>
      </c>
      <c r="H1612" s="5">
        <v>2</v>
      </c>
      <c r="I1612" s="5">
        <v>84983.9</v>
      </c>
      <c r="J1612" s="5">
        <v>73931.509999999995</v>
      </c>
      <c r="K1612" s="5">
        <v>58</v>
      </c>
      <c r="L1612" s="5">
        <v>3</v>
      </c>
      <c r="M1612" s="5">
        <v>1</v>
      </c>
      <c r="N1612" s="5">
        <v>1</v>
      </c>
      <c r="O1612" s="5">
        <v>741.74</v>
      </c>
      <c r="P1612" s="6">
        <v>0</v>
      </c>
    </row>
    <row r="1613" spans="1:16" ht="23.4" x14ac:dyDescent="0.45">
      <c r="A1613" s="4" t="s">
        <v>1598</v>
      </c>
      <c r="B1613" s="5" t="s">
        <v>6</v>
      </c>
      <c r="C1613" s="5">
        <v>65596.31</v>
      </c>
      <c r="D1613" s="5">
        <v>43</v>
      </c>
      <c r="E1613" s="5">
        <v>1</v>
      </c>
      <c r="F1613" s="5">
        <v>0.58850000000000002</v>
      </c>
      <c r="G1613" s="5">
        <v>0.29370000000000002</v>
      </c>
      <c r="H1613" s="5">
        <v>0</v>
      </c>
      <c r="I1613" s="5">
        <v>14912.47</v>
      </c>
      <c r="J1613" s="5">
        <v>15097.05</v>
      </c>
      <c r="K1613" s="5">
        <v>110</v>
      </c>
      <c r="L1613" s="5">
        <v>3</v>
      </c>
      <c r="M1613" s="5">
        <v>2</v>
      </c>
      <c r="N1613" s="5">
        <v>1</v>
      </c>
      <c r="O1613" s="5">
        <v>626.75</v>
      </c>
      <c r="P1613" s="6">
        <v>0</v>
      </c>
    </row>
    <row r="1614" spans="1:16" ht="23.4" x14ac:dyDescent="0.45">
      <c r="A1614" s="4" t="s">
        <v>1599</v>
      </c>
      <c r="B1614" s="5" t="s">
        <v>15</v>
      </c>
      <c r="C1614" s="5">
        <v>221766.25</v>
      </c>
      <c r="D1614" s="5">
        <v>58</v>
      </c>
      <c r="E1614" s="5">
        <v>0</v>
      </c>
      <c r="F1614" s="5">
        <v>0.45150000000000001</v>
      </c>
      <c r="G1614" s="5">
        <v>0.3332</v>
      </c>
      <c r="H1614" s="5">
        <v>1</v>
      </c>
      <c r="I1614" s="5">
        <v>64877.8</v>
      </c>
      <c r="J1614" s="5">
        <v>24598</v>
      </c>
      <c r="K1614" s="5">
        <v>66</v>
      </c>
      <c r="L1614" s="5">
        <v>1</v>
      </c>
      <c r="M1614" s="5">
        <v>1</v>
      </c>
      <c r="N1614" s="5">
        <v>0</v>
      </c>
      <c r="O1614" s="5">
        <v>565.15</v>
      </c>
      <c r="P1614" s="6">
        <v>0</v>
      </c>
    </row>
    <row r="1615" spans="1:16" ht="23.4" x14ac:dyDescent="0.45">
      <c r="A1615" s="4" t="s">
        <v>1600</v>
      </c>
      <c r="B1615" s="5" t="s">
        <v>4</v>
      </c>
      <c r="C1615" s="5">
        <v>76745.62</v>
      </c>
      <c r="D1615" s="5">
        <v>51</v>
      </c>
      <c r="E1615" s="5">
        <v>0</v>
      </c>
      <c r="F1615" s="5">
        <v>0.76429999999999998</v>
      </c>
      <c r="G1615" s="5">
        <v>0.64739999999999998</v>
      </c>
      <c r="H1615" s="5">
        <v>7</v>
      </c>
      <c r="I1615" s="5">
        <v>66038.100000000006</v>
      </c>
      <c r="J1615" s="5">
        <v>39412.83</v>
      </c>
      <c r="K1615" s="5">
        <v>71</v>
      </c>
      <c r="L1615" s="5">
        <v>3</v>
      </c>
      <c r="M1615" s="5">
        <v>1</v>
      </c>
      <c r="N1615" s="5">
        <v>1</v>
      </c>
      <c r="O1615" s="5">
        <v>652.67999999999995</v>
      </c>
      <c r="P1615" s="6">
        <v>0</v>
      </c>
    </row>
    <row r="1616" spans="1:16" ht="23.4" x14ac:dyDescent="0.45">
      <c r="A1616" s="4" t="s">
        <v>1601</v>
      </c>
      <c r="B1616" s="5" t="s">
        <v>9</v>
      </c>
      <c r="C1616" s="5">
        <v>76814.69</v>
      </c>
      <c r="D1616" s="5">
        <v>51</v>
      </c>
      <c r="E1616" s="5">
        <v>0</v>
      </c>
      <c r="F1616" s="5">
        <v>0.73640000000000005</v>
      </c>
      <c r="G1616" s="5">
        <v>0</v>
      </c>
      <c r="H1616" s="5">
        <v>0</v>
      </c>
      <c r="I1616" s="5">
        <v>500</v>
      </c>
      <c r="J1616" s="5">
        <v>355.91</v>
      </c>
      <c r="K1616" s="5">
        <v>71</v>
      </c>
      <c r="L1616" s="5">
        <v>1</v>
      </c>
      <c r="M1616" s="5">
        <v>2</v>
      </c>
      <c r="N1616" s="5">
        <v>1</v>
      </c>
      <c r="O1616" s="5">
        <v>767.36</v>
      </c>
      <c r="P1616" s="6">
        <v>0</v>
      </c>
    </row>
    <row r="1617" spans="1:16" ht="23.4" x14ac:dyDescent="0.45">
      <c r="A1617" s="4" t="s">
        <v>1602</v>
      </c>
      <c r="B1617" s="5" t="s">
        <v>6</v>
      </c>
      <c r="C1617" s="5">
        <v>64594.9</v>
      </c>
      <c r="D1617" s="5">
        <v>37</v>
      </c>
      <c r="E1617" s="5">
        <v>0</v>
      </c>
      <c r="F1617" s="5">
        <v>0.77610000000000001</v>
      </c>
      <c r="G1617" s="5">
        <v>0.52610000000000001</v>
      </c>
      <c r="H1617" s="5">
        <v>4</v>
      </c>
      <c r="I1617" s="5">
        <v>48728.94</v>
      </c>
      <c r="J1617" s="5">
        <v>39217.42</v>
      </c>
      <c r="K1617" s="5">
        <v>58</v>
      </c>
      <c r="L1617" s="5">
        <v>1</v>
      </c>
      <c r="M1617" s="5">
        <v>2</v>
      </c>
      <c r="N1617" s="5">
        <v>0</v>
      </c>
      <c r="O1617" s="5">
        <v>644.59</v>
      </c>
      <c r="P1617" s="6">
        <v>0</v>
      </c>
    </row>
    <row r="1618" spans="1:16" ht="23.4" x14ac:dyDescent="0.45">
      <c r="A1618" s="4" t="s">
        <v>1603</v>
      </c>
      <c r="B1618" s="5" t="s">
        <v>9</v>
      </c>
      <c r="C1618" s="5">
        <v>68787.31</v>
      </c>
      <c r="D1618" s="5">
        <v>25</v>
      </c>
      <c r="E1618" s="5">
        <v>0</v>
      </c>
      <c r="F1618" s="5">
        <v>0.71060000000000001</v>
      </c>
      <c r="G1618" s="5">
        <v>0.64200000000000002</v>
      </c>
      <c r="H1618" s="5">
        <v>0</v>
      </c>
      <c r="I1618" s="5">
        <v>34036.050000000003</v>
      </c>
      <c r="J1618" s="5">
        <v>15734.76</v>
      </c>
      <c r="K1618" s="5">
        <v>161</v>
      </c>
      <c r="L1618" s="5">
        <v>1</v>
      </c>
      <c r="M1618" s="5">
        <v>1</v>
      </c>
      <c r="N1618" s="5">
        <v>0</v>
      </c>
      <c r="O1618" s="5">
        <v>730.84</v>
      </c>
      <c r="P1618" s="6">
        <v>0</v>
      </c>
    </row>
    <row r="1619" spans="1:16" ht="23.4" x14ac:dyDescent="0.45">
      <c r="A1619" s="4" t="s">
        <v>1604</v>
      </c>
      <c r="B1619" s="5" t="s">
        <v>6</v>
      </c>
      <c r="C1619" s="5">
        <v>103222.13</v>
      </c>
      <c r="D1619" s="5">
        <v>55</v>
      </c>
      <c r="E1619" s="5">
        <v>1</v>
      </c>
      <c r="F1619" s="5">
        <v>0.58550000000000002</v>
      </c>
      <c r="G1619" s="5">
        <v>0.54879999999999995</v>
      </c>
      <c r="H1619" s="5">
        <v>4</v>
      </c>
      <c r="I1619" s="5">
        <v>43612.1</v>
      </c>
      <c r="J1619" s="5">
        <v>25720.26</v>
      </c>
      <c r="K1619" s="5">
        <v>50</v>
      </c>
      <c r="L1619" s="5">
        <v>3</v>
      </c>
      <c r="M1619" s="5">
        <v>2</v>
      </c>
      <c r="N1619" s="5">
        <v>3</v>
      </c>
      <c r="O1619" s="5">
        <v>671.28</v>
      </c>
      <c r="P1619" s="6">
        <v>1</v>
      </c>
    </row>
    <row r="1620" spans="1:16" ht="23.4" x14ac:dyDescent="0.45">
      <c r="A1620" s="4" t="s">
        <v>1605</v>
      </c>
      <c r="B1620" s="5" t="s">
        <v>9</v>
      </c>
      <c r="C1620" s="5">
        <v>19674.599999999999</v>
      </c>
      <c r="D1620" s="5">
        <v>32</v>
      </c>
      <c r="E1620" s="5">
        <v>0</v>
      </c>
      <c r="F1620" s="5">
        <v>0.51639999999999997</v>
      </c>
      <c r="G1620" s="5">
        <v>0.55489999999999995</v>
      </c>
      <c r="H1620" s="5">
        <v>4</v>
      </c>
      <c r="I1620" s="5">
        <v>500</v>
      </c>
      <c r="J1620" s="5">
        <v>10876.61</v>
      </c>
      <c r="K1620" s="5">
        <v>151</v>
      </c>
      <c r="L1620" s="5">
        <v>3</v>
      </c>
      <c r="M1620" s="5">
        <v>1</v>
      </c>
      <c r="N1620" s="5">
        <v>3</v>
      </c>
      <c r="O1620" s="5">
        <v>697.17</v>
      </c>
      <c r="P1620" s="6">
        <v>0</v>
      </c>
    </row>
    <row r="1621" spans="1:16" ht="23.4" x14ac:dyDescent="0.45">
      <c r="A1621" s="4" t="s">
        <v>1606</v>
      </c>
      <c r="B1621" s="5" t="s">
        <v>18</v>
      </c>
      <c r="C1621" s="5">
        <v>71753.83</v>
      </c>
      <c r="D1621" s="5">
        <v>52</v>
      </c>
      <c r="E1621" s="5">
        <v>1</v>
      </c>
      <c r="F1621" s="5">
        <v>0.73360000000000003</v>
      </c>
      <c r="G1621" s="5">
        <v>0.32229999999999998</v>
      </c>
      <c r="H1621" s="5">
        <v>0</v>
      </c>
      <c r="I1621" s="5">
        <v>14446.98</v>
      </c>
      <c r="J1621" s="5">
        <v>0</v>
      </c>
      <c r="K1621" s="5">
        <v>10</v>
      </c>
      <c r="L1621" s="5">
        <v>3</v>
      </c>
      <c r="M1621" s="5">
        <v>2</v>
      </c>
      <c r="N1621" s="5">
        <v>0</v>
      </c>
      <c r="O1621" s="5">
        <v>750.27</v>
      </c>
      <c r="P1621" s="6">
        <v>0</v>
      </c>
    </row>
    <row r="1622" spans="1:16" ht="23.4" x14ac:dyDescent="0.45">
      <c r="A1622" s="4" t="s">
        <v>1607</v>
      </c>
      <c r="B1622" s="5" t="s">
        <v>18</v>
      </c>
      <c r="C1622" s="5">
        <v>16375.82</v>
      </c>
      <c r="D1622" s="5">
        <v>42</v>
      </c>
      <c r="E1622" s="5">
        <v>0</v>
      </c>
      <c r="F1622" s="5">
        <v>0.81630000000000003</v>
      </c>
      <c r="G1622" s="5">
        <v>0.16439999999999999</v>
      </c>
      <c r="H1622" s="5">
        <v>0</v>
      </c>
      <c r="I1622" s="5">
        <v>500</v>
      </c>
      <c r="J1622" s="5">
        <v>5504.66</v>
      </c>
      <c r="K1622" s="5">
        <v>53</v>
      </c>
      <c r="L1622" s="5">
        <v>2</v>
      </c>
      <c r="M1622" s="5">
        <v>1</v>
      </c>
      <c r="N1622" s="5">
        <v>0</v>
      </c>
      <c r="O1622" s="5">
        <v>720.21</v>
      </c>
      <c r="P1622" s="6">
        <v>0</v>
      </c>
    </row>
    <row r="1623" spans="1:16" ht="23.4" x14ac:dyDescent="0.45">
      <c r="A1623" s="4" t="s">
        <v>1608</v>
      </c>
      <c r="B1623" s="5" t="s">
        <v>6</v>
      </c>
      <c r="C1623" s="5">
        <v>148053.4</v>
      </c>
      <c r="D1623" s="5">
        <v>49</v>
      </c>
      <c r="E1623" s="5">
        <v>0</v>
      </c>
      <c r="F1623" s="5">
        <v>0.78669999999999995</v>
      </c>
      <c r="G1623" s="5">
        <v>0.57050000000000001</v>
      </c>
      <c r="H1623" s="5">
        <v>0</v>
      </c>
      <c r="I1623" s="5">
        <v>98928.25</v>
      </c>
      <c r="J1623" s="5">
        <v>71415.86</v>
      </c>
      <c r="K1623" s="5">
        <v>62</v>
      </c>
      <c r="L1623" s="5">
        <v>4</v>
      </c>
      <c r="M1623" s="5">
        <v>1</v>
      </c>
      <c r="N1623" s="5">
        <v>0</v>
      </c>
      <c r="O1623" s="5">
        <v>695.63</v>
      </c>
      <c r="P1623" s="6">
        <v>0</v>
      </c>
    </row>
    <row r="1624" spans="1:16" ht="23.4" x14ac:dyDescent="0.45">
      <c r="A1624" s="4" t="s">
        <v>1609</v>
      </c>
      <c r="B1624" s="5" t="s">
        <v>6</v>
      </c>
      <c r="C1624" s="5">
        <v>88334.75</v>
      </c>
      <c r="D1624" s="5">
        <v>43</v>
      </c>
      <c r="E1624" s="5">
        <v>0</v>
      </c>
      <c r="F1624" s="5">
        <v>0.81640000000000001</v>
      </c>
      <c r="G1624" s="5">
        <v>0.14280000000000001</v>
      </c>
      <c r="H1624" s="5">
        <v>0</v>
      </c>
      <c r="I1624" s="5">
        <v>25868.98</v>
      </c>
      <c r="J1624" s="5">
        <v>18200.21</v>
      </c>
      <c r="K1624" s="5">
        <v>160</v>
      </c>
      <c r="L1624" s="5">
        <v>1</v>
      </c>
      <c r="M1624" s="5">
        <v>2</v>
      </c>
      <c r="N1624" s="5">
        <v>0</v>
      </c>
      <c r="O1624" s="5">
        <v>680.21</v>
      </c>
      <c r="P1624" s="6">
        <v>0</v>
      </c>
    </row>
    <row r="1625" spans="1:16" ht="23.4" x14ac:dyDescent="0.45">
      <c r="A1625" s="4" t="s">
        <v>1610</v>
      </c>
      <c r="B1625" s="5" t="s">
        <v>15</v>
      </c>
      <c r="C1625" s="5">
        <v>2000</v>
      </c>
      <c r="D1625" s="5">
        <v>55</v>
      </c>
      <c r="E1625" s="5">
        <v>0</v>
      </c>
      <c r="F1625" s="5">
        <v>0.77600000000000002</v>
      </c>
      <c r="G1625" s="5">
        <v>0.28689999999999999</v>
      </c>
      <c r="H1625" s="5">
        <v>0</v>
      </c>
      <c r="I1625" s="5">
        <v>500</v>
      </c>
      <c r="J1625" s="5">
        <v>2375.1999999999998</v>
      </c>
      <c r="K1625" s="5">
        <v>82</v>
      </c>
      <c r="L1625" s="5">
        <v>4</v>
      </c>
      <c r="M1625" s="5">
        <v>2</v>
      </c>
      <c r="N1625" s="5">
        <v>0</v>
      </c>
      <c r="O1625" s="5">
        <v>806.04</v>
      </c>
      <c r="P1625" s="6">
        <v>0</v>
      </c>
    </row>
    <row r="1626" spans="1:16" ht="23.4" x14ac:dyDescent="0.45">
      <c r="A1626" s="4" t="s">
        <v>1611</v>
      </c>
      <c r="B1626" s="5" t="s">
        <v>9</v>
      </c>
      <c r="C1626" s="5">
        <v>47459.34</v>
      </c>
      <c r="D1626" s="5">
        <v>46</v>
      </c>
      <c r="E1626" s="5">
        <v>0</v>
      </c>
      <c r="F1626" s="5">
        <v>0.7883</v>
      </c>
      <c r="G1626" s="5">
        <v>0.1164</v>
      </c>
      <c r="H1626" s="5">
        <v>0</v>
      </c>
      <c r="I1626" s="5">
        <v>500</v>
      </c>
      <c r="J1626" s="5">
        <v>1743.57</v>
      </c>
      <c r="K1626" s="5">
        <v>170</v>
      </c>
      <c r="L1626" s="5">
        <v>1</v>
      </c>
      <c r="M1626" s="5">
        <v>3</v>
      </c>
      <c r="N1626" s="5">
        <v>1</v>
      </c>
      <c r="O1626" s="5">
        <v>726.04</v>
      </c>
      <c r="P1626" s="6">
        <v>0</v>
      </c>
    </row>
    <row r="1627" spans="1:16" ht="23.4" x14ac:dyDescent="0.45">
      <c r="A1627" s="4" t="s">
        <v>1612</v>
      </c>
      <c r="B1627" s="5" t="s">
        <v>6</v>
      </c>
      <c r="C1627" s="5">
        <v>164491.03</v>
      </c>
      <c r="D1627" s="5">
        <v>22</v>
      </c>
      <c r="E1627" s="5">
        <v>0</v>
      </c>
      <c r="F1627" s="5">
        <v>0.69350000000000001</v>
      </c>
      <c r="G1627" s="5">
        <v>0.40250000000000002</v>
      </c>
      <c r="H1627" s="5">
        <v>4</v>
      </c>
      <c r="I1627" s="5">
        <v>53802.73</v>
      </c>
      <c r="J1627" s="5">
        <v>39807.31</v>
      </c>
      <c r="K1627" s="5">
        <v>132</v>
      </c>
      <c r="L1627" s="5">
        <v>4</v>
      </c>
      <c r="M1627" s="5">
        <v>2</v>
      </c>
      <c r="N1627" s="5">
        <v>2</v>
      </c>
      <c r="O1627" s="5">
        <v>643.84</v>
      </c>
      <c r="P1627" s="6">
        <v>1</v>
      </c>
    </row>
    <row r="1628" spans="1:16" ht="23.4" x14ac:dyDescent="0.45">
      <c r="A1628" s="4" t="s">
        <v>1613</v>
      </c>
      <c r="B1628" s="5" t="s">
        <v>18</v>
      </c>
      <c r="C1628" s="5">
        <v>96201.48</v>
      </c>
      <c r="D1628" s="5">
        <v>66</v>
      </c>
      <c r="E1628" s="5">
        <v>1</v>
      </c>
      <c r="F1628" s="5">
        <v>0.70789999999999997</v>
      </c>
      <c r="G1628" s="5">
        <v>0.68500000000000005</v>
      </c>
      <c r="H1628" s="5">
        <v>3</v>
      </c>
      <c r="I1628" s="5">
        <v>70946.009999999995</v>
      </c>
      <c r="J1628" s="5">
        <v>44361.81</v>
      </c>
      <c r="K1628" s="5">
        <v>17</v>
      </c>
      <c r="L1628" s="5">
        <v>1</v>
      </c>
      <c r="M1628" s="5">
        <v>2</v>
      </c>
      <c r="N1628" s="5">
        <v>2</v>
      </c>
      <c r="O1628" s="5">
        <v>704.18</v>
      </c>
      <c r="P1628" s="6">
        <v>0</v>
      </c>
    </row>
    <row r="1629" spans="1:16" ht="23.4" x14ac:dyDescent="0.45">
      <c r="A1629" s="4" t="s">
        <v>1614</v>
      </c>
      <c r="B1629" s="5" t="s">
        <v>1</v>
      </c>
      <c r="C1629" s="5">
        <v>2000</v>
      </c>
      <c r="D1629" s="5">
        <v>36</v>
      </c>
      <c r="E1629" s="5">
        <v>0</v>
      </c>
      <c r="F1629" s="5">
        <v>0.58169999999999999</v>
      </c>
      <c r="G1629" s="5">
        <v>0.26169999999999999</v>
      </c>
      <c r="H1629" s="5">
        <v>0</v>
      </c>
      <c r="I1629" s="5">
        <v>500</v>
      </c>
      <c r="J1629" s="5">
        <v>0</v>
      </c>
      <c r="K1629" s="5">
        <v>46</v>
      </c>
      <c r="L1629" s="5">
        <v>1</v>
      </c>
      <c r="M1629" s="5">
        <v>1</v>
      </c>
      <c r="N1629" s="5">
        <v>0</v>
      </c>
      <c r="O1629" s="5">
        <v>680.07</v>
      </c>
      <c r="P1629" s="6">
        <v>1</v>
      </c>
    </row>
    <row r="1630" spans="1:16" ht="23.4" x14ac:dyDescent="0.45">
      <c r="A1630" s="4" t="s">
        <v>1615</v>
      </c>
      <c r="B1630" s="5" t="s">
        <v>18</v>
      </c>
      <c r="C1630" s="5">
        <v>110909.59</v>
      </c>
      <c r="D1630" s="5">
        <v>23</v>
      </c>
      <c r="E1630" s="5">
        <v>0</v>
      </c>
      <c r="F1630" s="5">
        <v>0.86360000000000003</v>
      </c>
      <c r="G1630" s="5">
        <v>0.53739999999999999</v>
      </c>
      <c r="H1630" s="5">
        <v>5</v>
      </c>
      <c r="I1630" s="5">
        <v>51823.62</v>
      </c>
      <c r="J1630" s="5">
        <v>32771.730000000003</v>
      </c>
      <c r="K1630" s="5">
        <v>21</v>
      </c>
      <c r="L1630" s="5">
        <v>1</v>
      </c>
      <c r="M1630" s="5">
        <v>2</v>
      </c>
      <c r="N1630" s="5">
        <v>0</v>
      </c>
      <c r="O1630" s="5">
        <v>682.62</v>
      </c>
      <c r="P1630" s="6">
        <v>0</v>
      </c>
    </row>
    <row r="1631" spans="1:16" ht="23.4" x14ac:dyDescent="0.45">
      <c r="A1631" s="4" t="s">
        <v>1616</v>
      </c>
      <c r="B1631" s="5" t="s">
        <v>18</v>
      </c>
      <c r="C1631" s="5">
        <v>124227.38</v>
      </c>
      <c r="D1631" s="5">
        <v>23</v>
      </c>
      <c r="E1631" s="5">
        <v>1</v>
      </c>
      <c r="F1631" s="5">
        <v>0.73060000000000003</v>
      </c>
      <c r="G1631" s="5">
        <v>0.65180000000000005</v>
      </c>
      <c r="H1631" s="5">
        <v>1</v>
      </c>
      <c r="I1631" s="5">
        <v>80456.67</v>
      </c>
      <c r="J1631" s="5">
        <v>44236.54</v>
      </c>
      <c r="K1631" s="5">
        <v>59</v>
      </c>
      <c r="L1631" s="5">
        <v>2</v>
      </c>
      <c r="M1631" s="5">
        <v>2</v>
      </c>
      <c r="N1631" s="5">
        <v>0</v>
      </c>
      <c r="O1631" s="5">
        <v>651.34</v>
      </c>
      <c r="P1631" s="6">
        <v>0</v>
      </c>
    </row>
    <row r="1632" spans="1:16" ht="23.4" x14ac:dyDescent="0.45">
      <c r="A1632" s="4" t="s">
        <v>1617</v>
      </c>
      <c r="B1632" s="5" t="s">
        <v>6</v>
      </c>
      <c r="C1632" s="5">
        <v>80652.320000000007</v>
      </c>
      <c r="D1632" s="5">
        <v>31</v>
      </c>
      <c r="E1632" s="5">
        <v>1</v>
      </c>
      <c r="F1632" s="5">
        <v>0.84450000000000003</v>
      </c>
      <c r="G1632" s="5">
        <v>0.28849999999999998</v>
      </c>
      <c r="H1632" s="5">
        <v>1</v>
      </c>
      <c r="I1632" s="5">
        <v>24590.25</v>
      </c>
      <c r="J1632" s="5">
        <v>16422.28</v>
      </c>
      <c r="K1632" s="5">
        <v>150</v>
      </c>
      <c r="L1632" s="5">
        <v>2</v>
      </c>
      <c r="M1632" s="5">
        <v>2</v>
      </c>
      <c r="N1632" s="5">
        <v>1</v>
      </c>
      <c r="O1632" s="5">
        <v>809.63</v>
      </c>
      <c r="P1632" s="6">
        <v>0</v>
      </c>
    </row>
    <row r="1633" spans="1:16" ht="23.4" x14ac:dyDescent="0.45">
      <c r="A1633" s="4" t="s">
        <v>1618</v>
      </c>
      <c r="B1633" s="5" t="s">
        <v>6</v>
      </c>
      <c r="C1633" s="5">
        <v>149096.15</v>
      </c>
      <c r="D1633" s="5">
        <v>69</v>
      </c>
      <c r="E1633" s="5">
        <v>1</v>
      </c>
      <c r="F1633" s="5">
        <v>0.68489999999999995</v>
      </c>
      <c r="G1633" s="5">
        <v>0.54730000000000001</v>
      </c>
      <c r="H1633" s="5">
        <v>1</v>
      </c>
      <c r="I1633" s="5">
        <v>73783.11</v>
      </c>
      <c r="J1633" s="5">
        <v>44324.45</v>
      </c>
      <c r="K1633" s="5">
        <v>86</v>
      </c>
      <c r="L1633" s="5">
        <v>3</v>
      </c>
      <c r="M1633" s="5">
        <v>2</v>
      </c>
      <c r="N1633" s="5">
        <v>1</v>
      </c>
      <c r="O1633" s="5">
        <v>758.6</v>
      </c>
      <c r="P1633" s="6">
        <v>0</v>
      </c>
    </row>
    <row r="1634" spans="1:16" ht="23.4" x14ac:dyDescent="0.45">
      <c r="A1634" s="4" t="s">
        <v>1619</v>
      </c>
      <c r="B1634" s="5" t="s">
        <v>15</v>
      </c>
      <c r="C1634" s="5">
        <v>114761.84</v>
      </c>
      <c r="D1634" s="5">
        <v>52</v>
      </c>
      <c r="E1634" s="5">
        <v>1</v>
      </c>
      <c r="F1634" s="5">
        <v>0.80069999999999997</v>
      </c>
      <c r="G1634" s="5">
        <v>0.31950000000000001</v>
      </c>
      <c r="H1634" s="5">
        <v>3</v>
      </c>
      <c r="I1634" s="5">
        <v>17319.849999999999</v>
      </c>
      <c r="J1634" s="5">
        <v>15138.17</v>
      </c>
      <c r="K1634" s="5">
        <v>77</v>
      </c>
      <c r="L1634" s="5">
        <v>1</v>
      </c>
      <c r="M1634" s="5">
        <v>3</v>
      </c>
      <c r="N1634" s="5">
        <v>0</v>
      </c>
      <c r="O1634" s="5">
        <v>620.97</v>
      </c>
      <c r="P1634" s="6">
        <v>0</v>
      </c>
    </row>
    <row r="1635" spans="1:16" ht="23.4" x14ac:dyDescent="0.45">
      <c r="A1635" s="4" t="s">
        <v>1620</v>
      </c>
      <c r="B1635" s="5" t="s">
        <v>15</v>
      </c>
      <c r="C1635" s="5">
        <v>39056.550000000003</v>
      </c>
      <c r="D1635" s="5">
        <v>57</v>
      </c>
      <c r="E1635" s="5">
        <v>0</v>
      </c>
      <c r="F1635" s="5">
        <v>0.76329999999999998</v>
      </c>
      <c r="G1635" s="5">
        <v>0.66090000000000004</v>
      </c>
      <c r="H1635" s="5">
        <v>1</v>
      </c>
      <c r="I1635" s="5">
        <v>7218.89</v>
      </c>
      <c r="J1635" s="5">
        <v>758.13</v>
      </c>
      <c r="K1635" s="5">
        <v>120</v>
      </c>
      <c r="L1635" s="5">
        <v>1</v>
      </c>
      <c r="M1635" s="5">
        <v>1</v>
      </c>
      <c r="N1635" s="5">
        <v>1</v>
      </c>
      <c r="O1635" s="5">
        <v>669.24</v>
      </c>
      <c r="P1635" s="6">
        <v>0</v>
      </c>
    </row>
    <row r="1636" spans="1:16" ht="23.4" x14ac:dyDescent="0.45">
      <c r="A1636" s="4" t="s">
        <v>1621</v>
      </c>
      <c r="B1636" s="5" t="s">
        <v>15</v>
      </c>
      <c r="C1636" s="5">
        <v>2236.69</v>
      </c>
      <c r="D1636" s="5">
        <v>38</v>
      </c>
      <c r="E1636" s="5">
        <v>1</v>
      </c>
      <c r="F1636" s="5">
        <v>0.98050000000000004</v>
      </c>
      <c r="G1636" s="5">
        <v>0.25890000000000002</v>
      </c>
      <c r="H1636" s="5">
        <v>2</v>
      </c>
      <c r="I1636" s="5">
        <v>13329.54</v>
      </c>
      <c r="J1636" s="5">
        <v>1566.94</v>
      </c>
      <c r="K1636" s="5">
        <v>108</v>
      </c>
      <c r="L1636" s="5">
        <v>1</v>
      </c>
      <c r="M1636" s="5">
        <v>1</v>
      </c>
      <c r="N1636" s="5">
        <v>2</v>
      </c>
      <c r="O1636" s="5">
        <v>708.88</v>
      </c>
      <c r="P1636" s="6">
        <v>0</v>
      </c>
    </row>
    <row r="1637" spans="1:16" ht="23.4" x14ac:dyDescent="0.45">
      <c r="A1637" s="4" t="s">
        <v>1622</v>
      </c>
      <c r="B1637" s="5" t="s">
        <v>1</v>
      </c>
      <c r="C1637" s="5">
        <v>2000</v>
      </c>
      <c r="D1637" s="5">
        <v>49</v>
      </c>
      <c r="E1637" s="5">
        <v>0</v>
      </c>
      <c r="F1637" s="5">
        <v>0.75190000000000001</v>
      </c>
      <c r="G1637" s="5">
        <v>0.23200000000000001</v>
      </c>
      <c r="H1637" s="5">
        <v>4</v>
      </c>
      <c r="I1637" s="5">
        <v>1033.8399999999999</v>
      </c>
      <c r="J1637" s="5">
        <v>0</v>
      </c>
      <c r="K1637" s="5">
        <v>74</v>
      </c>
      <c r="L1637" s="5">
        <v>1</v>
      </c>
      <c r="M1637" s="5">
        <v>1</v>
      </c>
      <c r="N1637" s="5">
        <v>0</v>
      </c>
      <c r="O1637" s="5">
        <v>617.54</v>
      </c>
      <c r="P1637" s="6">
        <v>0</v>
      </c>
    </row>
    <row r="1638" spans="1:16" ht="23.4" x14ac:dyDescent="0.45">
      <c r="A1638" s="4" t="s">
        <v>1623</v>
      </c>
      <c r="B1638" s="5" t="s">
        <v>4</v>
      </c>
      <c r="C1638" s="5">
        <v>123084.54</v>
      </c>
      <c r="D1638" s="5">
        <v>35</v>
      </c>
      <c r="E1638" s="5">
        <v>0</v>
      </c>
      <c r="F1638" s="5">
        <v>0.81540000000000001</v>
      </c>
      <c r="G1638" s="5">
        <v>0.54920000000000002</v>
      </c>
      <c r="H1638" s="5">
        <v>2</v>
      </c>
      <c r="I1638" s="5">
        <v>62671.55</v>
      </c>
      <c r="J1638" s="5">
        <v>51300.37</v>
      </c>
      <c r="K1638" s="5">
        <v>41</v>
      </c>
      <c r="L1638" s="5">
        <v>1</v>
      </c>
      <c r="M1638" s="5">
        <v>2</v>
      </c>
      <c r="N1638" s="5">
        <v>0</v>
      </c>
      <c r="O1638" s="5">
        <v>694.31</v>
      </c>
      <c r="P1638" s="6">
        <v>0</v>
      </c>
    </row>
    <row r="1639" spans="1:16" ht="23.4" x14ac:dyDescent="0.45">
      <c r="A1639" s="4" t="s">
        <v>1624</v>
      </c>
      <c r="B1639" s="5" t="s">
        <v>9</v>
      </c>
      <c r="C1639" s="5">
        <v>77620.37</v>
      </c>
      <c r="D1639" s="5">
        <v>52</v>
      </c>
      <c r="E1639" s="5">
        <v>1</v>
      </c>
      <c r="F1639" s="5">
        <v>0.89300000000000002</v>
      </c>
      <c r="G1639" s="5">
        <v>0.26200000000000001</v>
      </c>
      <c r="H1639" s="5">
        <v>3</v>
      </c>
      <c r="I1639" s="5">
        <v>33264.29</v>
      </c>
      <c r="J1639" s="5">
        <v>32831.4</v>
      </c>
      <c r="K1639" s="5">
        <v>70</v>
      </c>
      <c r="L1639" s="5">
        <v>3</v>
      </c>
      <c r="M1639" s="5">
        <v>1</v>
      </c>
      <c r="N1639" s="5">
        <v>0</v>
      </c>
      <c r="O1639" s="5">
        <v>726.69</v>
      </c>
      <c r="P1639" s="6">
        <v>0</v>
      </c>
    </row>
    <row r="1640" spans="1:16" ht="23.4" x14ac:dyDescent="0.45">
      <c r="A1640" s="4" t="s">
        <v>1625</v>
      </c>
      <c r="B1640" s="5" t="s">
        <v>9</v>
      </c>
      <c r="C1640" s="5">
        <v>81047.48</v>
      </c>
      <c r="D1640" s="5">
        <v>64</v>
      </c>
      <c r="E1640" s="5">
        <v>0</v>
      </c>
      <c r="F1640" s="5">
        <v>0.55200000000000005</v>
      </c>
      <c r="G1640" s="5">
        <v>0.1489</v>
      </c>
      <c r="H1640" s="5">
        <v>5</v>
      </c>
      <c r="I1640" s="5">
        <v>17206.21</v>
      </c>
      <c r="J1640" s="5">
        <v>345.16</v>
      </c>
      <c r="K1640" s="5">
        <v>7</v>
      </c>
      <c r="L1640" s="5">
        <v>1</v>
      </c>
      <c r="M1640" s="5">
        <v>2</v>
      </c>
      <c r="N1640" s="5">
        <v>1</v>
      </c>
      <c r="O1640" s="5">
        <v>627.03</v>
      </c>
      <c r="P1640" s="6">
        <v>0</v>
      </c>
    </row>
    <row r="1641" spans="1:16" ht="23.4" x14ac:dyDescent="0.45">
      <c r="A1641" s="4" t="s">
        <v>1626</v>
      </c>
      <c r="B1641" s="5" t="s">
        <v>1</v>
      </c>
      <c r="C1641" s="5">
        <v>116650.55</v>
      </c>
      <c r="D1641" s="5">
        <v>33</v>
      </c>
      <c r="E1641" s="5">
        <v>1</v>
      </c>
      <c r="F1641" s="5">
        <v>1</v>
      </c>
      <c r="G1641" s="5">
        <v>0.27700000000000002</v>
      </c>
      <c r="H1641" s="5">
        <v>2</v>
      </c>
      <c r="I1641" s="5">
        <v>12330.77</v>
      </c>
      <c r="J1641" s="5">
        <v>18315.03</v>
      </c>
      <c r="K1641" s="5">
        <v>30</v>
      </c>
      <c r="L1641" s="5">
        <v>2</v>
      </c>
      <c r="M1641" s="5">
        <v>2</v>
      </c>
      <c r="N1641" s="5">
        <v>0</v>
      </c>
      <c r="O1641" s="5">
        <v>742.32</v>
      </c>
      <c r="P1641" s="6">
        <v>0</v>
      </c>
    </row>
    <row r="1642" spans="1:16" ht="23.4" x14ac:dyDescent="0.45">
      <c r="A1642" s="4" t="s">
        <v>1627</v>
      </c>
      <c r="B1642" s="5" t="s">
        <v>18</v>
      </c>
      <c r="C1642" s="5">
        <v>76049</v>
      </c>
      <c r="D1642" s="5">
        <v>48</v>
      </c>
      <c r="E1642" s="5">
        <v>1</v>
      </c>
      <c r="F1642" s="5">
        <v>0.41060000000000002</v>
      </c>
      <c r="G1642" s="5">
        <v>0.31909999999999999</v>
      </c>
      <c r="H1642" s="5">
        <v>6</v>
      </c>
      <c r="I1642" s="5">
        <v>15373.84</v>
      </c>
      <c r="J1642" s="5">
        <v>16866.16</v>
      </c>
      <c r="K1642" s="5">
        <v>97</v>
      </c>
      <c r="L1642" s="5">
        <v>2</v>
      </c>
      <c r="M1642" s="5">
        <v>2</v>
      </c>
      <c r="N1642" s="5">
        <v>2</v>
      </c>
      <c r="O1642" s="5">
        <v>518.19000000000005</v>
      </c>
      <c r="P1642" s="6">
        <v>0</v>
      </c>
    </row>
    <row r="1643" spans="1:16" ht="23.4" x14ac:dyDescent="0.45">
      <c r="A1643" s="4" t="s">
        <v>1628</v>
      </c>
      <c r="B1643" s="5" t="s">
        <v>4</v>
      </c>
      <c r="C1643" s="5">
        <v>58883.21</v>
      </c>
      <c r="D1643" s="5">
        <v>48</v>
      </c>
      <c r="E1643" s="5">
        <v>1</v>
      </c>
      <c r="F1643" s="5">
        <v>0.64410000000000001</v>
      </c>
      <c r="G1643" s="5">
        <v>0.1237</v>
      </c>
      <c r="H1643" s="5">
        <v>0</v>
      </c>
      <c r="I1643" s="5">
        <v>12484.66</v>
      </c>
      <c r="J1643" s="5">
        <v>7801.86</v>
      </c>
      <c r="K1643" s="5">
        <v>129</v>
      </c>
      <c r="L1643" s="5">
        <v>1</v>
      </c>
      <c r="M1643" s="5">
        <v>2</v>
      </c>
      <c r="N1643" s="5">
        <v>0</v>
      </c>
      <c r="O1643" s="5">
        <v>670.3</v>
      </c>
      <c r="P1643" s="6">
        <v>0</v>
      </c>
    </row>
    <row r="1644" spans="1:16" ht="23.4" x14ac:dyDescent="0.45">
      <c r="A1644" s="4" t="s">
        <v>1629</v>
      </c>
      <c r="B1644" s="5" t="s">
        <v>15</v>
      </c>
      <c r="C1644" s="5">
        <v>106265.5</v>
      </c>
      <c r="D1644" s="5">
        <v>41</v>
      </c>
      <c r="E1644" s="5">
        <v>1</v>
      </c>
      <c r="F1644" s="5">
        <v>1</v>
      </c>
      <c r="G1644" s="5">
        <v>0.39169999999999999</v>
      </c>
      <c r="H1644" s="5">
        <v>2</v>
      </c>
      <c r="I1644" s="5">
        <v>33795.120000000003</v>
      </c>
      <c r="J1644" s="5">
        <v>24544.16</v>
      </c>
      <c r="K1644" s="5">
        <v>46</v>
      </c>
      <c r="L1644" s="5">
        <v>1</v>
      </c>
      <c r="M1644" s="5">
        <v>2</v>
      </c>
      <c r="N1644" s="5">
        <v>0</v>
      </c>
      <c r="O1644" s="5">
        <v>768.65</v>
      </c>
      <c r="P1644" s="6">
        <v>0</v>
      </c>
    </row>
    <row r="1645" spans="1:16" ht="23.4" x14ac:dyDescent="0.45">
      <c r="A1645" s="4" t="s">
        <v>1630</v>
      </c>
      <c r="B1645" s="5" t="s">
        <v>6</v>
      </c>
      <c r="C1645" s="5">
        <v>107737.1</v>
      </c>
      <c r="D1645" s="5">
        <v>63</v>
      </c>
      <c r="E1645" s="5">
        <v>1</v>
      </c>
      <c r="F1645" s="5">
        <v>0.88670000000000004</v>
      </c>
      <c r="G1645" s="5">
        <v>0.29699999999999999</v>
      </c>
      <c r="H1645" s="5">
        <v>2</v>
      </c>
      <c r="I1645" s="5">
        <v>500</v>
      </c>
      <c r="J1645" s="5">
        <v>0</v>
      </c>
      <c r="K1645" s="5">
        <v>54</v>
      </c>
      <c r="L1645" s="5">
        <v>2</v>
      </c>
      <c r="M1645" s="5">
        <v>1</v>
      </c>
      <c r="N1645" s="5">
        <v>0</v>
      </c>
      <c r="O1645" s="5">
        <v>757.41</v>
      </c>
      <c r="P1645" s="6">
        <v>0</v>
      </c>
    </row>
    <row r="1646" spans="1:16" ht="23.4" x14ac:dyDescent="0.45">
      <c r="A1646" s="4" t="s">
        <v>1631</v>
      </c>
      <c r="B1646" s="5" t="s">
        <v>1</v>
      </c>
      <c r="C1646" s="5">
        <v>106272.56</v>
      </c>
      <c r="D1646" s="5">
        <v>31</v>
      </c>
      <c r="E1646" s="5">
        <v>0</v>
      </c>
      <c r="F1646" s="5">
        <v>0.60189999999999999</v>
      </c>
      <c r="G1646" s="5">
        <v>0.40539999999999998</v>
      </c>
      <c r="H1646" s="5">
        <v>4</v>
      </c>
      <c r="I1646" s="5">
        <v>38517.379999999997</v>
      </c>
      <c r="J1646" s="5">
        <v>34834.15</v>
      </c>
      <c r="K1646" s="5">
        <v>158</v>
      </c>
      <c r="L1646" s="5">
        <v>1</v>
      </c>
      <c r="M1646" s="5">
        <v>1</v>
      </c>
      <c r="N1646" s="5">
        <v>1</v>
      </c>
      <c r="O1646" s="5">
        <v>657.95</v>
      </c>
      <c r="P1646" s="6">
        <v>0</v>
      </c>
    </row>
    <row r="1647" spans="1:16" ht="23.4" x14ac:dyDescent="0.45">
      <c r="A1647" s="4" t="s">
        <v>1632</v>
      </c>
      <c r="B1647" s="5" t="s">
        <v>9</v>
      </c>
      <c r="C1647" s="5">
        <v>103620.34</v>
      </c>
      <c r="D1647" s="5">
        <v>23</v>
      </c>
      <c r="E1647" s="5">
        <v>0</v>
      </c>
      <c r="F1647" s="5">
        <v>0.83389999999999997</v>
      </c>
      <c r="G1647" s="5">
        <v>0.58840000000000003</v>
      </c>
      <c r="H1647" s="5">
        <v>3</v>
      </c>
      <c r="I1647" s="5">
        <v>89176.37</v>
      </c>
      <c r="J1647" s="5">
        <v>57006.22</v>
      </c>
      <c r="K1647" s="5">
        <v>154</v>
      </c>
      <c r="L1647" s="5">
        <v>2</v>
      </c>
      <c r="M1647" s="5">
        <v>1</v>
      </c>
      <c r="N1647" s="5">
        <v>0</v>
      </c>
      <c r="O1647" s="5">
        <v>798.79</v>
      </c>
      <c r="P1647" s="6">
        <v>0</v>
      </c>
    </row>
    <row r="1648" spans="1:16" ht="23.4" x14ac:dyDescent="0.45">
      <c r="A1648" s="4" t="s">
        <v>1633</v>
      </c>
      <c r="B1648" s="5" t="s">
        <v>9</v>
      </c>
      <c r="C1648" s="5">
        <v>84719.91</v>
      </c>
      <c r="D1648" s="5">
        <v>35</v>
      </c>
      <c r="E1648" s="5">
        <v>0</v>
      </c>
      <c r="F1648" s="5">
        <v>0.66890000000000005</v>
      </c>
      <c r="G1648" s="5">
        <v>0.33979999999999999</v>
      </c>
      <c r="H1648" s="5">
        <v>2</v>
      </c>
      <c r="I1648" s="5">
        <v>30054.84</v>
      </c>
      <c r="J1648" s="5">
        <v>9621.35</v>
      </c>
      <c r="K1648" s="5">
        <v>68</v>
      </c>
      <c r="L1648" s="5">
        <v>2</v>
      </c>
      <c r="M1648" s="5">
        <v>1</v>
      </c>
      <c r="N1648" s="5">
        <v>1</v>
      </c>
      <c r="O1648" s="5">
        <v>736.58</v>
      </c>
      <c r="P1648" s="6">
        <v>0</v>
      </c>
    </row>
    <row r="1649" spans="1:16" ht="23.4" x14ac:dyDescent="0.45">
      <c r="A1649" s="4" t="s">
        <v>1634</v>
      </c>
      <c r="B1649" s="5" t="s">
        <v>9</v>
      </c>
      <c r="C1649" s="5">
        <v>118304.6</v>
      </c>
      <c r="D1649" s="5">
        <v>26</v>
      </c>
      <c r="E1649" s="5">
        <v>1</v>
      </c>
      <c r="F1649" s="5">
        <v>0.8347</v>
      </c>
      <c r="G1649" s="5">
        <v>0.34489999999999998</v>
      </c>
      <c r="H1649" s="5">
        <v>4</v>
      </c>
      <c r="I1649" s="5">
        <v>22288.2</v>
      </c>
      <c r="J1649" s="5">
        <v>14904.27</v>
      </c>
      <c r="K1649" s="5">
        <v>141</v>
      </c>
      <c r="L1649" s="5">
        <v>1</v>
      </c>
      <c r="M1649" s="5">
        <v>1</v>
      </c>
      <c r="N1649" s="5">
        <v>0</v>
      </c>
      <c r="O1649" s="5">
        <v>728.58</v>
      </c>
      <c r="P1649" s="6">
        <v>0</v>
      </c>
    </row>
    <row r="1650" spans="1:16" ht="23.4" x14ac:dyDescent="0.45">
      <c r="A1650" s="4" t="s">
        <v>1635</v>
      </c>
      <c r="B1650" s="5" t="s">
        <v>6</v>
      </c>
      <c r="C1650" s="5">
        <v>7373.69</v>
      </c>
      <c r="D1650" s="5">
        <v>68</v>
      </c>
      <c r="E1650" s="5">
        <v>0</v>
      </c>
      <c r="F1650" s="5">
        <v>0.96599999999999997</v>
      </c>
      <c r="G1650" s="5">
        <v>0</v>
      </c>
      <c r="H1650" s="5">
        <v>2</v>
      </c>
      <c r="I1650" s="5">
        <v>500</v>
      </c>
      <c r="J1650" s="5">
        <v>1785.43</v>
      </c>
      <c r="K1650" s="5">
        <v>39</v>
      </c>
      <c r="L1650" s="5">
        <v>2</v>
      </c>
      <c r="M1650" s="5">
        <v>1</v>
      </c>
      <c r="N1650" s="5">
        <v>1</v>
      </c>
      <c r="O1650" s="5">
        <v>773.94</v>
      </c>
      <c r="P1650" s="6">
        <v>0</v>
      </c>
    </row>
    <row r="1651" spans="1:16" ht="23.4" x14ac:dyDescent="0.45">
      <c r="A1651" s="4" t="s">
        <v>1636</v>
      </c>
      <c r="B1651" s="5" t="s">
        <v>15</v>
      </c>
      <c r="C1651" s="5">
        <v>87590.54</v>
      </c>
      <c r="D1651" s="5">
        <v>35</v>
      </c>
      <c r="E1651" s="5">
        <v>0</v>
      </c>
      <c r="F1651" s="5">
        <v>0.56999999999999995</v>
      </c>
      <c r="G1651" s="5">
        <v>0.43840000000000001</v>
      </c>
      <c r="H1651" s="5">
        <v>1</v>
      </c>
      <c r="I1651" s="5">
        <v>45911.02</v>
      </c>
      <c r="J1651" s="5">
        <v>24810.86</v>
      </c>
      <c r="K1651" s="5">
        <v>63</v>
      </c>
      <c r="L1651" s="5">
        <v>2</v>
      </c>
      <c r="M1651" s="5">
        <v>1</v>
      </c>
      <c r="N1651" s="5">
        <v>2</v>
      </c>
      <c r="O1651" s="5">
        <v>698.55</v>
      </c>
      <c r="P1651" s="6">
        <v>0</v>
      </c>
    </row>
    <row r="1652" spans="1:16" ht="23.4" x14ac:dyDescent="0.45">
      <c r="A1652" s="4" t="s">
        <v>1637</v>
      </c>
      <c r="B1652" s="5" t="s">
        <v>9</v>
      </c>
      <c r="C1652" s="5">
        <v>83981.64</v>
      </c>
      <c r="D1652" s="5">
        <v>60</v>
      </c>
      <c r="E1652" s="5">
        <v>1</v>
      </c>
      <c r="F1652" s="5">
        <v>0.71689999999999998</v>
      </c>
      <c r="G1652" s="5">
        <v>0.37769999999999998</v>
      </c>
      <c r="H1652" s="5">
        <v>6</v>
      </c>
      <c r="I1652" s="5">
        <v>44079.74</v>
      </c>
      <c r="J1652" s="5">
        <v>28798.93</v>
      </c>
      <c r="K1652" s="5">
        <v>57</v>
      </c>
      <c r="L1652" s="5">
        <v>2</v>
      </c>
      <c r="M1652" s="5">
        <v>1</v>
      </c>
      <c r="N1652" s="5">
        <v>0</v>
      </c>
      <c r="O1652" s="5">
        <v>718.02</v>
      </c>
      <c r="P1652" s="6">
        <v>0</v>
      </c>
    </row>
    <row r="1653" spans="1:16" ht="23.4" x14ac:dyDescent="0.45">
      <c r="A1653" s="4" t="s">
        <v>1638</v>
      </c>
      <c r="B1653" s="5" t="s">
        <v>4</v>
      </c>
      <c r="C1653" s="5">
        <v>69583.58</v>
      </c>
      <c r="D1653" s="5">
        <v>50</v>
      </c>
      <c r="E1653" s="5">
        <v>0</v>
      </c>
      <c r="F1653" s="5">
        <v>0.79759999999999998</v>
      </c>
      <c r="G1653" s="5">
        <v>0.65380000000000005</v>
      </c>
      <c r="H1653" s="5">
        <v>6</v>
      </c>
      <c r="I1653" s="5">
        <v>34282.92</v>
      </c>
      <c r="J1653" s="5">
        <v>16388.14</v>
      </c>
      <c r="K1653" s="5">
        <v>14</v>
      </c>
      <c r="L1653" s="5">
        <v>2</v>
      </c>
      <c r="M1653" s="5">
        <v>2</v>
      </c>
      <c r="N1653" s="5">
        <v>1</v>
      </c>
      <c r="O1653" s="5">
        <v>702.58</v>
      </c>
      <c r="P1653" s="6">
        <v>0</v>
      </c>
    </row>
    <row r="1654" spans="1:16" ht="23.4" x14ac:dyDescent="0.45">
      <c r="A1654" s="4" t="s">
        <v>1639</v>
      </c>
      <c r="B1654" s="5" t="s">
        <v>18</v>
      </c>
      <c r="C1654" s="5">
        <v>141910.15</v>
      </c>
      <c r="D1654" s="5">
        <v>38</v>
      </c>
      <c r="E1654" s="5">
        <v>1</v>
      </c>
      <c r="F1654" s="5">
        <v>1</v>
      </c>
      <c r="G1654" s="5">
        <v>0.73150000000000004</v>
      </c>
      <c r="H1654" s="5">
        <v>2</v>
      </c>
      <c r="I1654" s="5">
        <v>74569.48</v>
      </c>
      <c r="J1654" s="5">
        <v>62288.56</v>
      </c>
      <c r="K1654" s="5">
        <v>31</v>
      </c>
      <c r="L1654" s="5">
        <v>2</v>
      </c>
      <c r="M1654" s="5">
        <v>1</v>
      </c>
      <c r="N1654" s="5">
        <v>3</v>
      </c>
      <c r="O1654" s="5">
        <v>747.49</v>
      </c>
      <c r="P1654" s="6">
        <v>0</v>
      </c>
    </row>
    <row r="1655" spans="1:16" ht="23.4" x14ac:dyDescent="0.45">
      <c r="A1655" s="4" t="s">
        <v>1640</v>
      </c>
      <c r="B1655" s="5" t="s">
        <v>4</v>
      </c>
      <c r="C1655" s="5">
        <v>44912.76</v>
      </c>
      <c r="D1655" s="5">
        <v>33</v>
      </c>
      <c r="E1655" s="5">
        <v>1</v>
      </c>
      <c r="F1655" s="5">
        <v>0.8448</v>
      </c>
      <c r="G1655" s="5">
        <v>0.74150000000000005</v>
      </c>
      <c r="H1655" s="5">
        <v>5</v>
      </c>
      <c r="I1655" s="5">
        <v>35636.18</v>
      </c>
      <c r="J1655" s="5">
        <v>18228.599999999999</v>
      </c>
      <c r="K1655" s="5">
        <v>74</v>
      </c>
      <c r="L1655" s="5">
        <v>3</v>
      </c>
      <c r="M1655" s="5">
        <v>1</v>
      </c>
      <c r="N1655" s="5">
        <v>1</v>
      </c>
      <c r="O1655" s="5">
        <v>667.94</v>
      </c>
      <c r="P1655" s="6">
        <v>0</v>
      </c>
    </row>
    <row r="1656" spans="1:16" ht="23.4" x14ac:dyDescent="0.45">
      <c r="A1656" s="4" t="s">
        <v>1641</v>
      </c>
      <c r="B1656" s="5" t="s">
        <v>1</v>
      </c>
      <c r="C1656" s="5">
        <v>45781.54</v>
      </c>
      <c r="D1656" s="5">
        <v>33</v>
      </c>
      <c r="E1656" s="5">
        <v>0</v>
      </c>
      <c r="F1656" s="5">
        <v>0.98780000000000001</v>
      </c>
      <c r="G1656" s="5">
        <v>0.152</v>
      </c>
      <c r="H1656" s="5">
        <v>1</v>
      </c>
      <c r="I1656" s="5">
        <v>6279.99</v>
      </c>
      <c r="J1656" s="5">
        <v>15384.67</v>
      </c>
      <c r="K1656" s="5">
        <v>8</v>
      </c>
      <c r="L1656" s="5">
        <v>1</v>
      </c>
      <c r="M1656" s="5">
        <v>2</v>
      </c>
      <c r="N1656" s="5">
        <v>1</v>
      </c>
      <c r="O1656" s="5">
        <v>727.08</v>
      </c>
      <c r="P1656" s="6">
        <v>0</v>
      </c>
    </row>
    <row r="1657" spans="1:16" ht="23.4" x14ac:dyDescent="0.45">
      <c r="A1657" s="4" t="s">
        <v>1642</v>
      </c>
      <c r="B1657" s="5" t="s">
        <v>1</v>
      </c>
      <c r="C1657" s="5">
        <v>113483.14</v>
      </c>
      <c r="D1657" s="5">
        <v>29</v>
      </c>
      <c r="E1657" s="5">
        <v>0</v>
      </c>
      <c r="F1657" s="5">
        <v>0.47460000000000002</v>
      </c>
      <c r="G1657" s="5">
        <v>0.5595</v>
      </c>
      <c r="H1657" s="5">
        <v>3</v>
      </c>
      <c r="I1657" s="5">
        <v>80022.75</v>
      </c>
      <c r="J1657" s="5">
        <v>49945</v>
      </c>
      <c r="K1657" s="5">
        <v>74</v>
      </c>
      <c r="L1657" s="5">
        <v>1</v>
      </c>
      <c r="M1657" s="5">
        <v>1</v>
      </c>
      <c r="N1657" s="5">
        <v>3</v>
      </c>
      <c r="O1657" s="5">
        <v>722.78</v>
      </c>
      <c r="P1657" s="6">
        <v>0</v>
      </c>
    </row>
    <row r="1658" spans="1:16" ht="23.4" x14ac:dyDescent="0.45">
      <c r="A1658" s="4" t="s">
        <v>1643</v>
      </c>
      <c r="B1658" s="5" t="s">
        <v>4</v>
      </c>
      <c r="C1658" s="5">
        <v>103122.76</v>
      </c>
      <c r="D1658" s="5">
        <v>61</v>
      </c>
      <c r="E1658" s="5">
        <v>1</v>
      </c>
      <c r="F1658" s="5">
        <v>1</v>
      </c>
      <c r="G1658" s="5">
        <v>0.61580000000000001</v>
      </c>
      <c r="H1658" s="5">
        <v>2</v>
      </c>
      <c r="I1658" s="5">
        <v>72207.460000000006</v>
      </c>
      <c r="J1658" s="5">
        <v>56047.62</v>
      </c>
      <c r="K1658" s="5">
        <v>106</v>
      </c>
      <c r="L1658" s="5">
        <v>2</v>
      </c>
      <c r="M1658" s="5">
        <v>1</v>
      </c>
      <c r="N1658" s="5">
        <v>1</v>
      </c>
      <c r="O1658" s="5">
        <v>630.01</v>
      </c>
      <c r="P1658" s="6">
        <v>0</v>
      </c>
    </row>
    <row r="1659" spans="1:16" ht="23.4" x14ac:dyDescent="0.45">
      <c r="A1659" s="4" t="s">
        <v>1644</v>
      </c>
      <c r="B1659" s="5" t="s">
        <v>9</v>
      </c>
      <c r="C1659" s="5">
        <v>38301.550000000003</v>
      </c>
      <c r="D1659" s="5">
        <v>70</v>
      </c>
      <c r="E1659" s="5">
        <v>1</v>
      </c>
      <c r="F1659" s="5">
        <v>0.74570000000000003</v>
      </c>
      <c r="G1659" s="5">
        <v>0.70340000000000003</v>
      </c>
      <c r="H1659" s="5">
        <v>4</v>
      </c>
      <c r="I1659" s="5">
        <v>42737.85</v>
      </c>
      <c r="J1659" s="5">
        <v>24622.74</v>
      </c>
      <c r="K1659" s="5">
        <v>168</v>
      </c>
      <c r="L1659" s="5">
        <v>2</v>
      </c>
      <c r="M1659" s="5">
        <v>1</v>
      </c>
      <c r="N1659" s="5">
        <v>0</v>
      </c>
      <c r="O1659" s="5">
        <v>792.56</v>
      </c>
      <c r="P1659" s="6">
        <v>0</v>
      </c>
    </row>
    <row r="1660" spans="1:16" ht="23.4" x14ac:dyDescent="0.45">
      <c r="A1660" s="4" t="s">
        <v>1645</v>
      </c>
      <c r="B1660" s="5" t="s">
        <v>15</v>
      </c>
      <c r="C1660" s="5">
        <v>119195.14</v>
      </c>
      <c r="D1660" s="5">
        <v>34</v>
      </c>
      <c r="E1660" s="5">
        <v>1</v>
      </c>
      <c r="F1660" s="5">
        <v>0.61360000000000003</v>
      </c>
      <c r="G1660" s="5">
        <v>0.158</v>
      </c>
      <c r="H1660" s="5">
        <v>2</v>
      </c>
      <c r="I1660" s="5">
        <v>5555.96</v>
      </c>
      <c r="J1660" s="5">
        <v>10649.97</v>
      </c>
      <c r="K1660" s="5">
        <v>121</v>
      </c>
      <c r="L1660" s="5">
        <v>3</v>
      </c>
      <c r="M1660" s="5">
        <v>3</v>
      </c>
      <c r="N1660" s="5">
        <v>0</v>
      </c>
      <c r="O1660" s="5">
        <v>600.84</v>
      </c>
      <c r="P1660" s="6">
        <v>0</v>
      </c>
    </row>
    <row r="1661" spans="1:16" ht="23.4" x14ac:dyDescent="0.45">
      <c r="A1661" s="4" t="s">
        <v>1646</v>
      </c>
      <c r="B1661" s="5" t="s">
        <v>4</v>
      </c>
      <c r="C1661" s="5">
        <v>138416.28</v>
      </c>
      <c r="D1661" s="5">
        <v>29</v>
      </c>
      <c r="E1661" s="5">
        <v>1</v>
      </c>
      <c r="F1661" s="5">
        <v>0.61499999999999999</v>
      </c>
      <c r="G1661" s="5">
        <v>0.17630000000000001</v>
      </c>
      <c r="H1661" s="5">
        <v>2</v>
      </c>
      <c r="I1661" s="5">
        <v>43354.6</v>
      </c>
      <c r="J1661" s="5">
        <v>35517.980000000003</v>
      </c>
      <c r="K1661" s="5">
        <v>23</v>
      </c>
      <c r="L1661" s="5">
        <v>2</v>
      </c>
      <c r="M1661" s="5">
        <v>1</v>
      </c>
      <c r="N1661" s="5">
        <v>1</v>
      </c>
      <c r="O1661" s="5">
        <v>565.14</v>
      </c>
      <c r="P1661" s="6">
        <v>0</v>
      </c>
    </row>
    <row r="1662" spans="1:16" ht="23.4" x14ac:dyDescent="0.45">
      <c r="A1662" s="4" t="s">
        <v>1647</v>
      </c>
      <c r="B1662" s="5" t="s">
        <v>18</v>
      </c>
      <c r="C1662" s="5">
        <v>120244.05</v>
      </c>
      <c r="D1662" s="5">
        <v>57</v>
      </c>
      <c r="E1662" s="5">
        <v>0</v>
      </c>
      <c r="F1662" s="5">
        <v>0.39710000000000001</v>
      </c>
      <c r="G1662" s="5">
        <v>0.4859</v>
      </c>
      <c r="H1662" s="5">
        <v>3</v>
      </c>
      <c r="I1662" s="5">
        <v>25811.67</v>
      </c>
      <c r="J1662" s="5">
        <v>19738</v>
      </c>
      <c r="K1662" s="5">
        <v>48</v>
      </c>
      <c r="L1662" s="5">
        <v>2</v>
      </c>
      <c r="M1662" s="5">
        <v>1</v>
      </c>
      <c r="N1662" s="5">
        <v>1</v>
      </c>
      <c r="O1662" s="5">
        <v>652.59</v>
      </c>
      <c r="P1662" s="6">
        <v>0</v>
      </c>
    </row>
    <row r="1663" spans="1:16" ht="23.4" x14ac:dyDescent="0.45">
      <c r="A1663" s="4" t="s">
        <v>1648</v>
      </c>
      <c r="B1663" s="5" t="s">
        <v>9</v>
      </c>
      <c r="C1663" s="5">
        <v>102165.59</v>
      </c>
      <c r="D1663" s="5">
        <v>56</v>
      </c>
      <c r="E1663" s="5">
        <v>1</v>
      </c>
      <c r="F1663" s="5">
        <v>0.57579999999999998</v>
      </c>
      <c r="G1663" s="5">
        <v>0.53680000000000005</v>
      </c>
      <c r="H1663" s="5">
        <v>3</v>
      </c>
      <c r="I1663" s="5">
        <v>70239.149999999994</v>
      </c>
      <c r="J1663" s="5">
        <v>45810.05</v>
      </c>
      <c r="K1663" s="5">
        <v>15</v>
      </c>
      <c r="L1663" s="5">
        <v>1</v>
      </c>
      <c r="M1663" s="5">
        <v>1</v>
      </c>
      <c r="N1663" s="5">
        <v>0</v>
      </c>
      <c r="O1663" s="5">
        <v>665.63</v>
      </c>
      <c r="P1663" s="6">
        <v>0</v>
      </c>
    </row>
    <row r="1664" spans="1:16" ht="23.4" x14ac:dyDescent="0.45">
      <c r="A1664" s="4" t="s">
        <v>1649</v>
      </c>
      <c r="B1664" s="5" t="s">
        <v>18</v>
      </c>
      <c r="C1664" s="5">
        <v>59048.32</v>
      </c>
      <c r="D1664" s="5">
        <v>46</v>
      </c>
      <c r="E1664" s="5">
        <v>0</v>
      </c>
      <c r="F1664" s="5">
        <v>0.69199999999999995</v>
      </c>
      <c r="G1664" s="5">
        <v>0.1323</v>
      </c>
      <c r="H1664" s="5">
        <v>1</v>
      </c>
      <c r="I1664" s="5">
        <v>14524.65</v>
      </c>
      <c r="J1664" s="5">
        <v>24143.37</v>
      </c>
      <c r="K1664" s="5">
        <v>126</v>
      </c>
      <c r="L1664" s="5">
        <v>2</v>
      </c>
      <c r="M1664" s="5">
        <v>2</v>
      </c>
      <c r="N1664" s="5">
        <v>0</v>
      </c>
      <c r="O1664" s="5">
        <v>757.28</v>
      </c>
      <c r="P1664" s="6">
        <v>0</v>
      </c>
    </row>
    <row r="1665" spans="1:16" ht="23.4" x14ac:dyDescent="0.45">
      <c r="A1665" s="4" t="s">
        <v>1650</v>
      </c>
      <c r="B1665" s="5" t="s">
        <v>4</v>
      </c>
      <c r="C1665" s="5">
        <v>78309.61</v>
      </c>
      <c r="D1665" s="5">
        <v>47</v>
      </c>
      <c r="E1665" s="5">
        <v>0</v>
      </c>
      <c r="F1665" s="5">
        <v>0.87309999999999999</v>
      </c>
      <c r="G1665" s="5">
        <v>0.21609999999999999</v>
      </c>
      <c r="H1665" s="5">
        <v>0</v>
      </c>
      <c r="I1665" s="5">
        <v>11410.58</v>
      </c>
      <c r="J1665" s="5">
        <v>9808.32</v>
      </c>
      <c r="K1665" s="5">
        <v>137</v>
      </c>
      <c r="L1665" s="5">
        <v>2</v>
      </c>
      <c r="M1665" s="5">
        <v>2</v>
      </c>
      <c r="N1665" s="5">
        <v>0</v>
      </c>
      <c r="O1665" s="5">
        <v>742.77</v>
      </c>
      <c r="P1665" s="6">
        <v>0</v>
      </c>
    </row>
    <row r="1666" spans="1:16" ht="23.4" x14ac:dyDescent="0.45">
      <c r="A1666" s="4" t="s">
        <v>1651</v>
      </c>
      <c r="B1666" s="5" t="s">
        <v>18</v>
      </c>
      <c r="C1666" s="5">
        <v>94212.89</v>
      </c>
      <c r="D1666" s="5">
        <v>23</v>
      </c>
      <c r="E1666" s="5">
        <v>0</v>
      </c>
      <c r="F1666" s="5">
        <v>0.4002</v>
      </c>
      <c r="G1666" s="5">
        <v>8.3299999999999999E-2</v>
      </c>
      <c r="H1666" s="5">
        <v>3</v>
      </c>
      <c r="I1666" s="5">
        <v>500</v>
      </c>
      <c r="J1666" s="5">
        <v>0</v>
      </c>
      <c r="K1666" s="5">
        <v>180</v>
      </c>
      <c r="L1666" s="5">
        <v>3</v>
      </c>
      <c r="M1666" s="5">
        <v>2</v>
      </c>
      <c r="N1666" s="5">
        <v>1</v>
      </c>
      <c r="O1666" s="5">
        <v>739.48</v>
      </c>
      <c r="P1666" s="6">
        <v>0</v>
      </c>
    </row>
    <row r="1667" spans="1:16" ht="23.4" x14ac:dyDescent="0.45">
      <c r="A1667" s="4" t="s">
        <v>1652</v>
      </c>
      <c r="B1667" s="5" t="s">
        <v>6</v>
      </c>
      <c r="C1667" s="5">
        <v>50818.03</v>
      </c>
      <c r="D1667" s="5">
        <v>46</v>
      </c>
      <c r="E1667" s="5">
        <v>0</v>
      </c>
      <c r="F1667" s="5">
        <v>1</v>
      </c>
      <c r="G1667" s="5">
        <v>0.47260000000000002</v>
      </c>
      <c r="H1667" s="5">
        <v>4</v>
      </c>
      <c r="I1667" s="5">
        <v>3639.45</v>
      </c>
      <c r="J1667" s="5">
        <v>11828.65</v>
      </c>
      <c r="K1667" s="5">
        <v>169</v>
      </c>
      <c r="L1667" s="5">
        <v>1</v>
      </c>
      <c r="M1667" s="5">
        <v>1</v>
      </c>
      <c r="N1667" s="5">
        <v>2</v>
      </c>
      <c r="O1667" s="5">
        <v>637.87</v>
      </c>
      <c r="P1667" s="6">
        <v>0</v>
      </c>
    </row>
    <row r="1668" spans="1:16" ht="23.4" x14ac:dyDescent="0.45">
      <c r="A1668" s="4" t="s">
        <v>1653</v>
      </c>
      <c r="B1668" s="5" t="s">
        <v>9</v>
      </c>
      <c r="C1668" s="5">
        <v>150650.72</v>
      </c>
      <c r="D1668" s="5">
        <v>56</v>
      </c>
      <c r="E1668" s="5">
        <v>0</v>
      </c>
      <c r="F1668" s="5">
        <v>0.80420000000000003</v>
      </c>
      <c r="G1668" s="5">
        <v>5.7000000000000002E-2</v>
      </c>
      <c r="H1668" s="5">
        <v>2</v>
      </c>
      <c r="I1668" s="5">
        <v>35057.760000000002</v>
      </c>
      <c r="J1668" s="5">
        <v>32804.07</v>
      </c>
      <c r="K1668" s="5">
        <v>180</v>
      </c>
      <c r="L1668" s="5">
        <v>2</v>
      </c>
      <c r="M1668" s="5">
        <v>1</v>
      </c>
      <c r="N1668" s="5">
        <v>0</v>
      </c>
      <c r="O1668" s="5">
        <v>750.18</v>
      </c>
      <c r="P1668" s="6">
        <v>0</v>
      </c>
    </row>
    <row r="1669" spans="1:16" ht="23.4" x14ac:dyDescent="0.45">
      <c r="A1669" s="4" t="s">
        <v>1654</v>
      </c>
      <c r="B1669" s="5" t="s">
        <v>6</v>
      </c>
      <c r="C1669" s="5">
        <v>104748.11</v>
      </c>
      <c r="D1669" s="5">
        <v>69</v>
      </c>
      <c r="E1669" s="5">
        <v>0</v>
      </c>
      <c r="F1669" s="5">
        <v>0.94069999999999998</v>
      </c>
      <c r="G1669" s="5">
        <v>0.89349999999999996</v>
      </c>
      <c r="H1669" s="5">
        <v>3</v>
      </c>
      <c r="I1669" s="5">
        <v>65987.44</v>
      </c>
      <c r="J1669" s="5">
        <v>32290.74</v>
      </c>
      <c r="K1669" s="5">
        <v>154</v>
      </c>
      <c r="L1669" s="5">
        <v>2</v>
      </c>
      <c r="M1669" s="5">
        <v>2</v>
      </c>
      <c r="N1669" s="5">
        <v>1</v>
      </c>
      <c r="O1669" s="5">
        <v>714.29</v>
      </c>
      <c r="P1669" s="6">
        <v>0</v>
      </c>
    </row>
    <row r="1670" spans="1:16" ht="23.4" x14ac:dyDescent="0.45">
      <c r="A1670" s="4" t="s">
        <v>1655</v>
      </c>
      <c r="B1670" s="5" t="s">
        <v>6</v>
      </c>
      <c r="C1670" s="5">
        <v>62899.46</v>
      </c>
      <c r="D1670" s="5">
        <v>55</v>
      </c>
      <c r="E1670" s="5">
        <v>0</v>
      </c>
      <c r="F1670" s="5">
        <v>0.47110000000000002</v>
      </c>
      <c r="G1670" s="5">
        <v>0.66310000000000002</v>
      </c>
      <c r="H1670" s="5">
        <v>3</v>
      </c>
      <c r="I1670" s="5">
        <v>27249.26</v>
      </c>
      <c r="J1670" s="5">
        <v>12877.26</v>
      </c>
      <c r="K1670" s="5">
        <v>88</v>
      </c>
      <c r="L1670" s="5">
        <v>4</v>
      </c>
      <c r="M1670" s="5">
        <v>2</v>
      </c>
      <c r="N1670" s="5">
        <v>1</v>
      </c>
      <c r="O1670" s="5">
        <v>656.21</v>
      </c>
      <c r="P1670" s="6">
        <v>0</v>
      </c>
    </row>
    <row r="1671" spans="1:16" ht="23.4" x14ac:dyDescent="0.45">
      <c r="A1671" s="4" t="s">
        <v>1656</v>
      </c>
      <c r="B1671" s="5" t="s">
        <v>6</v>
      </c>
      <c r="C1671" s="5">
        <v>109486.73</v>
      </c>
      <c r="D1671" s="5">
        <v>21</v>
      </c>
      <c r="E1671" s="5">
        <v>1</v>
      </c>
      <c r="F1671" s="5">
        <v>0.33660000000000001</v>
      </c>
      <c r="G1671" s="5">
        <v>0.30180000000000001</v>
      </c>
      <c r="H1671" s="5">
        <v>1</v>
      </c>
      <c r="I1671" s="5">
        <v>43975.86</v>
      </c>
      <c r="J1671" s="5">
        <v>18007.900000000001</v>
      </c>
      <c r="K1671" s="5">
        <v>13</v>
      </c>
      <c r="L1671" s="5">
        <v>1</v>
      </c>
      <c r="M1671" s="5">
        <v>2</v>
      </c>
      <c r="N1671" s="5">
        <v>1</v>
      </c>
      <c r="O1671" s="5">
        <v>694.21</v>
      </c>
      <c r="P1671" s="6">
        <v>0</v>
      </c>
    </row>
    <row r="1672" spans="1:16" ht="23.4" x14ac:dyDescent="0.45">
      <c r="A1672" s="4" t="s">
        <v>1657</v>
      </c>
      <c r="B1672" s="5" t="s">
        <v>1</v>
      </c>
      <c r="C1672" s="5">
        <v>99135.46</v>
      </c>
      <c r="D1672" s="5">
        <v>64</v>
      </c>
      <c r="E1672" s="5">
        <v>0</v>
      </c>
      <c r="F1672" s="5">
        <v>1</v>
      </c>
      <c r="G1672" s="5">
        <v>0.48299999999999998</v>
      </c>
      <c r="H1672" s="5">
        <v>0</v>
      </c>
      <c r="I1672" s="5">
        <v>33211.449999999997</v>
      </c>
      <c r="J1672" s="5">
        <v>49433.72</v>
      </c>
      <c r="K1672" s="5">
        <v>159</v>
      </c>
      <c r="L1672" s="5">
        <v>2</v>
      </c>
      <c r="M1672" s="5">
        <v>1</v>
      </c>
      <c r="N1672" s="5">
        <v>0</v>
      </c>
      <c r="O1672" s="5">
        <v>579.1</v>
      </c>
      <c r="P1672" s="6">
        <v>0</v>
      </c>
    </row>
    <row r="1673" spans="1:16" ht="23.4" x14ac:dyDescent="0.45">
      <c r="A1673" s="4" t="s">
        <v>1658</v>
      </c>
      <c r="B1673" s="5" t="s">
        <v>9</v>
      </c>
      <c r="C1673" s="5">
        <v>40088.980000000003</v>
      </c>
      <c r="D1673" s="5">
        <v>45</v>
      </c>
      <c r="E1673" s="5">
        <v>1</v>
      </c>
      <c r="F1673" s="5">
        <v>0.6411</v>
      </c>
      <c r="G1673" s="5">
        <v>0.3473</v>
      </c>
      <c r="H1673" s="5">
        <v>1</v>
      </c>
      <c r="I1673" s="5">
        <v>29677.35</v>
      </c>
      <c r="J1673" s="5">
        <v>22308.31</v>
      </c>
      <c r="K1673" s="5">
        <v>161</v>
      </c>
      <c r="L1673" s="5">
        <v>2</v>
      </c>
      <c r="M1673" s="5">
        <v>3</v>
      </c>
      <c r="N1673" s="5">
        <v>0</v>
      </c>
      <c r="O1673" s="5">
        <v>752.55</v>
      </c>
      <c r="P1673" s="6">
        <v>0</v>
      </c>
    </row>
    <row r="1674" spans="1:16" ht="23.4" x14ac:dyDescent="0.45">
      <c r="A1674" s="4" t="s">
        <v>1659</v>
      </c>
      <c r="B1674" s="5" t="s">
        <v>6</v>
      </c>
      <c r="C1674" s="5">
        <v>12430.01</v>
      </c>
      <c r="D1674" s="5">
        <v>63</v>
      </c>
      <c r="E1674" s="5">
        <v>0</v>
      </c>
      <c r="F1674" s="5">
        <v>0.67259999999999998</v>
      </c>
      <c r="G1674" s="5">
        <v>0.50339999999999996</v>
      </c>
      <c r="H1674" s="5">
        <v>0</v>
      </c>
      <c r="I1674" s="5">
        <v>500</v>
      </c>
      <c r="J1674" s="5">
        <v>0</v>
      </c>
      <c r="K1674" s="5">
        <v>179</v>
      </c>
      <c r="L1674" s="5">
        <v>3</v>
      </c>
      <c r="M1674" s="5">
        <v>1</v>
      </c>
      <c r="N1674" s="5">
        <v>1</v>
      </c>
      <c r="O1674" s="5">
        <v>742.19</v>
      </c>
      <c r="P1674" s="6">
        <v>0</v>
      </c>
    </row>
    <row r="1675" spans="1:16" ht="23.4" x14ac:dyDescent="0.45">
      <c r="A1675" s="4" t="s">
        <v>1660</v>
      </c>
      <c r="B1675" s="5" t="s">
        <v>18</v>
      </c>
      <c r="C1675" s="5">
        <v>122796.36</v>
      </c>
      <c r="D1675" s="5">
        <v>21</v>
      </c>
      <c r="E1675" s="5">
        <v>1</v>
      </c>
      <c r="F1675" s="5">
        <v>0.55300000000000005</v>
      </c>
      <c r="G1675" s="5">
        <v>0.55920000000000003</v>
      </c>
      <c r="H1675" s="5">
        <v>1</v>
      </c>
      <c r="I1675" s="5">
        <v>51539.93</v>
      </c>
      <c r="J1675" s="5">
        <v>28798.34</v>
      </c>
      <c r="K1675" s="5">
        <v>171</v>
      </c>
      <c r="L1675" s="5">
        <v>2</v>
      </c>
      <c r="M1675" s="5">
        <v>2</v>
      </c>
      <c r="N1675" s="5">
        <v>1</v>
      </c>
      <c r="O1675" s="5">
        <v>622.12</v>
      </c>
      <c r="P1675" s="6">
        <v>0</v>
      </c>
    </row>
    <row r="1676" spans="1:16" ht="23.4" x14ac:dyDescent="0.45">
      <c r="A1676" s="4" t="s">
        <v>1661</v>
      </c>
      <c r="B1676" s="5" t="s">
        <v>6</v>
      </c>
      <c r="C1676" s="5">
        <v>142066.35999999999</v>
      </c>
      <c r="D1676" s="5">
        <v>37</v>
      </c>
      <c r="E1676" s="5">
        <v>0</v>
      </c>
      <c r="F1676" s="5">
        <v>0.87480000000000002</v>
      </c>
      <c r="G1676" s="5">
        <v>0.64380000000000004</v>
      </c>
      <c r="H1676" s="5">
        <v>2</v>
      </c>
      <c r="I1676" s="5">
        <v>90052.79</v>
      </c>
      <c r="J1676" s="5">
        <v>63170.54</v>
      </c>
      <c r="K1676" s="5">
        <v>173</v>
      </c>
      <c r="L1676" s="5">
        <v>2</v>
      </c>
      <c r="M1676" s="5">
        <v>1</v>
      </c>
      <c r="N1676" s="5">
        <v>0</v>
      </c>
      <c r="O1676" s="5">
        <v>685.92</v>
      </c>
      <c r="P1676" s="6">
        <v>0</v>
      </c>
    </row>
    <row r="1677" spans="1:16" ht="23.4" x14ac:dyDescent="0.45">
      <c r="A1677" s="4" t="s">
        <v>1662</v>
      </c>
      <c r="B1677" s="5" t="s">
        <v>1</v>
      </c>
      <c r="C1677" s="5">
        <v>94387.6</v>
      </c>
      <c r="D1677" s="5">
        <v>59</v>
      </c>
      <c r="E1677" s="5">
        <v>0</v>
      </c>
      <c r="F1677" s="5">
        <v>0.90410000000000001</v>
      </c>
      <c r="G1677" s="5">
        <v>0.3634</v>
      </c>
      <c r="H1677" s="5">
        <v>2</v>
      </c>
      <c r="I1677" s="5">
        <v>49863.24</v>
      </c>
      <c r="J1677" s="5">
        <v>39898.17</v>
      </c>
      <c r="K1677" s="5">
        <v>167</v>
      </c>
      <c r="L1677" s="5">
        <v>2</v>
      </c>
      <c r="M1677" s="5">
        <v>2</v>
      </c>
      <c r="N1677" s="5">
        <v>2</v>
      </c>
      <c r="O1677" s="5">
        <v>733.89</v>
      </c>
      <c r="P1677" s="6">
        <v>0</v>
      </c>
    </row>
    <row r="1678" spans="1:16" ht="23.4" x14ac:dyDescent="0.45">
      <c r="A1678" s="4" t="s">
        <v>1663</v>
      </c>
      <c r="B1678" s="5" t="s">
        <v>1</v>
      </c>
      <c r="C1678" s="5">
        <v>114292.92</v>
      </c>
      <c r="D1678" s="5">
        <v>30</v>
      </c>
      <c r="E1678" s="5">
        <v>1</v>
      </c>
      <c r="F1678" s="5">
        <v>0.74719999999999998</v>
      </c>
      <c r="G1678" s="5">
        <v>6.6799999999999998E-2</v>
      </c>
      <c r="H1678" s="5">
        <v>0</v>
      </c>
      <c r="I1678" s="5">
        <v>500</v>
      </c>
      <c r="J1678" s="5">
        <v>2876.46</v>
      </c>
      <c r="K1678" s="5">
        <v>81</v>
      </c>
      <c r="L1678" s="5">
        <v>3</v>
      </c>
      <c r="M1678" s="5">
        <v>2</v>
      </c>
      <c r="N1678" s="5">
        <v>0</v>
      </c>
      <c r="O1678" s="5">
        <v>817.59</v>
      </c>
      <c r="P1678" s="6">
        <v>0</v>
      </c>
    </row>
    <row r="1679" spans="1:16" ht="23.4" x14ac:dyDescent="0.45">
      <c r="A1679" s="4" t="s">
        <v>1664</v>
      </c>
      <c r="B1679" s="5" t="s">
        <v>18</v>
      </c>
      <c r="C1679" s="5">
        <v>68191.73</v>
      </c>
      <c r="D1679" s="5">
        <v>30</v>
      </c>
      <c r="E1679" s="5">
        <v>0</v>
      </c>
      <c r="F1679" s="5">
        <v>0.40789999999999998</v>
      </c>
      <c r="G1679" s="5">
        <v>0.3624</v>
      </c>
      <c r="H1679" s="5">
        <v>7</v>
      </c>
      <c r="I1679" s="5">
        <v>16876.490000000002</v>
      </c>
      <c r="J1679" s="5">
        <v>14164.35</v>
      </c>
      <c r="K1679" s="5">
        <v>167</v>
      </c>
      <c r="L1679" s="5">
        <v>1</v>
      </c>
      <c r="M1679" s="5">
        <v>1</v>
      </c>
      <c r="N1679" s="5">
        <v>1</v>
      </c>
      <c r="O1679" s="5">
        <v>749.15</v>
      </c>
      <c r="P1679" s="6">
        <v>0</v>
      </c>
    </row>
    <row r="1680" spans="1:16" ht="23.4" x14ac:dyDescent="0.45">
      <c r="A1680" s="4" t="s">
        <v>1665</v>
      </c>
      <c r="B1680" s="5" t="s">
        <v>15</v>
      </c>
      <c r="C1680" s="5">
        <v>71626.58</v>
      </c>
      <c r="D1680" s="5">
        <v>59</v>
      </c>
      <c r="E1680" s="5">
        <v>1</v>
      </c>
      <c r="F1680" s="5">
        <v>0.64649999999999996</v>
      </c>
      <c r="G1680" s="5">
        <v>0.58440000000000003</v>
      </c>
      <c r="H1680" s="5">
        <v>2</v>
      </c>
      <c r="I1680" s="5">
        <v>62570.400000000001</v>
      </c>
      <c r="J1680" s="5">
        <v>50366.99</v>
      </c>
      <c r="K1680" s="5">
        <v>109</v>
      </c>
      <c r="L1680" s="5">
        <v>2</v>
      </c>
      <c r="M1680" s="5">
        <v>1</v>
      </c>
      <c r="N1680" s="5">
        <v>0</v>
      </c>
      <c r="O1680" s="5">
        <v>688.19</v>
      </c>
      <c r="P1680" s="6">
        <v>0</v>
      </c>
    </row>
    <row r="1681" spans="1:16" ht="23.4" x14ac:dyDescent="0.45">
      <c r="A1681" s="4" t="s">
        <v>1666</v>
      </c>
      <c r="B1681" s="5" t="s">
        <v>1</v>
      </c>
      <c r="C1681" s="5">
        <v>96150.1</v>
      </c>
      <c r="D1681" s="5">
        <v>50</v>
      </c>
      <c r="E1681" s="5">
        <v>1</v>
      </c>
      <c r="F1681" s="5">
        <v>1</v>
      </c>
      <c r="G1681" s="5">
        <v>0.54700000000000004</v>
      </c>
      <c r="H1681" s="5">
        <v>5</v>
      </c>
      <c r="I1681" s="5">
        <v>82872.81</v>
      </c>
      <c r="J1681" s="5">
        <v>72169.64</v>
      </c>
      <c r="K1681" s="5">
        <v>73</v>
      </c>
      <c r="L1681" s="5">
        <v>1</v>
      </c>
      <c r="M1681" s="5">
        <v>1</v>
      </c>
      <c r="N1681" s="5">
        <v>2</v>
      </c>
      <c r="O1681" s="5">
        <v>847.64</v>
      </c>
      <c r="P1681" s="6">
        <v>0</v>
      </c>
    </row>
    <row r="1682" spans="1:16" ht="23.4" x14ac:dyDescent="0.45">
      <c r="A1682" s="4" t="s">
        <v>1667</v>
      </c>
      <c r="B1682" s="5" t="s">
        <v>4</v>
      </c>
      <c r="C1682" s="5">
        <v>52407.360000000001</v>
      </c>
      <c r="D1682" s="5">
        <v>42</v>
      </c>
      <c r="E1682" s="5">
        <v>0</v>
      </c>
      <c r="F1682" s="5">
        <v>0.46710000000000002</v>
      </c>
      <c r="G1682" s="5">
        <v>0.77759999999999996</v>
      </c>
      <c r="H1682" s="5">
        <v>4</v>
      </c>
      <c r="I1682" s="5">
        <v>63520.3</v>
      </c>
      <c r="J1682" s="5">
        <v>25140.33</v>
      </c>
      <c r="K1682" s="5">
        <v>26</v>
      </c>
      <c r="L1682" s="5">
        <v>1</v>
      </c>
      <c r="M1682" s="5">
        <v>2</v>
      </c>
      <c r="N1682" s="5">
        <v>0</v>
      </c>
      <c r="O1682" s="5">
        <v>597.66</v>
      </c>
      <c r="P1682" s="6">
        <v>0</v>
      </c>
    </row>
    <row r="1683" spans="1:16" ht="23.4" x14ac:dyDescent="0.45">
      <c r="A1683" s="4" t="s">
        <v>1668</v>
      </c>
      <c r="B1683" s="5" t="s">
        <v>1</v>
      </c>
      <c r="C1683" s="5">
        <v>33938.25</v>
      </c>
      <c r="D1683" s="5">
        <v>63</v>
      </c>
      <c r="E1683" s="5">
        <v>0</v>
      </c>
      <c r="F1683" s="5">
        <v>0.79959999999999998</v>
      </c>
      <c r="G1683" s="5">
        <v>0.27850000000000003</v>
      </c>
      <c r="H1683" s="5">
        <v>0</v>
      </c>
      <c r="I1683" s="5">
        <v>500</v>
      </c>
      <c r="J1683" s="5">
        <v>4682.01</v>
      </c>
      <c r="K1683" s="5">
        <v>63</v>
      </c>
      <c r="L1683" s="5">
        <v>2</v>
      </c>
      <c r="M1683" s="5">
        <v>1</v>
      </c>
      <c r="N1683" s="5">
        <v>0</v>
      </c>
      <c r="O1683" s="5">
        <v>710.55</v>
      </c>
      <c r="P1683" s="6">
        <v>0</v>
      </c>
    </row>
    <row r="1684" spans="1:16" ht="23.4" x14ac:dyDescent="0.45">
      <c r="A1684" s="4" t="s">
        <v>1669</v>
      </c>
      <c r="B1684" s="5" t="s">
        <v>4</v>
      </c>
      <c r="C1684" s="5">
        <v>48488.81</v>
      </c>
      <c r="D1684" s="5">
        <v>66</v>
      </c>
      <c r="E1684" s="5">
        <v>0</v>
      </c>
      <c r="F1684" s="5">
        <v>0.61339999999999995</v>
      </c>
      <c r="G1684" s="5">
        <v>0.71989999999999998</v>
      </c>
      <c r="H1684" s="5">
        <v>5</v>
      </c>
      <c r="I1684" s="5">
        <v>25204.3</v>
      </c>
      <c r="J1684" s="5">
        <v>9232.19</v>
      </c>
      <c r="K1684" s="5">
        <v>39</v>
      </c>
      <c r="L1684" s="5">
        <v>3</v>
      </c>
      <c r="M1684" s="5">
        <v>1</v>
      </c>
      <c r="N1684" s="5">
        <v>0</v>
      </c>
      <c r="O1684" s="5">
        <v>734.5</v>
      </c>
      <c r="P1684" s="6">
        <v>0</v>
      </c>
    </row>
    <row r="1685" spans="1:16" ht="23.4" x14ac:dyDescent="0.45">
      <c r="A1685" s="4" t="s">
        <v>1670</v>
      </c>
      <c r="B1685" s="5" t="s">
        <v>1</v>
      </c>
      <c r="C1685" s="5">
        <v>146779.68</v>
      </c>
      <c r="D1685" s="5">
        <v>23</v>
      </c>
      <c r="E1685" s="5">
        <v>1</v>
      </c>
      <c r="F1685" s="5">
        <v>0.61529999999999996</v>
      </c>
      <c r="G1685" s="5">
        <v>0.54210000000000003</v>
      </c>
      <c r="H1685" s="5">
        <v>3</v>
      </c>
      <c r="I1685" s="5">
        <v>68089.86</v>
      </c>
      <c r="J1685" s="5">
        <v>44297.01</v>
      </c>
      <c r="K1685" s="5">
        <v>118</v>
      </c>
      <c r="L1685" s="5">
        <v>3</v>
      </c>
      <c r="M1685" s="5">
        <v>2</v>
      </c>
      <c r="N1685" s="5">
        <v>0</v>
      </c>
      <c r="O1685" s="5">
        <v>587.39</v>
      </c>
      <c r="P1685" s="6">
        <v>1</v>
      </c>
    </row>
    <row r="1686" spans="1:16" ht="23.4" x14ac:dyDescent="0.45">
      <c r="A1686" s="4" t="s">
        <v>1671</v>
      </c>
      <c r="B1686" s="5" t="s">
        <v>18</v>
      </c>
      <c r="C1686" s="5">
        <v>91979.78</v>
      </c>
      <c r="D1686" s="5">
        <v>65</v>
      </c>
      <c r="E1686" s="5">
        <v>0</v>
      </c>
      <c r="F1686" s="5">
        <v>0.90200000000000002</v>
      </c>
      <c r="G1686" s="5">
        <v>0.32950000000000002</v>
      </c>
      <c r="H1686" s="5">
        <v>6</v>
      </c>
      <c r="I1686" s="5">
        <v>21871.89</v>
      </c>
      <c r="J1686" s="5">
        <v>16356.39</v>
      </c>
      <c r="K1686" s="5">
        <v>96</v>
      </c>
      <c r="L1686" s="5">
        <v>3</v>
      </c>
      <c r="M1686" s="5">
        <v>2</v>
      </c>
      <c r="N1686" s="5">
        <v>3</v>
      </c>
      <c r="O1686" s="5">
        <v>732.32</v>
      </c>
      <c r="P1686" s="6">
        <v>0</v>
      </c>
    </row>
    <row r="1687" spans="1:16" ht="23.4" x14ac:dyDescent="0.45">
      <c r="A1687" s="4" t="s">
        <v>1672</v>
      </c>
      <c r="B1687" s="5" t="s">
        <v>4</v>
      </c>
      <c r="C1687" s="5">
        <v>133214.87</v>
      </c>
      <c r="D1687" s="5">
        <v>46</v>
      </c>
      <c r="E1687" s="5">
        <v>1</v>
      </c>
      <c r="F1687" s="5">
        <v>6.6600000000000006E-2</v>
      </c>
      <c r="G1687" s="5">
        <v>0.89470000000000005</v>
      </c>
      <c r="H1687" s="5">
        <v>6</v>
      </c>
      <c r="I1687" s="5">
        <v>116534.08</v>
      </c>
      <c r="J1687" s="5">
        <v>57611.77</v>
      </c>
      <c r="K1687" s="5">
        <v>124</v>
      </c>
      <c r="L1687" s="5">
        <v>2</v>
      </c>
      <c r="M1687" s="5">
        <v>2</v>
      </c>
      <c r="N1687" s="5">
        <v>1</v>
      </c>
      <c r="O1687" s="5">
        <v>601</v>
      </c>
      <c r="P1687" s="6">
        <v>1</v>
      </c>
    </row>
    <row r="1688" spans="1:16" ht="23.4" x14ac:dyDescent="0.45">
      <c r="A1688" s="4" t="s">
        <v>1673</v>
      </c>
      <c r="B1688" s="5" t="s">
        <v>6</v>
      </c>
      <c r="C1688" s="5">
        <v>128891.69</v>
      </c>
      <c r="D1688" s="5">
        <v>40</v>
      </c>
      <c r="E1688" s="5">
        <v>0</v>
      </c>
      <c r="F1688" s="5">
        <v>0.7863</v>
      </c>
      <c r="G1688" s="5">
        <v>0.13730000000000001</v>
      </c>
      <c r="H1688" s="5">
        <v>0</v>
      </c>
      <c r="I1688" s="5">
        <v>44306.75</v>
      </c>
      <c r="J1688" s="5">
        <v>22819.87</v>
      </c>
      <c r="K1688" s="5">
        <v>50</v>
      </c>
      <c r="L1688" s="5">
        <v>1</v>
      </c>
      <c r="M1688" s="5">
        <v>1</v>
      </c>
      <c r="N1688" s="5">
        <v>0</v>
      </c>
      <c r="O1688" s="5">
        <v>686.44</v>
      </c>
      <c r="P1688" s="6">
        <v>0</v>
      </c>
    </row>
    <row r="1689" spans="1:16" ht="23.4" x14ac:dyDescent="0.45">
      <c r="A1689" s="4" t="s">
        <v>1674</v>
      </c>
      <c r="B1689" s="5" t="s">
        <v>1</v>
      </c>
      <c r="C1689" s="5">
        <v>62752.68</v>
      </c>
      <c r="D1689" s="5">
        <v>47</v>
      </c>
      <c r="E1689" s="5">
        <v>0</v>
      </c>
      <c r="F1689" s="5">
        <v>0.60329999999999995</v>
      </c>
      <c r="G1689" s="5">
        <v>0.34889999999999999</v>
      </c>
      <c r="H1689" s="5">
        <v>1</v>
      </c>
      <c r="I1689" s="5">
        <v>31971.37</v>
      </c>
      <c r="J1689" s="5">
        <v>39566.410000000003</v>
      </c>
      <c r="K1689" s="5">
        <v>151</v>
      </c>
      <c r="L1689" s="5">
        <v>2</v>
      </c>
      <c r="M1689" s="5">
        <v>1</v>
      </c>
      <c r="N1689" s="5">
        <v>2</v>
      </c>
      <c r="O1689" s="5">
        <v>663.93</v>
      </c>
      <c r="P1689" s="6">
        <v>0</v>
      </c>
    </row>
    <row r="1690" spans="1:16" ht="23.4" x14ac:dyDescent="0.45">
      <c r="A1690" s="4" t="s">
        <v>1675</v>
      </c>
      <c r="B1690" s="5" t="s">
        <v>4</v>
      </c>
      <c r="C1690" s="5">
        <v>188032.81</v>
      </c>
      <c r="D1690" s="5">
        <v>59</v>
      </c>
      <c r="E1690" s="5">
        <v>0</v>
      </c>
      <c r="F1690" s="5">
        <v>0.65959999999999996</v>
      </c>
      <c r="G1690" s="5">
        <v>0.32040000000000002</v>
      </c>
      <c r="H1690" s="5">
        <v>1</v>
      </c>
      <c r="I1690" s="5">
        <v>77784.740000000005</v>
      </c>
      <c r="J1690" s="5">
        <v>46087.14</v>
      </c>
      <c r="K1690" s="5">
        <v>146</v>
      </c>
      <c r="L1690" s="5">
        <v>1</v>
      </c>
      <c r="M1690" s="5">
        <v>1</v>
      </c>
      <c r="N1690" s="5">
        <v>1</v>
      </c>
      <c r="O1690" s="5">
        <v>544.24</v>
      </c>
      <c r="P1690" s="6">
        <v>0</v>
      </c>
    </row>
    <row r="1691" spans="1:16" ht="23.4" x14ac:dyDescent="0.45">
      <c r="A1691" s="4" t="s">
        <v>1676</v>
      </c>
      <c r="B1691" s="5" t="s">
        <v>9</v>
      </c>
      <c r="C1691" s="5">
        <v>107032.11</v>
      </c>
      <c r="D1691" s="5">
        <v>50</v>
      </c>
      <c r="E1691" s="5">
        <v>1</v>
      </c>
      <c r="F1691" s="5">
        <v>0.64570000000000005</v>
      </c>
      <c r="G1691" s="5">
        <v>0.1348</v>
      </c>
      <c r="H1691" s="5">
        <v>3</v>
      </c>
      <c r="I1691" s="5">
        <v>45282.07</v>
      </c>
      <c r="J1691" s="5">
        <v>23613.22</v>
      </c>
      <c r="K1691" s="5">
        <v>69</v>
      </c>
      <c r="L1691" s="5">
        <v>1</v>
      </c>
      <c r="M1691" s="5">
        <v>1</v>
      </c>
      <c r="N1691" s="5">
        <v>1</v>
      </c>
      <c r="O1691" s="5">
        <v>737.21</v>
      </c>
      <c r="P1691" s="6">
        <v>0</v>
      </c>
    </row>
    <row r="1692" spans="1:16" ht="23.4" x14ac:dyDescent="0.45">
      <c r="A1692" s="4" t="s">
        <v>1677</v>
      </c>
      <c r="B1692" s="5" t="s">
        <v>15</v>
      </c>
      <c r="C1692" s="5">
        <v>89431.69</v>
      </c>
      <c r="D1692" s="5">
        <v>36</v>
      </c>
      <c r="E1692" s="5">
        <v>0</v>
      </c>
      <c r="F1692" s="5">
        <v>0.97370000000000001</v>
      </c>
      <c r="G1692" s="5">
        <v>0.53779999999999994</v>
      </c>
      <c r="H1692" s="5">
        <v>4</v>
      </c>
      <c r="I1692" s="5">
        <v>38519.31</v>
      </c>
      <c r="J1692" s="5">
        <v>29506.25</v>
      </c>
      <c r="K1692" s="5">
        <v>159</v>
      </c>
      <c r="L1692" s="5">
        <v>1</v>
      </c>
      <c r="M1692" s="5">
        <v>3</v>
      </c>
      <c r="N1692" s="5">
        <v>0</v>
      </c>
      <c r="O1692" s="5">
        <v>849.53</v>
      </c>
      <c r="P1692" s="6">
        <v>0</v>
      </c>
    </row>
    <row r="1693" spans="1:16" ht="23.4" x14ac:dyDescent="0.45">
      <c r="A1693" s="4" t="s">
        <v>1678</v>
      </c>
      <c r="B1693" s="5" t="s">
        <v>6</v>
      </c>
      <c r="C1693" s="5">
        <v>107574.94</v>
      </c>
      <c r="D1693" s="5">
        <v>24</v>
      </c>
      <c r="E1693" s="5">
        <v>1</v>
      </c>
      <c r="F1693" s="5">
        <v>0.53129999999999999</v>
      </c>
      <c r="G1693" s="5">
        <v>0.10050000000000001</v>
      </c>
      <c r="H1693" s="5">
        <v>0</v>
      </c>
      <c r="I1693" s="5">
        <v>13976.83</v>
      </c>
      <c r="J1693" s="5">
        <v>15448.11</v>
      </c>
      <c r="K1693" s="5">
        <v>23</v>
      </c>
      <c r="L1693" s="5">
        <v>4</v>
      </c>
      <c r="M1693" s="5">
        <v>1</v>
      </c>
      <c r="N1693" s="5">
        <v>1</v>
      </c>
      <c r="O1693" s="5">
        <v>624.41</v>
      </c>
      <c r="P1693" s="6">
        <v>0</v>
      </c>
    </row>
    <row r="1694" spans="1:16" ht="23.4" x14ac:dyDescent="0.45">
      <c r="A1694" s="4" t="s">
        <v>1679</v>
      </c>
      <c r="B1694" s="5" t="s">
        <v>4</v>
      </c>
      <c r="C1694" s="5">
        <v>125977.34</v>
      </c>
      <c r="D1694" s="5">
        <v>57</v>
      </c>
      <c r="E1694" s="5">
        <v>1</v>
      </c>
      <c r="F1694" s="5">
        <v>0.73440000000000005</v>
      </c>
      <c r="G1694" s="5">
        <v>0.59079999999999999</v>
      </c>
      <c r="H1694" s="5">
        <v>4</v>
      </c>
      <c r="I1694" s="5">
        <v>92419.7</v>
      </c>
      <c r="J1694" s="5">
        <v>65127.48</v>
      </c>
      <c r="K1694" s="5">
        <v>153</v>
      </c>
      <c r="L1694" s="5">
        <v>2</v>
      </c>
      <c r="M1694" s="5">
        <v>1</v>
      </c>
      <c r="N1694" s="5">
        <v>1</v>
      </c>
      <c r="O1694" s="5">
        <v>660.08</v>
      </c>
      <c r="P1694" s="6">
        <v>0</v>
      </c>
    </row>
    <row r="1695" spans="1:16" ht="23.4" x14ac:dyDescent="0.45">
      <c r="A1695" s="4" t="s">
        <v>1680</v>
      </c>
      <c r="B1695" s="5" t="s">
        <v>4</v>
      </c>
      <c r="C1695" s="5">
        <v>83517.06</v>
      </c>
      <c r="D1695" s="5">
        <v>55</v>
      </c>
      <c r="E1695" s="5">
        <v>0</v>
      </c>
      <c r="F1695" s="5">
        <v>0.53669999999999995</v>
      </c>
      <c r="G1695" s="5">
        <v>0.48870000000000002</v>
      </c>
      <c r="H1695" s="5">
        <v>2</v>
      </c>
      <c r="I1695" s="5">
        <v>29723.87</v>
      </c>
      <c r="J1695" s="5">
        <v>17695.259999999998</v>
      </c>
      <c r="K1695" s="5">
        <v>40</v>
      </c>
      <c r="L1695" s="5">
        <v>1</v>
      </c>
      <c r="M1695" s="5">
        <v>1</v>
      </c>
      <c r="N1695" s="5">
        <v>1</v>
      </c>
      <c r="O1695" s="5">
        <v>586.41999999999996</v>
      </c>
      <c r="P1695" s="6">
        <v>0</v>
      </c>
    </row>
    <row r="1696" spans="1:16" ht="23.4" x14ac:dyDescent="0.45">
      <c r="A1696" s="4" t="s">
        <v>1255</v>
      </c>
      <c r="B1696" s="5" t="s">
        <v>18</v>
      </c>
      <c r="C1696" s="5">
        <v>121613.3</v>
      </c>
      <c r="D1696" s="5">
        <v>35</v>
      </c>
      <c r="E1696" s="5">
        <v>0</v>
      </c>
      <c r="F1696" s="5">
        <v>0.89680000000000004</v>
      </c>
      <c r="G1696" s="5">
        <v>0.30570000000000003</v>
      </c>
      <c r="H1696" s="5">
        <v>3</v>
      </c>
      <c r="I1696" s="5">
        <v>21564.92</v>
      </c>
      <c r="J1696" s="5">
        <v>12428.97</v>
      </c>
      <c r="K1696" s="5">
        <v>115</v>
      </c>
      <c r="L1696" s="5">
        <v>2</v>
      </c>
      <c r="M1696" s="5">
        <v>3</v>
      </c>
      <c r="N1696" s="5">
        <v>0</v>
      </c>
      <c r="O1696" s="5">
        <v>805.09</v>
      </c>
      <c r="P1696" s="6">
        <v>0</v>
      </c>
    </row>
    <row r="1697" spans="1:16" ht="23.4" x14ac:dyDescent="0.45">
      <c r="A1697" s="4" t="s">
        <v>1681</v>
      </c>
      <c r="B1697" s="5" t="s">
        <v>15</v>
      </c>
      <c r="C1697" s="5">
        <v>69917.59</v>
      </c>
      <c r="D1697" s="5">
        <v>29</v>
      </c>
      <c r="E1697" s="5">
        <v>0</v>
      </c>
      <c r="F1697" s="5">
        <v>0.92349999999999999</v>
      </c>
      <c r="G1697" s="5">
        <v>0.23569999999999999</v>
      </c>
      <c r="H1697" s="5">
        <v>5</v>
      </c>
      <c r="I1697" s="5">
        <v>12699.55</v>
      </c>
      <c r="J1697" s="5">
        <v>29338.47</v>
      </c>
      <c r="K1697" s="5">
        <v>14</v>
      </c>
      <c r="L1697" s="5">
        <v>2</v>
      </c>
      <c r="M1697" s="5">
        <v>2</v>
      </c>
      <c r="N1697" s="5">
        <v>0</v>
      </c>
      <c r="O1697" s="5">
        <v>662.74</v>
      </c>
      <c r="P1697" s="6">
        <v>0</v>
      </c>
    </row>
    <row r="1698" spans="1:16" ht="23.4" x14ac:dyDescent="0.45">
      <c r="A1698" s="4" t="s">
        <v>1682</v>
      </c>
      <c r="B1698" s="5" t="s">
        <v>6</v>
      </c>
      <c r="C1698" s="5">
        <v>140979.76</v>
      </c>
      <c r="D1698" s="5">
        <v>44</v>
      </c>
      <c r="E1698" s="5">
        <v>0</v>
      </c>
      <c r="F1698" s="5">
        <v>0.70609999999999995</v>
      </c>
      <c r="G1698" s="5">
        <v>0.41470000000000001</v>
      </c>
      <c r="H1698" s="5">
        <v>7</v>
      </c>
      <c r="I1698" s="5">
        <v>43885.7</v>
      </c>
      <c r="J1698" s="5">
        <v>32553.439999999999</v>
      </c>
      <c r="K1698" s="5">
        <v>31</v>
      </c>
      <c r="L1698" s="5">
        <v>3</v>
      </c>
      <c r="M1698" s="5">
        <v>1</v>
      </c>
      <c r="N1698" s="5">
        <v>0</v>
      </c>
      <c r="O1698" s="5">
        <v>601.30999999999995</v>
      </c>
      <c r="P1698" s="6">
        <v>0</v>
      </c>
    </row>
    <row r="1699" spans="1:16" ht="23.4" x14ac:dyDescent="0.45">
      <c r="A1699" s="4" t="s">
        <v>1683</v>
      </c>
      <c r="B1699" s="5" t="s">
        <v>9</v>
      </c>
      <c r="C1699" s="5">
        <v>99358.64</v>
      </c>
      <c r="D1699" s="5">
        <v>67</v>
      </c>
      <c r="E1699" s="5">
        <v>1</v>
      </c>
      <c r="F1699" s="5">
        <v>0.48430000000000001</v>
      </c>
      <c r="G1699" s="5">
        <v>6.5799999999999997E-2</v>
      </c>
      <c r="H1699" s="5">
        <v>1</v>
      </c>
      <c r="I1699" s="5">
        <v>5125.17</v>
      </c>
      <c r="J1699" s="5">
        <v>3291.79</v>
      </c>
      <c r="K1699" s="5">
        <v>131</v>
      </c>
      <c r="L1699" s="5">
        <v>1</v>
      </c>
      <c r="M1699" s="5">
        <v>2</v>
      </c>
      <c r="N1699" s="5">
        <v>0</v>
      </c>
      <c r="O1699" s="5">
        <v>844.9</v>
      </c>
      <c r="P1699" s="6">
        <v>0</v>
      </c>
    </row>
    <row r="1700" spans="1:16" ht="23.4" x14ac:dyDescent="0.45">
      <c r="A1700" s="4" t="s">
        <v>1684</v>
      </c>
      <c r="B1700" s="5" t="s">
        <v>1</v>
      </c>
      <c r="C1700" s="5">
        <v>61425.52</v>
      </c>
      <c r="D1700" s="5">
        <v>60</v>
      </c>
      <c r="E1700" s="5">
        <v>1</v>
      </c>
      <c r="F1700" s="5">
        <v>0.50890000000000002</v>
      </c>
      <c r="G1700" s="5">
        <v>0.29780000000000001</v>
      </c>
      <c r="H1700" s="5">
        <v>4</v>
      </c>
      <c r="I1700" s="5">
        <v>35799.300000000003</v>
      </c>
      <c r="J1700" s="5">
        <v>22355.67</v>
      </c>
      <c r="K1700" s="5">
        <v>132</v>
      </c>
      <c r="L1700" s="5">
        <v>1</v>
      </c>
      <c r="M1700" s="5">
        <v>1</v>
      </c>
      <c r="N1700" s="5">
        <v>1</v>
      </c>
      <c r="O1700" s="5">
        <v>708.37</v>
      </c>
      <c r="P1700" s="6">
        <v>0</v>
      </c>
    </row>
    <row r="1701" spans="1:16" ht="23.4" x14ac:dyDescent="0.45">
      <c r="A1701" s="4" t="s">
        <v>1685</v>
      </c>
      <c r="B1701" s="5" t="s">
        <v>15</v>
      </c>
      <c r="C1701" s="5">
        <v>87048.15</v>
      </c>
      <c r="D1701" s="5">
        <v>69</v>
      </c>
      <c r="E1701" s="5">
        <v>0</v>
      </c>
      <c r="F1701" s="5">
        <v>0.43759999999999999</v>
      </c>
      <c r="G1701" s="5">
        <v>0.23130000000000001</v>
      </c>
      <c r="H1701" s="5">
        <v>3</v>
      </c>
      <c r="I1701" s="5">
        <v>18344.43</v>
      </c>
      <c r="J1701" s="5">
        <v>4957.34</v>
      </c>
      <c r="K1701" s="5">
        <v>155</v>
      </c>
      <c r="L1701" s="5">
        <v>2</v>
      </c>
      <c r="M1701" s="5">
        <v>1</v>
      </c>
      <c r="N1701" s="5">
        <v>0</v>
      </c>
      <c r="O1701" s="5">
        <v>756.44</v>
      </c>
      <c r="P1701" s="6">
        <v>0</v>
      </c>
    </row>
    <row r="1702" spans="1:16" ht="23.4" x14ac:dyDescent="0.45">
      <c r="A1702" s="4" t="s">
        <v>1686</v>
      </c>
      <c r="B1702" s="5" t="s">
        <v>1</v>
      </c>
      <c r="C1702" s="5">
        <v>93213.06</v>
      </c>
      <c r="D1702" s="5">
        <v>40</v>
      </c>
      <c r="E1702" s="5">
        <v>1</v>
      </c>
      <c r="F1702" s="5">
        <v>0.75560000000000005</v>
      </c>
      <c r="G1702" s="5">
        <v>0.34789999999999999</v>
      </c>
      <c r="H1702" s="5">
        <v>0</v>
      </c>
      <c r="I1702" s="5">
        <v>40146.17</v>
      </c>
      <c r="J1702" s="5">
        <v>22656.5</v>
      </c>
      <c r="K1702" s="5">
        <v>120</v>
      </c>
      <c r="L1702" s="5">
        <v>1</v>
      </c>
      <c r="M1702" s="5">
        <v>2</v>
      </c>
      <c r="N1702" s="5">
        <v>1</v>
      </c>
      <c r="O1702" s="5">
        <v>699.17</v>
      </c>
      <c r="P1702" s="6">
        <v>0</v>
      </c>
    </row>
    <row r="1703" spans="1:16" ht="23.4" x14ac:dyDescent="0.45">
      <c r="A1703" s="4" t="s">
        <v>1687</v>
      </c>
      <c r="B1703" s="5" t="s">
        <v>9</v>
      </c>
      <c r="C1703" s="5">
        <v>90426.62</v>
      </c>
      <c r="D1703" s="5">
        <v>55</v>
      </c>
      <c r="E1703" s="5">
        <v>0</v>
      </c>
      <c r="F1703" s="5">
        <v>0.60929999999999995</v>
      </c>
      <c r="G1703" s="5">
        <v>0.46610000000000001</v>
      </c>
      <c r="H1703" s="5">
        <v>4</v>
      </c>
      <c r="I1703" s="5">
        <v>85620.57</v>
      </c>
      <c r="J1703" s="5">
        <v>69841.240000000005</v>
      </c>
      <c r="K1703" s="5">
        <v>126</v>
      </c>
      <c r="L1703" s="5">
        <v>2</v>
      </c>
      <c r="M1703" s="5">
        <v>1</v>
      </c>
      <c r="N1703" s="5">
        <v>1</v>
      </c>
      <c r="O1703" s="5">
        <v>627.80999999999995</v>
      </c>
      <c r="P1703" s="6">
        <v>0</v>
      </c>
    </row>
    <row r="1704" spans="1:16" ht="23.4" x14ac:dyDescent="0.45">
      <c r="A1704" s="4" t="s">
        <v>1688</v>
      </c>
      <c r="B1704" s="5" t="s">
        <v>6</v>
      </c>
      <c r="C1704" s="5">
        <v>78336.649999999994</v>
      </c>
      <c r="D1704" s="5">
        <v>65</v>
      </c>
      <c r="E1704" s="5">
        <v>1</v>
      </c>
      <c r="F1704" s="5">
        <v>0.70950000000000002</v>
      </c>
      <c r="G1704" s="5">
        <v>0</v>
      </c>
      <c r="H1704" s="5">
        <v>0</v>
      </c>
      <c r="I1704" s="5">
        <v>500</v>
      </c>
      <c r="J1704" s="5">
        <v>7524.82</v>
      </c>
      <c r="K1704" s="5">
        <v>67</v>
      </c>
      <c r="L1704" s="5">
        <v>4</v>
      </c>
      <c r="M1704" s="5">
        <v>1</v>
      </c>
      <c r="N1704" s="5">
        <v>1</v>
      </c>
      <c r="O1704" s="5">
        <v>707.98</v>
      </c>
      <c r="P1704" s="6">
        <v>0</v>
      </c>
    </row>
    <row r="1705" spans="1:16" ht="23.4" x14ac:dyDescent="0.45">
      <c r="A1705" s="4" t="s">
        <v>1689</v>
      </c>
      <c r="B1705" s="5" t="s">
        <v>4</v>
      </c>
      <c r="C1705" s="5">
        <v>119130.31</v>
      </c>
      <c r="D1705" s="5">
        <v>37</v>
      </c>
      <c r="E1705" s="5">
        <v>0</v>
      </c>
      <c r="F1705" s="5">
        <v>1</v>
      </c>
      <c r="G1705" s="5">
        <v>0.50570000000000004</v>
      </c>
      <c r="H1705" s="5">
        <v>1</v>
      </c>
      <c r="I1705" s="5">
        <v>55222.879999999997</v>
      </c>
      <c r="J1705" s="5">
        <v>51554.78</v>
      </c>
      <c r="K1705" s="5">
        <v>26</v>
      </c>
      <c r="L1705" s="5">
        <v>2</v>
      </c>
      <c r="M1705" s="5">
        <v>2</v>
      </c>
      <c r="N1705" s="5">
        <v>0</v>
      </c>
      <c r="O1705" s="5">
        <v>730.05</v>
      </c>
      <c r="P1705" s="6">
        <v>0</v>
      </c>
    </row>
    <row r="1706" spans="1:16" ht="23.4" x14ac:dyDescent="0.45">
      <c r="A1706" s="4" t="s">
        <v>1690</v>
      </c>
      <c r="B1706" s="5" t="s">
        <v>9</v>
      </c>
      <c r="C1706" s="5">
        <v>85245.25</v>
      </c>
      <c r="D1706" s="5">
        <v>60</v>
      </c>
      <c r="E1706" s="5">
        <v>0</v>
      </c>
      <c r="F1706" s="5">
        <v>1</v>
      </c>
      <c r="G1706" s="5">
        <v>0.21390000000000001</v>
      </c>
      <c r="H1706" s="5">
        <v>3</v>
      </c>
      <c r="I1706" s="5">
        <v>12245.32</v>
      </c>
      <c r="J1706" s="5">
        <v>7404.82</v>
      </c>
      <c r="K1706" s="5">
        <v>107</v>
      </c>
      <c r="L1706" s="5">
        <v>1</v>
      </c>
      <c r="M1706" s="5">
        <v>1</v>
      </c>
      <c r="N1706" s="5">
        <v>1</v>
      </c>
      <c r="O1706" s="5">
        <v>761.48</v>
      </c>
      <c r="P1706" s="6">
        <v>0</v>
      </c>
    </row>
    <row r="1707" spans="1:16" ht="23.4" x14ac:dyDescent="0.45">
      <c r="A1707" s="4" t="s">
        <v>1691</v>
      </c>
      <c r="B1707" s="5" t="s">
        <v>1</v>
      </c>
      <c r="C1707" s="5">
        <v>92120.62</v>
      </c>
      <c r="D1707" s="5">
        <v>21</v>
      </c>
      <c r="E1707" s="5">
        <v>1</v>
      </c>
      <c r="F1707" s="5">
        <v>0.66369999999999996</v>
      </c>
      <c r="G1707" s="5">
        <v>0.18559999999999999</v>
      </c>
      <c r="H1707" s="5">
        <v>0</v>
      </c>
      <c r="I1707" s="5">
        <v>34393.29</v>
      </c>
      <c r="J1707" s="5">
        <v>48558.66</v>
      </c>
      <c r="K1707" s="5">
        <v>69</v>
      </c>
      <c r="L1707" s="5">
        <v>2</v>
      </c>
      <c r="M1707" s="5">
        <v>2</v>
      </c>
      <c r="N1707" s="5">
        <v>1</v>
      </c>
      <c r="O1707" s="5">
        <v>696.25</v>
      </c>
      <c r="P1707" s="6">
        <v>0</v>
      </c>
    </row>
    <row r="1708" spans="1:16" ht="23.4" x14ac:dyDescent="0.45">
      <c r="A1708" s="4" t="s">
        <v>1692</v>
      </c>
      <c r="B1708" s="5" t="s">
        <v>4</v>
      </c>
      <c r="C1708" s="5">
        <v>93326.53</v>
      </c>
      <c r="D1708" s="5">
        <v>34</v>
      </c>
      <c r="E1708" s="5">
        <v>0</v>
      </c>
      <c r="F1708" s="5">
        <v>0.6583</v>
      </c>
      <c r="G1708" s="5">
        <v>0.18770000000000001</v>
      </c>
      <c r="H1708" s="5">
        <v>0</v>
      </c>
      <c r="I1708" s="5">
        <v>36505.58</v>
      </c>
      <c r="J1708" s="5">
        <v>40247.51</v>
      </c>
      <c r="K1708" s="5">
        <v>16</v>
      </c>
      <c r="L1708" s="5">
        <v>1</v>
      </c>
      <c r="M1708" s="5">
        <v>1</v>
      </c>
      <c r="N1708" s="5">
        <v>2</v>
      </c>
      <c r="O1708" s="5">
        <v>628.17999999999995</v>
      </c>
      <c r="P1708" s="6">
        <v>0</v>
      </c>
    </row>
    <row r="1709" spans="1:16" ht="23.4" x14ac:dyDescent="0.45">
      <c r="A1709" s="4" t="s">
        <v>1693</v>
      </c>
      <c r="B1709" s="5" t="s">
        <v>4</v>
      </c>
      <c r="C1709" s="5">
        <v>66974.81</v>
      </c>
      <c r="D1709" s="5">
        <v>65</v>
      </c>
      <c r="E1709" s="5">
        <v>1</v>
      </c>
      <c r="F1709" s="5">
        <v>0.6885</v>
      </c>
      <c r="G1709" s="5">
        <v>3.3000000000000002E-2</v>
      </c>
      <c r="H1709" s="5">
        <v>0</v>
      </c>
      <c r="I1709" s="5">
        <v>1706.05</v>
      </c>
      <c r="J1709" s="5">
        <v>0</v>
      </c>
      <c r="K1709" s="5">
        <v>92</v>
      </c>
      <c r="L1709" s="5">
        <v>1</v>
      </c>
      <c r="M1709" s="5">
        <v>3</v>
      </c>
      <c r="N1709" s="5">
        <v>0</v>
      </c>
      <c r="O1709" s="5">
        <v>752.06</v>
      </c>
      <c r="P1709" s="6">
        <v>0</v>
      </c>
    </row>
    <row r="1710" spans="1:16" ht="23.4" x14ac:dyDescent="0.45">
      <c r="A1710" s="4" t="s">
        <v>1343</v>
      </c>
      <c r="B1710" s="5" t="s">
        <v>1</v>
      </c>
      <c r="C1710" s="5">
        <v>16983.57</v>
      </c>
      <c r="D1710" s="5">
        <v>67</v>
      </c>
      <c r="E1710" s="5">
        <v>1</v>
      </c>
      <c r="F1710" s="5">
        <v>0.4632</v>
      </c>
      <c r="G1710" s="5">
        <v>0.43330000000000002</v>
      </c>
      <c r="H1710" s="5">
        <v>6</v>
      </c>
      <c r="I1710" s="5">
        <v>10777.82</v>
      </c>
      <c r="J1710" s="5">
        <v>8303.7099999999991</v>
      </c>
      <c r="K1710" s="5">
        <v>54</v>
      </c>
      <c r="L1710" s="5">
        <v>2</v>
      </c>
      <c r="M1710" s="5">
        <v>1</v>
      </c>
      <c r="N1710" s="5">
        <v>0</v>
      </c>
      <c r="O1710" s="5">
        <v>800.86</v>
      </c>
      <c r="P1710" s="6">
        <v>0</v>
      </c>
    </row>
    <row r="1711" spans="1:16" ht="23.4" x14ac:dyDescent="0.45">
      <c r="A1711" s="4" t="s">
        <v>1694</v>
      </c>
      <c r="B1711" s="5" t="s">
        <v>1</v>
      </c>
      <c r="C1711" s="5">
        <v>102724.45</v>
      </c>
      <c r="D1711" s="5">
        <v>69</v>
      </c>
      <c r="E1711" s="5">
        <v>0</v>
      </c>
      <c r="F1711" s="5">
        <v>0.7248</v>
      </c>
      <c r="G1711" s="5">
        <v>0.13589999999999999</v>
      </c>
      <c r="H1711" s="5">
        <v>4</v>
      </c>
      <c r="I1711" s="5">
        <v>20286.150000000001</v>
      </c>
      <c r="J1711" s="5">
        <v>6739.68</v>
      </c>
      <c r="K1711" s="5">
        <v>16</v>
      </c>
      <c r="L1711" s="5">
        <v>2</v>
      </c>
      <c r="M1711" s="5">
        <v>1</v>
      </c>
      <c r="N1711" s="5">
        <v>1</v>
      </c>
      <c r="O1711" s="5">
        <v>683.83</v>
      </c>
      <c r="P1711" s="6">
        <v>0</v>
      </c>
    </row>
    <row r="1712" spans="1:16" ht="23.4" x14ac:dyDescent="0.45">
      <c r="A1712" s="4" t="s">
        <v>1695</v>
      </c>
      <c r="B1712" s="5" t="s">
        <v>18</v>
      </c>
      <c r="C1712" s="5">
        <v>83783.81</v>
      </c>
      <c r="D1712" s="5">
        <v>67</v>
      </c>
      <c r="E1712" s="5">
        <v>1</v>
      </c>
      <c r="F1712" s="5">
        <v>0.61619999999999997</v>
      </c>
      <c r="G1712" s="5">
        <v>0.55459999999999998</v>
      </c>
      <c r="H1712" s="5">
        <v>1</v>
      </c>
      <c r="I1712" s="5">
        <v>76260.31</v>
      </c>
      <c r="J1712" s="5">
        <v>47201.3</v>
      </c>
      <c r="K1712" s="5">
        <v>26</v>
      </c>
      <c r="L1712" s="5">
        <v>1</v>
      </c>
      <c r="M1712" s="5">
        <v>2</v>
      </c>
      <c r="N1712" s="5">
        <v>2</v>
      </c>
      <c r="O1712" s="5">
        <v>701.39</v>
      </c>
      <c r="P1712" s="6">
        <v>0</v>
      </c>
    </row>
    <row r="1713" spans="1:16" ht="23.4" x14ac:dyDescent="0.45">
      <c r="A1713" s="4" t="s">
        <v>1696</v>
      </c>
      <c r="B1713" s="5" t="s">
        <v>1</v>
      </c>
      <c r="C1713" s="5">
        <v>49265.2</v>
      </c>
      <c r="D1713" s="5">
        <v>55</v>
      </c>
      <c r="E1713" s="5">
        <v>0</v>
      </c>
      <c r="F1713" s="5">
        <v>0.67079999999999995</v>
      </c>
      <c r="G1713" s="5">
        <v>0.62429999999999997</v>
      </c>
      <c r="H1713" s="5">
        <v>5</v>
      </c>
      <c r="I1713" s="5">
        <v>33364.449999999997</v>
      </c>
      <c r="J1713" s="5">
        <v>18152.54</v>
      </c>
      <c r="K1713" s="5">
        <v>36</v>
      </c>
      <c r="L1713" s="5">
        <v>1</v>
      </c>
      <c r="M1713" s="5">
        <v>2</v>
      </c>
      <c r="N1713" s="5">
        <v>0</v>
      </c>
      <c r="O1713" s="5">
        <v>703.34</v>
      </c>
      <c r="P1713" s="6">
        <v>0</v>
      </c>
    </row>
    <row r="1714" spans="1:16" ht="23.4" x14ac:dyDescent="0.45">
      <c r="A1714" s="4" t="s">
        <v>1697</v>
      </c>
      <c r="B1714" s="5" t="s">
        <v>1</v>
      </c>
      <c r="C1714" s="5">
        <v>110255.41</v>
      </c>
      <c r="D1714" s="5">
        <v>31</v>
      </c>
      <c r="E1714" s="5">
        <v>1</v>
      </c>
      <c r="F1714" s="5">
        <v>0.41520000000000001</v>
      </c>
      <c r="G1714" s="5">
        <v>0.53100000000000003</v>
      </c>
      <c r="H1714" s="5">
        <v>5</v>
      </c>
      <c r="I1714" s="5">
        <v>44905.55</v>
      </c>
      <c r="J1714" s="5">
        <v>20089.37</v>
      </c>
      <c r="K1714" s="5">
        <v>7</v>
      </c>
      <c r="L1714" s="5">
        <v>2</v>
      </c>
      <c r="M1714" s="5">
        <v>3</v>
      </c>
      <c r="N1714" s="5">
        <v>0</v>
      </c>
      <c r="O1714" s="5">
        <v>645.1</v>
      </c>
      <c r="P1714" s="6">
        <v>0</v>
      </c>
    </row>
    <row r="1715" spans="1:16" ht="23.4" x14ac:dyDescent="0.45">
      <c r="A1715" s="4" t="s">
        <v>1698</v>
      </c>
      <c r="B1715" s="5" t="s">
        <v>1</v>
      </c>
      <c r="C1715" s="5">
        <v>140657.25</v>
      </c>
      <c r="D1715" s="5">
        <v>24</v>
      </c>
      <c r="E1715" s="5">
        <v>0</v>
      </c>
      <c r="F1715" s="5">
        <v>0.89729999999999999</v>
      </c>
      <c r="G1715" s="5">
        <v>0.11509999999999999</v>
      </c>
      <c r="H1715" s="5">
        <v>1</v>
      </c>
      <c r="I1715" s="5">
        <v>8824.4599999999991</v>
      </c>
      <c r="J1715" s="5">
        <v>3336.76</v>
      </c>
      <c r="K1715" s="5">
        <v>119</v>
      </c>
      <c r="L1715" s="5">
        <v>3</v>
      </c>
      <c r="M1715" s="5">
        <v>1</v>
      </c>
      <c r="N1715" s="5">
        <v>1</v>
      </c>
      <c r="O1715" s="5">
        <v>717.78</v>
      </c>
      <c r="P1715" s="6">
        <v>0</v>
      </c>
    </row>
    <row r="1716" spans="1:16" ht="23.4" x14ac:dyDescent="0.45">
      <c r="A1716" s="4" t="s">
        <v>1699</v>
      </c>
      <c r="B1716" s="5" t="s">
        <v>15</v>
      </c>
      <c r="C1716" s="5">
        <v>24638.58</v>
      </c>
      <c r="D1716" s="5">
        <v>57</v>
      </c>
      <c r="E1716" s="5">
        <v>0</v>
      </c>
      <c r="F1716" s="5">
        <v>0.55820000000000003</v>
      </c>
      <c r="G1716" s="5">
        <v>0.3286</v>
      </c>
      <c r="H1716" s="5">
        <v>6</v>
      </c>
      <c r="I1716" s="5">
        <v>500</v>
      </c>
      <c r="J1716" s="5">
        <v>1011.59</v>
      </c>
      <c r="K1716" s="5">
        <v>110</v>
      </c>
      <c r="L1716" s="5">
        <v>1</v>
      </c>
      <c r="M1716" s="5">
        <v>1</v>
      </c>
      <c r="N1716" s="5">
        <v>0</v>
      </c>
      <c r="O1716" s="5">
        <v>667.87</v>
      </c>
      <c r="P1716" s="6">
        <v>0</v>
      </c>
    </row>
    <row r="1717" spans="1:16" ht="23.4" x14ac:dyDescent="0.45">
      <c r="A1717" s="4" t="s">
        <v>1700</v>
      </c>
      <c r="B1717" s="5" t="s">
        <v>1</v>
      </c>
      <c r="C1717" s="5">
        <v>33572.6</v>
      </c>
      <c r="D1717" s="5">
        <v>44</v>
      </c>
      <c r="E1717" s="5">
        <v>1</v>
      </c>
      <c r="F1717" s="5">
        <v>0.70369999999999999</v>
      </c>
      <c r="G1717" s="5">
        <v>0.44109999999999999</v>
      </c>
      <c r="H1717" s="5">
        <v>3</v>
      </c>
      <c r="I1717" s="5">
        <v>8941.49</v>
      </c>
      <c r="J1717" s="5">
        <v>4671.0200000000004</v>
      </c>
      <c r="K1717" s="5">
        <v>101</v>
      </c>
      <c r="L1717" s="5">
        <v>2</v>
      </c>
      <c r="M1717" s="5">
        <v>2</v>
      </c>
      <c r="N1717" s="5">
        <v>0</v>
      </c>
      <c r="O1717" s="5">
        <v>696.8</v>
      </c>
      <c r="P1717" s="6">
        <v>0</v>
      </c>
    </row>
    <row r="1718" spans="1:16" ht="23.4" x14ac:dyDescent="0.45">
      <c r="A1718" s="4" t="s">
        <v>1701</v>
      </c>
      <c r="B1718" s="5" t="s">
        <v>9</v>
      </c>
      <c r="C1718" s="5">
        <v>55199.53</v>
      </c>
      <c r="D1718" s="5">
        <v>42</v>
      </c>
      <c r="E1718" s="5">
        <v>1</v>
      </c>
      <c r="F1718" s="5">
        <v>0.83079999999999998</v>
      </c>
      <c r="G1718" s="5">
        <v>0.47339999999999999</v>
      </c>
      <c r="H1718" s="5">
        <v>3</v>
      </c>
      <c r="I1718" s="5">
        <v>27407.13</v>
      </c>
      <c r="J1718" s="5">
        <v>28078.55</v>
      </c>
      <c r="K1718" s="5">
        <v>67</v>
      </c>
      <c r="L1718" s="5">
        <v>2</v>
      </c>
      <c r="M1718" s="5">
        <v>1</v>
      </c>
      <c r="N1718" s="5">
        <v>0</v>
      </c>
      <c r="O1718" s="5">
        <v>696.85</v>
      </c>
      <c r="P1718" s="6">
        <v>0</v>
      </c>
    </row>
    <row r="1719" spans="1:16" ht="23.4" x14ac:dyDescent="0.45">
      <c r="A1719" s="4" t="s">
        <v>1702</v>
      </c>
      <c r="B1719" s="5" t="s">
        <v>15</v>
      </c>
      <c r="C1719" s="5">
        <v>2000</v>
      </c>
      <c r="D1719" s="5">
        <v>61</v>
      </c>
      <c r="E1719" s="5">
        <v>0</v>
      </c>
      <c r="F1719" s="5">
        <v>0.35620000000000002</v>
      </c>
      <c r="G1719" s="5">
        <v>0.60580000000000001</v>
      </c>
      <c r="H1719" s="5">
        <v>2</v>
      </c>
      <c r="I1719" s="5">
        <v>500</v>
      </c>
      <c r="J1719" s="5">
        <v>5844.29</v>
      </c>
      <c r="K1719" s="5">
        <v>17</v>
      </c>
      <c r="L1719" s="5">
        <v>2</v>
      </c>
      <c r="M1719" s="5">
        <v>3</v>
      </c>
      <c r="N1719" s="5">
        <v>0</v>
      </c>
      <c r="O1719" s="5">
        <v>647.16</v>
      </c>
      <c r="P1719" s="6">
        <v>0</v>
      </c>
    </row>
    <row r="1720" spans="1:16" ht="23.4" x14ac:dyDescent="0.45">
      <c r="A1720" s="4" t="s">
        <v>1703</v>
      </c>
      <c r="B1720" s="5" t="s">
        <v>9</v>
      </c>
      <c r="C1720" s="5">
        <v>73945.41</v>
      </c>
      <c r="D1720" s="5">
        <v>29</v>
      </c>
      <c r="E1720" s="5">
        <v>0</v>
      </c>
      <c r="F1720" s="5">
        <v>0.61470000000000002</v>
      </c>
      <c r="G1720" s="5">
        <v>0.59289999999999998</v>
      </c>
      <c r="H1720" s="5">
        <v>4</v>
      </c>
      <c r="I1720" s="5">
        <v>49314.92</v>
      </c>
      <c r="J1720" s="5">
        <v>36330.230000000003</v>
      </c>
      <c r="K1720" s="5">
        <v>123</v>
      </c>
      <c r="L1720" s="5">
        <v>3</v>
      </c>
      <c r="M1720" s="5">
        <v>2</v>
      </c>
      <c r="N1720" s="5">
        <v>1</v>
      </c>
      <c r="O1720" s="5">
        <v>597.09</v>
      </c>
      <c r="P1720" s="6">
        <v>0</v>
      </c>
    </row>
    <row r="1721" spans="1:16" ht="23.4" x14ac:dyDescent="0.45">
      <c r="A1721" s="4" t="s">
        <v>1704</v>
      </c>
      <c r="B1721" s="5" t="s">
        <v>4</v>
      </c>
      <c r="C1721" s="5">
        <v>156010.51</v>
      </c>
      <c r="D1721" s="5">
        <v>32</v>
      </c>
      <c r="E1721" s="5">
        <v>1</v>
      </c>
      <c r="F1721" s="5">
        <v>0.75729999999999997</v>
      </c>
      <c r="G1721" s="5">
        <v>0.38600000000000001</v>
      </c>
      <c r="H1721" s="5">
        <v>1</v>
      </c>
      <c r="I1721" s="5">
        <v>47259.35</v>
      </c>
      <c r="J1721" s="5">
        <v>48592.26</v>
      </c>
      <c r="K1721" s="5">
        <v>124</v>
      </c>
      <c r="L1721" s="5">
        <v>1</v>
      </c>
      <c r="M1721" s="5">
        <v>2</v>
      </c>
      <c r="N1721" s="5">
        <v>1</v>
      </c>
      <c r="O1721" s="5">
        <v>741.92</v>
      </c>
      <c r="P1721" s="6">
        <v>0</v>
      </c>
    </row>
    <row r="1722" spans="1:16" ht="23.4" x14ac:dyDescent="0.45">
      <c r="A1722" s="4" t="s">
        <v>1705</v>
      </c>
      <c r="B1722" s="5" t="s">
        <v>4</v>
      </c>
      <c r="C1722" s="5">
        <v>54224.45</v>
      </c>
      <c r="D1722" s="5">
        <v>61</v>
      </c>
      <c r="E1722" s="5">
        <v>1</v>
      </c>
      <c r="F1722" s="5">
        <v>1</v>
      </c>
      <c r="G1722" s="5">
        <v>0.28560000000000002</v>
      </c>
      <c r="H1722" s="5">
        <v>1</v>
      </c>
      <c r="I1722" s="5">
        <v>5035.45</v>
      </c>
      <c r="J1722" s="5">
        <v>16066.81</v>
      </c>
      <c r="K1722" s="5">
        <v>160</v>
      </c>
      <c r="L1722" s="5">
        <v>1</v>
      </c>
      <c r="M1722" s="5">
        <v>1</v>
      </c>
      <c r="N1722" s="5">
        <v>0</v>
      </c>
      <c r="O1722" s="5">
        <v>716.34</v>
      </c>
      <c r="P1722" s="6">
        <v>0</v>
      </c>
    </row>
    <row r="1723" spans="1:16" ht="23.4" x14ac:dyDescent="0.45">
      <c r="A1723" s="4" t="s">
        <v>1706</v>
      </c>
      <c r="B1723" s="5" t="s">
        <v>9</v>
      </c>
      <c r="C1723" s="5">
        <v>87992.44</v>
      </c>
      <c r="D1723" s="5">
        <v>56</v>
      </c>
      <c r="E1723" s="5">
        <v>1</v>
      </c>
      <c r="F1723" s="5">
        <v>0.88290000000000002</v>
      </c>
      <c r="G1723" s="5">
        <v>0.61680000000000001</v>
      </c>
      <c r="H1723" s="5">
        <v>1</v>
      </c>
      <c r="I1723" s="5">
        <v>67814.850000000006</v>
      </c>
      <c r="J1723" s="5">
        <v>44655.4</v>
      </c>
      <c r="K1723" s="5">
        <v>78</v>
      </c>
      <c r="L1723" s="5">
        <v>3</v>
      </c>
      <c r="M1723" s="5">
        <v>1</v>
      </c>
      <c r="N1723" s="5">
        <v>0</v>
      </c>
      <c r="O1723" s="5">
        <v>697.61</v>
      </c>
      <c r="P1723" s="6">
        <v>0</v>
      </c>
    </row>
    <row r="1724" spans="1:16" ht="23.4" x14ac:dyDescent="0.45">
      <c r="A1724" s="4" t="s">
        <v>1707</v>
      </c>
      <c r="B1724" s="5" t="s">
        <v>6</v>
      </c>
      <c r="C1724" s="5">
        <v>33880.85</v>
      </c>
      <c r="D1724" s="5">
        <v>30</v>
      </c>
      <c r="E1724" s="5">
        <v>0</v>
      </c>
      <c r="F1724" s="5">
        <v>0.52559999999999996</v>
      </c>
      <c r="G1724" s="5">
        <v>0.64729999999999999</v>
      </c>
      <c r="H1724" s="5">
        <v>6</v>
      </c>
      <c r="I1724" s="5">
        <v>43941.91</v>
      </c>
      <c r="J1724" s="5">
        <v>30820.62</v>
      </c>
      <c r="K1724" s="5">
        <v>103</v>
      </c>
      <c r="L1724" s="5">
        <v>1</v>
      </c>
      <c r="M1724" s="5">
        <v>3</v>
      </c>
      <c r="N1724" s="5">
        <v>0</v>
      </c>
      <c r="O1724" s="5">
        <v>704.18</v>
      </c>
      <c r="P1724" s="6">
        <v>0</v>
      </c>
    </row>
    <row r="1725" spans="1:16" ht="23.4" x14ac:dyDescent="0.45">
      <c r="A1725" s="4" t="s">
        <v>1708</v>
      </c>
      <c r="B1725" s="5" t="s">
        <v>9</v>
      </c>
      <c r="C1725" s="5">
        <v>10022.969999999999</v>
      </c>
      <c r="D1725" s="5">
        <v>48</v>
      </c>
      <c r="E1725" s="5">
        <v>1</v>
      </c>
      <c r="F1725" s="5">
        <v>0.72850000000000004</v>
      </c>
      <c r="G1725" s="5">
        <v>0.40689999999999998</v>
      </c>
      <c r="H1725" s="5">
        <v>0</v>
      </c>
      <c r="I1725" s="5">
        <v>10847</v>
      </c>
      <c r="J1725" s="5">
        <v>8340.68</v>
      </c>
      <c r="K1725" s="5">
        <v>109</v>
      </c>
      <c r="L1725" s="5">
        <v>1</v>
      </c>
      <c r="M1725" s="5">
        <v>1</v>
      </c>
      <c r="N1725" s="5">
        <v>1</v>
      </c>
      <c r="O1725" s="5">
        <v>575.76</v>
      </c>
      <c r="P1725" s="6">
        <v>0</v>
      </c>
    </row>
    <row r="1726" spans="1:16" ht="23.4" x14ac:dyDescent="0.45">
      <c r="A1726" s="4" t="s">
        <v>1709</v>
      </c>
      <c r="B1726" s="5" t="s">
        <v>15</v>
      </c>
      <c r="C1726" s="5">
        <v>79440.42</v>
      </c>
      <c r="D1726" s="5">
        <v>44</v>
      </c>
      <c r="E1726" s="5">
        <v>1</v>
      </c>
      <c r="F1726" s="5">
        <v>0.69879999999999998</v>
      </c>
      <c r="G1726" s="5">
        <v>0.76280000000000003</v>
      </c>
      <c r="H1726" s="5">
        <v>3</v>
      </c>
      <c r="I1726" s="5">
        <v>70480.22</v>
      </c>
      <c r="J1726" s="5">
        <v>50287.77</v>
      </c>
      <c r="K1726" s="5">
        <v>168</v>
      </c>
      <c r="L1726" s="5">
        <v>4</v>
      </c>
      <c r="M1726" s="5">
        <v>1</v>
      </c>
      <c r="N1726" s="5">
        <v>2</v>
      </c>
      <c r="O1726" s="5">
        <v>664.78</v>
      </c>
      <c r="P1726" s="6">
        <v>0</v>
      </c>
    </row>
    <row r="1727" spans="1:16" ht="23.4" x14ac:dyDescent="0.45">
      <c r="A1727" s="4" t="s">
        <v>1710</v>
      </c>
      <c r="B1727" s="5" t="s">
        <v>6</v>
      </c>
      <c r="C1727" s="5">
        <v>103717.95</v>
      </c>
      <c r="D1727" s="5">
        <v>57</v>
      </c>
      <c r="E1727" s="5">
        <v>0</v>
      </c>
      <c r="F1727" s="5">
        <v>0.79730000000000001</v>
      </c>
      <c r="G1727" s="5">
        <v>0.44979999999999998</v>
      </c>
      <c r="H1727" s="5">
        <v>3</v>
      </c>
      <c r="I1727" s="5">
        <v>52570.34</v>
      </c>
      <c r="J1727" s="5">
        <v>38003.21</v>
      </c>
      <c r="K1727" s="5">
        <v>119</v>
      </c>
      <c r="L1727" s="5">
        <v>2</v>
      </c>
      <c r="M1727" s="5">
        <v>1</v>
      </c>
      <c r="N1727" s="5">
        <v>0</v>
      </c>
      <c r="O1727" s="5">
        <v>763</v>
      </c>
      <c r="P1727" s="6">
        <v>0</v>
      </c>
    </row>
    <row r="1728" spans="1:16" ht="23.4" x14ac:dyDescent="0.45">
      <c r="A1728" s="4" t="s">
        <v>1711</v>
      </c>
      <c r="B1728" s="5" t="s">
        <v>4</v>
      </c>
      <c r="C1728" s="5">
        <v>89085.77</v>
      </c>
      <c r="D1728" s="5">
        <v>64</v>
      </c>
      <c r="E1728" s="5">
        <v>0</v>
      </c>
      <c r="F1728" s="5">
        <v>0.56130000000000002</v>
      </c>
      <c r="G1728" s="5">
        <v>0.5454</v>
      </c>
      <c r="H1728" s="5">
        <v>0</v>
      </c>
      <c r="I1728" s="5">
        <v>65377.38</v>
      </c>
      <c r="J1728" s="5">
        <v>40126.629999999997</v>
      </c>
      <c r="K1728" s="5">
        <v>19</v>
      </c>
      <c r="L1728" s="5">
        <v>1</v>
      </c>
      <c r="M1728" s="5">
        <v>1</v>
      </c>
      <c r="N1728" s="5">
        <v>1</v>
      </c>
      <c r="O1728" s="5">
        <v>664.42</v>
      </c>
      <c r="P1728" s="6">
        <v>0</v>
      </c>
    </row>
    <row r="1729" spans="1:16" ht="23.4" x14ac:dyDescent="0.45">
      <c r="A1729" s="4" t="s">
        <v>1712</v>
      </c>
      <c r="B1729" s="5" t="s">
        <v>1</v>
      </c>
      <c r="C1729" s="5">
        <v>14465.76</v>
      </c>
      <c r="D1729" s="5">
        <v>61</v>
      </c>
      <c r="E1729" s="5">
        <v>0</v>
      </c>
      <c r="F1729" s="5">
        <v>0.52080000000000004</v>
      </c>
      <c r="G1729" s="5">
        <v>0.28489999999999999</v>
      </c>
      <c r="H1729" s="5">
        <v>7</v>
      </c>
      <c r="I1729" s="5">
        <v>500</v>
      </c>
      <c r="J1729" s="5">
        <v>4993.46</v>
      </c>
      <c r="K1729" s="5">
        <v>60</v>
      </c>
      <c r="L1729" s="5">
        <v>2</v>
      </c>
      <c r="M1729" s="5">
        <v>1</v>
      </c>
      <c r="N1729" s="5">
        <v>0</v>
      </c>
      <c r="O1729" s="5">
        <v>639.75</v>
      </c>
      <c r="P1729" s="6">
        <v>0</v>
      </c>
    </row>
    <row r="1730" spans="1:16" ht="23.4" x14ac:dyDescent="0.45">
      <c r="A1730" s="4" t="s">
        <v>1713</v>
      </c>
      <c r="B1730" s="5" t="s">
        <v>6</v>
      </c>
      <c r="C1730" s="5">
        <v>142203.6</v>
      </c>
      <c r="D1730" s="5">
        <v>52</v>
      </c>
      <c r="E1730" s="5">
        <v>0</v>
      </c>
      <c r="F1730" s="5">
        <v>0.48509999999999998</v>
      </c>
      <c r="G1730" s="5">
        <v>0.36759999999999998</v>
      </c>
      <c r="H1730" s="5">
        <v>5</v>
      </c>
      <c r="I1730" s="5">
        <v>33996.800000000003</v>
      </c>
      <c r="J1730" s="5">
        <v>22699.14</v>
      </c>
      <c r="K1730" s="5">
        <v>7</v>
      </c>
      <c r="L1730" s="5">
        <v>2</v>
      </c>
      <c r="M1730" s="5">
        <v>1</v>
      </c>
      <c r="N1730" s="5">
        <v>1</v>
      </c>
      <c r="O1730" s="5">
        <v>850</v>
      </c>
      <c r="P1730" s="6">
        <v>0</v>
      </c>
    </row>
    <row r="1731" spans="1:16" ht="23.4" x14ac:dyDescent="0.45">
      <c r="A1731" s="4" t="s">
        <v>1714</v>
      </c>
      <c r="B1731" s="5" t="s">
        <v>6</v>
      </c>
      <c r="C1731" s="5">
        <v>63609.9</v>
      </c>
      <c r="D1731" s="5">
        <v>51</v>
      </c>
      <c r="E1731" s="5">
        <v>0</v>
      </c>
      <c r="F1731" s="5">
        <v>0.72729999999999995</v>
      </c>
      <c r="G1731" s="5">
        <v>0.29780000000000001</v>
      </c>
      <c r="H1731" s="5">
        <v>2</v>
      </c>
      <c r="I1731" s="5">
        <v>48311.87</v>
      </c>
      <c r="J1731" s="5">
        <v>34640.769999999997</v>
      </c>
      <c r="K1731" s="5">
        <v>53</v>
      </c>
      <c r="L1731" s="5">
        <v>1</v>
      </c>
      <c r="M1731" s="5">
        <v>2</v>
      </c>
      <c r="N1731" s="5">
        <v>0</v>
      </c>
      <c r="O1731" s="5">
        <v>687.54</v>
      </c>
      <c r="P1731" s="6">
        <v>0</v>
      </c>
    </row>
    <row r="1732" spans="1:16" ht="23.4" x14ac:dyDescent="0.45">
      <c r="A1732" s="4" t="s">
        <v>231</v>
      </c>
      <c r="B1732" s="5" t="s">
        <v>4</v>
      </c>
      <c r="C1732" s="5">
        <v>120716.38</v>
      </c>
      <c r="D1732" s="5">
        <v>65</v>
      </c>
      <c r="E1732" s="5">
        <v>1</v>
      </c>
      <c r="F1732" s="5">
        <v>1</v>
      </c>
      <c r="G1732" s="5">
        <v>0.2954</v>
      </c>
      <c r="H1732" s="5">
        <v>0</v>
      </c>
      <c r="I1732" s="5">
        <v>40938.19</v>
      </c>
      <c r="J1732" s="5">
        <v>44539.34</v>
      </c>
      <c r="K1732" s="5">
        <v>59</v>
      </c>
      <c r="L1732" s="5">
        <v>2</v>
      </c>
      <c r="M1732" s="5">
        <v>2</v>
      </c>
      <c r="N1732" s="5">
        <v>0</v>
      </c>
      <c r="O1732" s="5">
        <v>850</v>
      </c>
      <c r="P1732" s="6">
        <v>0</v>
      </c>
    </row>
    <row r="1733" spans="1:16" ht="23.4" x14ac:dyDescent="0.45">
      <c r="A1733" s="4" t="s">
        <v>1715</v>
      </c>
      <c r="B1733" s="5" t="s">
        <v>6</v>
      </c>
      <c r="C1733" s="5">
        <v>112500.47</v>
      </c>
      <c r="D1733" s="5">
        <v>41</v>
      </c>
      <c r="E1733" s="5">
        <v>1</v>
      </c>
      <c r="F1733" s="5">
        <v>0.70750000000000002</v>
      </c>
      <c r="G1733" s="5">
        <v>0.54930000000000001</v>
      </c>
      <c r="H1733" s="5">
        <v>0</v>
      </c>
      <c r="I1733" s="5">
        <v>78418.05</v>
      </c>
      <c r="J1733" s="5">
        <v>61132.27</v>
      </c>
      <c r="K1733" s="5">
        <v>157</v>
      </c>
      <c r="L1733" s="5">
        <v>2</v>
      </c>
      <c r="M1733" s="5">
        <v>1</v>
      </c>
      <c r="N1733" s="5">
        <v>0</v>
      </c>
      <c r="O1733" s="5">
        <v>677.94</v>
      </c>
      <c r="P1733" s="6">
        <v>0</v>
      </c>
    </row>
    <row r="1734" spans="1:16" ht="23.4" x14ac:dyDescent="0.45">
      <c r="A1734" s="4" t="s">
        <v>1716</v>
      </c>
      <c r="B1734" s="5" t="s">
        <v>15</v>
      </c>
      <c r="C1734" s="5">
        <v>39045.99</v>
      </c>
      <c r="D1734" s="5">
        <v>35</v>
      </c>
      <c r="E1734" s="5">
        <v>0</v>
      </c>
      <c r="F1734" s="5">
        <v>0.48209999999999997</v>
      </c>
      <c r="G1734" s="5">
        <v>0.30869999999999997</v>
      </c>
      <c r="H1734" s="5">
        <v>0</v>
      </c>
      <c r="I1734" s="5">
        <v>9366.34</v>
      </c>
      <c r="J1734" s="5">
        <v>3534.68</v>
      </c>
      <c r="K1734" s="5">
        <v>67</v>
      </c>
      <c r="L1734" s="5">
        <v>2</v>
      </c>
      <c r="M1734" s="5">
        <v>1</v>
      </c>
      <c r="N1734" s="5">
        <v>0</v>
      </c>
      <c r="O1734" s="5">
        <v>682.78</v>
      </c>
      <c r="P1734" s="6">
        <v>0</v>
      </c>
    </row>
    <row r="1735" spans="1:16" ht="23.4" x14ac:dyDescent="0.45">
      <c r="A1735" s="4" t="s">
        <v>1717</v>
      </c>
      <c r="B1735" s="5" t="s">
        <v>6</v>
      </c>
      <c r="C1735" s="5">
        <v>89319.77</v>
      </c>
      <c r="D1735" s="5">
        <v>33</v>
      </c>
      <c r="E1735" s="5">
        <v>0</v>
      </c>
      <c r="F1735" s="5">
        <v>0.74939999999999996</v>
      </c>
      <c r="G1735" s="5">
        <v>0.84309999999999996</v>
      </c>
      <c r="H1735" s="5">
        <v>3</v>
      </c>
      <c r="I1735" s="5">
        <v>74031.75</v>
      </c>
      <c r="J1735" s="5">
        <v>53376.11</v>
      </c>
      <c r="K1735" s="5">
        <v>174</v>
      </c>
      <c r="L1735" s="5">
        <v>1</v>
      </c>
      <c r="M1735" s="5">
        <v>2</v>
      </c>
      <c r="N1735" s="5">
        <v>0</v>
      </c>
      <c r="O1735" s="5">
        <v>721.45</v>
      </c>
      <c r="P1735" s="6">
        <v>0</v>
      </c>
    </row>
    <row r="1736" spans="1:16" ht="23.4" x14ac:dyDescent="0.45">
      <c r="A1736" s="4" t="s">
        <v>1718</v>
      </c>
      <c r="B1736" s="5" t="s">
        <v>18</v>
      </c>
      <c r="C1736" s="5">
        <v>105885.24</v>
      </c>
      <c r="D1736" s="5">
        <v>41</v>
      </c>
      <c r="E1736" s="5">
        <v>1</v>
      </c>
      <c r="F1736" s="5">
        <v>0.48130000000000001</v>
      </c>
      <c r="G1736" s="5">
        <v>0.54430000000000001</v>
      </c>
      <c r="H1736" s="5">
        <v>2</v>
      </c>
      <c r="I1736" s="5">
        <v>56023.95</v>
      </c>
      <c r="J1736" s="5">
        <v>40465.18</v>
      </c>
      <c r="K1736" s="5">
        <v>105</v>
      </c>
      <c r="L1736" s="5">
        <v>1</v>
      </c>
      <c r="M1736" s="5">
        <v>3</v>
      </c>
      <c r="N1736" s="5">
        <v>0</v>
      </c>
      <c r="O1736" s="5">
        <v>589.41999999999996</v>
      </c>
      <c r="P1736" s="6">
        <v>1</v>
      </c>
    </row>
    <row r="1737" spans="1:16" ht="23.4" x14ac:dyDescent="0.45">
      <c r="A1737" s="4" t="s">
        <v>1719</v>
      </c>
      <c r="B1737" s="5" t="s">
        <v>9</v>
      </c>
      <c r="C1737" s="5">
        <v>64294.43</v>
      </c>
      <c r="D1737" s="5">
        <v>56</v>
      </c>
      <c r="E1737" s="5">
        <v>1</v>
      </c>
      <c r="F1737" s="5">
        <v>0.79969999999999997</v>
      </c>
      <c r="G1737" s="5">
        <v>0.36749999999999999</v>
      </c>
      <c r="H1737" s="5">
        <v>6</v>
      </c>
      <c r="I1737" s="5">
        <v>24301</v>
      </c>
      <c r="J1737" s="5">
        <v>23048.58</v>
      </c>
      <c r="K1737" s="5">
        <v>60</v>
      </c>
      <c r="L1737" s="5">
        <v>2</v>
      </c>
      <c r="M1737" s="5">
        <v>1</v>
      </c>
      <c r="N1737" s="5">
        <v>1</v>
      </c>
      <c r="O1737" s="5">
        <v>548.19000000000005</v>
      </c>
      <c r="P1737" s="6">
        <v>0</v>
      </c>
    </row>
    <row r="1738" spans="1:16" ht="23.4" x14ac:dyDescent="0.45">
      <c r="A1738" s="4" t="s">
        <v>1720</v>
      </c>
      <c r="B1738" s="5" t="s">
        <v>15</v>
      </c>
      <c r="C1738" s="5">
        <v>85931.81</v>
      </c>
      <c r="D1738" s="5">
        <v>29</v>
      </c>
      <c r="E1738" s="5">
        <v>0</v>
      </c>
      <c r="F1738" s="5">
        <v>0.58720000000000006</v>
      </c>
      <c r="G1738" s="5">
        <v>0.1197</v>
      </c>
      <c r="H1738" s="5">
        <v>1</v>
      </c>
      <c r="I1738" s="5">
        <v>17296.689999999999</v>
      </c>
      <c r="J1738" s="5">
        <v>29541.83</v>
      </c>
      <c r="K1738" s="5">
        <v>112</v>
      </c>
      <c r="L1738" s="5">
        <v>3</v>
      </c>
      <c r="M1738" s="5">
        <v>2</v>
      </c>
      <c r="N1738" s="5">
        <v>3</v>
      </c>
      <c r="O1738" s="5">
        <v>769.29</v>
      </c>
      <c r="P1738" s="6">
        <v>0</v>
      </c>
    </row>
    <row r="1739" spans="1:16" ht="23.4" x14ac:dyDescent="0.45">
      <c r="A1739" s="4" t="s">
        <v>1721</v>
      </c>
      <c r="B1739" s="5" t="s">
        <v>15</v>
      </c>
      <c r="C1739" s="5">
        <v>77256.7</v>
      </c>
      <c r="D1739" s="5">
        <v>51</v>
      </c>
      <c r="E1739" s="5">
        <v>0</v>
      </c>
      <c r="F1739" s="5">
        <v>1</v>
      </c>
      <c r="G1739" s="5">
        <v>0.47960000000000003</v>
      </c>
      <c r="H1739" s="5">
        <v>5</v>
      </c>
      <c r="I1739" s="5">
        <v>37467.99</v>
      </c>
      <c r="J1739" s="5">
        <v>37357.870000000003</v>
      </c>
      <c r="K1739" s="5">
        <v>14</v>
      </c>
      <c r="L1739" s="5">
        <v>1</v>
      </c>
      <c r="M1739" s="5">
        <v>1</v>
      </c>
      <c r="N1739" s="5">
        <v>1</v>
      </c>
      <c r="O1739" s="5">
        <v>750.54</v>
      </c>
      <c r="P1739" s="6">
        <v>0</v>
      </c>
    </row>
    <row r="1740" spans="1:16" ht="23.4" x14ac:dyDescent="0.45">
      <c r="A1740" s="4" t="s">
        <v>1722</v>
      </c>
      <c r="B1740" s="5" t="s">
        <v>9</v>
      </c>
      <c r="C1740" s="5">
        <v>114463.67999999999</v>
      </c>
      <c r="D1740" s="5">
        <v>67</v>
      </c>
      <c r="E1740" s="5">
        <v>0</v>
      </c>
      <c r="F1740" s="5">
        <v>0.82379999999999998</v>
      </c>
      <c r="G1740" s="5">
        <v>0.5605</v>
      </c>
      <c r="H1740" s="5">
        <v>1</v>
      </c>
      <c r="I1740" s="5">
        <v>67373.48</v>
      </c>
      <c r="J1740" s="5">
        <v>42648.7</v>
      </c>
      <c r="K1740" s="5">
        <v>19</v>
      </c>
      <c r="L1740" s="5">
        <v>1</v>
      </c>
      <c r="M1740" s="5">
        <v>1</v>
      </c>
      <c r="N1740" s="5">
        <v>0</v>
      </c>
      <c r="O1740" s="5">
        <v>665.72</v>
      </c>
      <c r="P1740" s="6">
        <v>0</v>
      </c>
    </row>
    <row r="1741" spans="1:16" ht="23.4" x14ac:dyDescent="0.45">
      <c r="A1741" s="4" t="s">
        <v>1723</v>
      </c>
      <c r="B1741" s="5" t="s">
        <v>6</v>
      </c>
      <c r="C1741" s="5">
        <v>51495.26</v>
      </c>
      <c r="D1741" s="5">
        <v>44</v>
      </c>
      <c r="E1741" s="5">
        <v>1</v>
      </c>
      <c r="F1741" s="5">
        <v>0.48880000000000001</v>
      </c>
      <c r="G1741" s="5">
        <v>0.38950000000000001</v>
      </c>
      <c r="H1741" s="5">
        <v>1</v>
      </c>
      <c r="I1741" s="5">
        <v>26997.919999999998</v>
      </c>
      <c r="J1741" s="5">
        <v>29810.880000000001</v>
      </c>
      <c r="K1741" s="5">
        <v>116</v>
      </c>
      <c r="L1741" s="5">
        <v>3</v>
      </c>
      <c r="M1741" s="5">
        <v>1</v>
      </c>
      <c r="N1741" s="5">
        <v>0</v>
      </c>
      <c r="O1741" s="5">
        <v>625.83000000000004</v>
      </c>
      <c r="P1741" s="6">
        <v>0</v>
      </c>
    </row>
    <row r="1742" spans="1:16" ht="23.4" x14ac:dyDescent="0.45">
      <c r="A1742" s="4" t="s">
        <v>1724</v>
      </c>
      <c r="B1742" s="5" t="s">
        <v>9</v>
      </c>
      <c r="C1742" s="5">
        <v>109454.74</v>
      </c>
      <c r="D1742" s="5">
        <v>43</v>
      </c>
      <c r="E1742" s="5">
        <v>0</v>
      </c>
      <c r="F1742" s="5">
        <v>0.92210000000000003</v>
      </c>
      <c r="G1742" s="5">
        <v>0.1047</v>
      </c>
      <c r="H1742" s="5">
        <v>0</v>
      </c>
      <c r="I1742" s="5">
        <v>40620.410000000003</v>
      </c>
      <c r="J1742" s="5">
        <v>25502.59</v>
      </c>
      <c r="K1742" s="5">
        <v>73</v>
      </c>
      <c r="L1742" s="5">
        <v>3</v>
      </c>
      <c r="M1742" s="5">
        <v>2</v>
      </c>
      <c r="N1742" s="5">
        <v>0</v>
      </c>
      <c r="O1742" s="5">
        <v>702.86</v>
      </c>
      <c r="P1742" s="6">
        <v>0</v>
      </c>
    </row>
    <row r="1743" spans="1:16" ht="23.4" x14ac:dyDescent="0.45">
      <c r="A1743" s="4" t="s">
        <v>1725</v>
      </c>
      <c r="B1743" s="5" t="s">
        <v>4</v>
      </c>
      <c r="C1743" s="5">
        <v>102607.25</v>
      </c>
      <c r="D1743" s="5">
        <v>58</v>
      </c>
      <c r="E1743" s="5">
        <v>0</v>
      </c>
      <c r="F1743" s="5">
        <v>0.76219999999999999</v>
      </c>
      <c r="G1743" s="5">
        <v>0.69399999999999995</v>
      </c>
      <c r="H1743" s="5">
        <v>5</v>
      </c>
      <c r="I1743" s="5">
        <v>90744.21</v>
      </c>
      <c r="J1743" s="5">
        <v>65480.74</v>
      </c>
      <c r="K1743" s="5">
        <v>153</v>
      </c>
      <c r="L1743" s="5">
        <v>3</v>
      </c>
      <c r="M1743" s="5">
        <v>2</v>
      </c>
      <c r="N1743" s="5">
        <v>2</v>
      </c>
      <c r="O1743" s="5">
        <v>596.16</v>
      </c>
      <c r="P1743" s="6">
        <v>0</v>
      </c>
    </row>
    <row r="1744" spans="1:16" ht="23.4" x14ac:dyDescent="0.45">
      <c r="A1744" s="4" t="s">
        <v>1726</v>
      </c>
      <c r="B1744" s="5" t="s">
        <v>9</v>
      </c>
      <c r="C1744" s="5">
        <v>143764.96</v>
      </c>
      <c r="D1744" s="5">
        <v>66</v>
      </c>
      <c r="E1744" s="5">
        <v>0</v>
      </c>
      <c r="F1744" s="5">
        <v>0.82630000000000003</v>
      </c>
      <c r="G1744" s="5">
        <v>0.33389999999999997</v>
      </c>
      <c r="H1744" s="5">
        <v>2</v>
      </c>
      <c r="I1744" s="5">
        <v>46050.06</v>
      </c>
      <c r="J1744" s="5">
        <v>16907.63</v>
      </c>
      <c r="K1744" s="5">
        <v>86</v>
      </c>
      <c r="L1744" s="5">
        <v>1</v>
      </c>
      <c r="M1744" s="5">
        <v>1</v>
      </c>
      <c r="N1744" s="5">
        <v>1</v>
      </c>
      <c r="O1744" s="5">
        <v>704.91</v>
      </c>
      <c r="P1744" s="6">
        <v>0</v>
      </c>
    </row>
    <row r="1745" spans="1:16" ht="23.4" x14ac:dyDescent="0.45">
      <c r="A1745" s="4" t="s">
        <v>1727</v>
      </c>
      <c r="B1745" s="5" t="s">
        <v>18</v>
      </c>
      <c r="C1745" s="5">
        <v>68744.929999999993</v>
      </c>
      <c r="D1745" s="5">
        <v>48</v>
      </c>
      <c r="E1745" s="5">
        <v>1</v>
      </c>
      <c r="F1745" s="5">
        <v>0.66979999999999995</v>
      </c>
      <c r="G1745" s="5">
        <v>0.52500000000000002</v>
      </c>
      <c r="H1745" s="5">
        <v>3</v>
      </c>
      <c r="I1745" s="5">
        <v>500</v>
      </c>
      <c r="J1745" s="5">
        <v>0</v>
      </c>
      <c r="K1745" s="5">
        <v>39</v>
      </c>
      <c r="L1745" s="5">
        <v>1</v>
      </c>
      <c r="M1745" s="5">
        <v>2</v>
      </c>
      <c r="N1745" s="5">
        <v>1</v>
      </c>
      <c r="O1745" s="5">
        <v>747.08</v>
      </c>
      <c r="P1745" s="6">
        <v>0</v>
      </c>
    </row>
    <row r="1746" spans="1:16" ht="23.4" x14ac:dyDescent="0.45">
      <c r="A1746" s="4" t="s">
        <v>1728</v>
      </c>
      <c r="B1746" s="5" t="s">
        <v>18</v>
      </c>
      <c r="C1746" s="5">
        <v>26168.27</v>
      </c>
      <c r="D1746" s="5">
        <v>63</v>
      </c>
      <c r="E1746" s="5">
        <v>1</v>
      </c>
      <c r="F1746" s="5">
        <v>0.6391</v>
      </c>
      <c r="G1746" s="5">
        <v>0.47870000000000001</v>
      </c>
      <c r="H1746" s="5">
        <v>2</v>
      </c>
      <c r="I1746" s="5">
        <v>500</v>
      </c>
      <c r="J1746" s="5">
        <v>0</v>
      </c>
      <c r="K1746" s="5">
        <v>92</v>
      </c>
      <c r="L1746" s="5">
        <v>1</v>
      </c>
      <c r="M1746" s="5">
        <v>1</v>
      </c>
      <c r="N1746" s="5">
        <v>1</v>
      </c>
      <c r="O1746" s="5">
        <v>715.43</v>
      </c>
      <c r="P1746" s="6">
        <v>0</v>
      </c>
    </row>
    <row r="1747" spans="1:16" ht="23.4" x14ac:dyDescent="0.45">
      <c r="A1747" s="4" t="s">
        <v>1729</v>
      </c>
      <c r="B1747" s="5" t="s">
        <v>6</v>
      </c>
      <c r="C1747" s="5">
        <v>134869.87</v>
      </c>
      <c r="D1747" s="5">
        <v>31</v>
      </c>
      <c r="E1747" s="5">
        <v>1</v>
      </c>
      <c r="F1747" s="5">
        <v>0.78510000000000002</v>
      </c>
      <c r="G1747" s="5">
        <v>0.52449999999999997</v>
      </c>
      <c r="H1747" s="5">
        <v>1</v>
      </c>
      <c r="I1747" s="5">
        <v>60695.49</v>
      </c>
      <c r="J1747" s="5">
        <v>59652.800000000003</v>
      </c>
      <c r="K1747" s="5">
        <v>82</v>
      </c>
      <c r="L1747" s="5">
        <v>1</v>
      </c>
      <c r="M1747" s="5">
        <v>2</v>
      </c>
      <c r="N1747" s="5">
        <v>1</v>
      </c>
      <c r="O1747" s="5">
        <v>630.33000000000004</v>
      </c>
      <c r="P1747" s="6">
        <v>0</v>
      </c>
    </row>
    <row r="1748" spans="1:16" ht="23.4" x14ac:dyDescent="0.45">
      <c r="A1748" s="4" t="s">
        <v>1730</v>
      </c>
      <c r="B1748" s="5" t="s">
        <v>15</v>
      </c>
      <c r="C1748" s="5">
        <v>73796.72</v>
      </c>
      <c r="D1748" s="5">
        <v>65</v>
      </c>
      <c r="E1748" s="5">
        <v>1</v>
      </c>
      <c r="F1748" s="5">
        <v>0.37659999999999999</v>
      </c>
      <c r="G1748" s="5">
        <v>0</v>
      </c>
      <c r="H1748" s="5">
        <v>1</v>
      </c>
      <c r="I1748" s="5">
        <v>2794.85</v>
      </c>
      <c r="J1748" s="5">
        <v>0</v>
      </c>
      <c r="K1748" s="5">
        <v>38</v>
      </c>
      <c r="L1748" s="5">
        <v>1</v>
      </c>
      <c r="M1748" s="5">
        <v>2</v>
      </c>
      <c r="N1748" s="5">
        <v>1</v>
      </c>
      <c r="O1748" s="5">
        <v>641.80999999999995</v>
      </c>
      <c r="P1748" s="6">
        <v>0</v>
      </c>
    </row>
    <row r="1749" spans="1:16" ht="23.4" x14ac:dyDescent="0.45">
      <c r="A1749" s="4" t="s">
        <v>1731</v>
      </c>
      <c r="B1749" s="5" t="s">
        <v>6</v>
      </c>
      <c r="C1749" s="5">
        <v>94272.36</v>
      </c>
      <c r="D1749" s="5">
        <v>39</v>
      </c>
      <c r="E1749" s="5">
        <v>1</v>
      </c>
      <c r="F1749" s="5">
        <v>0.92159999999999997</v>
      </c>
      <c r="G1749" s="5">
        <v>0.52480000000000004</v>
      </c>
      <c r="H1749" s="5">
        <v>3</v>
      </c>
      <c r="I1749" s="5">
        <v>53466.33</v>
      </c>
      <c r="J1749" s="5">
        <v>39644.18</v>
      </c>
      <c r="K1749" s="5">
        <v>71</v>
      </c>
      <c r="L1749" s="5">
        <v>2</v>
      </c>
      <c r="M1749" s="5">
        <v>1</v>
      </c>
      <c r="N1749" s="5">
        <v>0</v>
      </c>
      <c r="O1749" s="5">
        <v>626.41</v>
      </c>
      <c r="P1749" s="6">
        <v>0</v>
      </c>
    </row>
    <row r="1750" spans="1:16" ht="23.4" x14ac:dyDescent="0.45">
      <c r="A1750" s="4" t="s">
        <v>1732</v>
      </c>
      <c r="B1750" s="5" t="s">
        <v>6</v>
      </c>
      <c r="C1750" s="5">
        <v>40271.15</v>
      </c>
      <c r="D1750" s="5">
        <v>38</v>
      </c>
      <c r="E1750" s="5">
        <v>1</v>
      </c>
      <c r="F1750" s="5">
        <v>0.58750000000000002</v>
      </c>
      <c r="G1750" s="5">
        <v>7.5499999999999998E-2</v>
      </c>
      <c r="H1750" s="5">
        <v>3</v>
      </c>
      <c r="I1750" s="5">
        <v>500</v>
      </c>
      <c r="J1750" s="5">
        <v>7866.7</v>
      </c>
      <c r="K1750" s="5">
        <v>119</v>
      </c>
      <c r="L1750" s="5">
        <v>2</v>
      </c>
      <c r="M1750" s="5">
        <v>2</v>
      </c>
      <c r="N1750" s="5">
        <v>1</v>
      </c>
      <c r="O1750" s="5">
        <v>746.24</v>
      </c>
      <c r="P1750" s="6">
        <v>0</v>
      </c>
    </row>
    <row r="1751" spans="1:16" ht="23.4" x14ac:dyDescent="0.45">
      <c r="A1751" s="4" t="s">
        <v>1733</v>
      </c>
      <c r="B1751" s="5" t="s">
        <v>6</v>
      </c>
      <c r="C1751" s="5">
        <v>153440.5</v>
      </c>
      <c r="D1751" s="5">
        <v>21</v>
      </c>
      <c r="E1751" s="5">
        <v>0</v>
      </c>
      <c r="F1751" s="5">
        <v>0.94479999999999997</v>
      </c>
      <c r="G1751" s="5">
        <v>1.2200000000000001E-2</v>
      </c>
      <c r="H1751" s="5">
        <v>0</v>
      </c>
      <c r="I1751" s="5">
        <v>5286.32</v>
      </c>
      <c r="J1751" s="5">
        <v>4970.9799999999996</v>
      </c>
      <c r="K1751" s="5">
        <v>145</v>
      </c>
      <c r="L1751" s="5">
        <v>1</v>
      </c>
      <c r="M1751" s="5">
        <v>2</v>
      </c>
      <c r="N1751" s="5">
        <v>0</v>
      </c>
      <c r="O1751" s="5">
        <v>744.15</v>
      </c>
      <c r="P1751" s="6">
        <v>0</v>
      </c>
    </row>
    <row r="1752" spans="1:16" ht="23.4" x14ac:dyDescent="0.45">
      <c r="A1752" s="4" t="s">
        <v>1734</v>
      </c>
      <c r="B1752" s="5" t="s">
        <v>15</v>
      </c>
      <c r="C1752" s="5">
        <v>103834.46</v>
      </c>
      <c r="D1752" s="5">
        <v>41</v>
      </c>
      <c r="E1752" s="5">
        <v>0</v>
      </c>
      <c r="F1752" s="5">
        <v>0.76749999999999996</v>
      </c>
      <c r="G1752" s="5">
        <v>0.26429999999999998</v>
      </c>
      <c r="H1752" s="5">
        <v>3</v>
      </c>
      <c r="I1752" s="5">
        <v>10503.98</v>
      </c>
      <c r="J1752" s="5">
        <v>10386.31</v>
      </c>
      <c r="K1752" s="5">
        <v>77</v>
      </c>
      <c r="L1752" s="5">
        <v>1</v>
      </c>
      <c r="M1752" s="5">
        <v>2</v>
      </c>
      <c r="N1752" s="5">
        <v>1</v>
      </c>
      <c r="O1752" s="5">
        <v>677.97</v>
      </c>
      <c r="P1752" s="6">
        <v>0</v>
      </c>
    </row>
    <row r="1753" spans="1:16" ht="23.4" x14ac:dyDescent="0.45">
      <c r="A1753" s="4" t="s">
        <v>1735</v>
      </c>
      <c r="B1753" s="5" t="s">
        <v>6</v>
      </c>
      <c r="C1753" s="5">
        <v>113859.04</v>
      </c>
      <c r="D1753" s="5">
        <v>52</v>
      </c>
      <c r="E1753" s="5">
        <v>0</v>
      </c>
      <c r="F1753" s="5">
        <v>0.33189999999999997</v>
      </c>
      <c r="G1753" s="5">
        <v>1</v>
      </c>
      <c r="H1753" s="5">
        <v>7</v>
      </c>
      <c r="I1753" s="5">
        <v>128785.14</v>
      </c>
      <c r="J1753" s="5">
        <v>68466.87</v>
      </c>
      <c r="K1753" s="5">
        <v>104</v>
      </c>
      <c r="L1753" s="5">
        <v>2</v>
      </c>
      <c r="M1753" s="5">
        <v>1</v>
      </c>
      <c r="N1753" s="5">
        <v>1</v>
      </c>
      <c r="O1753" s="5">
        <v>616.78</v>
      </c>
      <c r="P1753" s="6">
        <v>0</v>
      </c>
    </row>
    <row r="1754" spans="1:16" ht="23.4" x14ac:dyDescent="0.45">
      <c r="A1754" s="4" t="s">
        <v>1736</v>
      </c>
      <c r="B1754" s="5" t="s">
        <v>9</v>
      </c>
      <c r="C1754" s="5">
        <v>66431.429999999993</v>
      </c>
      <c r="D1754" s="5">
        <v>64</v>
      </c>
      <c r="E1754" s="5">
        <v>1</v>
      </c>
      <c r="F1754" s="5">
        <v>0.6794</v>
      </c>
      <c r="G1754" s="5">
        <v>0.4899</v>
      </c>
      <c r="H1754" s="5">
        <v>3</v>
      </c>
      <c r="I1754" s="5">
        <v>24022.63</v>
      </c>
      <c r="J1754" s="5">
        <v>20268.38</v>
      </c>
      <c r="K1754" s="5">
        <v>33</v>
      </c>
      <c r="L1754" s="5">
        <v>1</v>
      </c>
      <c r="M1754" s="5">
        <v>2</v>
      </c>
      <c r="N1754" s="5">
        <v>2</v>
      </c>
      <c r="O1754" s="5">
        <v>685.86</v>
      </c>
      <c r="P1754" s="6">
        <v>0</v>
      </c>
    </row>
    <row r="1755" spans="1:16" ht="23.4" x14ac:dyDescent="0.45">
      <c r="A1755" s="4" t="s">
        <v>1737</v>
      </c>
      <c r="B1755" s="5" t="s">
        <v>18</v>
      </c>
      <c r="C1755" s="5">
        <v>166979.62</v>
      </c>
      <c r="D1755" s="5">
        <v>51</v>
      </c>
      <c r="E1755" s="5">
        <v>0</v>
      </c>
      <c r="F1755" s="5">
        <v>0.71819999999999995</v>
      </c>
      <c r="G1755" s="5">
        <v>0.38979999999999998</v>
      </c>
      <c r="H1755" s="5">
        <v>4</v>
      </c>
      <c r="I1755" s="5">
        <v>38188.199999999997</v>
      </c>
      <c r="J1755" s="5">
        <v>28692.97</v>
      </c>
      <c r="K1755" s="5">
        <v>142</v>
      </c>
      <c r="L1755" s="5">
        <v>4</v>
      </c>
      <c r="M1755" s="5">
        <v>1</v>
      </c>
      <c r="N1755" s="5">
        <v>1</v>
      </c>
      <c r="O1755" s="5">
        <v>763.47</v>
      </c>
      <c r="P1755" s="6">
        <v>0</v>
      </c>
    </row>
    <row r="1756" spans="1:16" ht="23.4" x14ac:dyDescent="0.45">
      <c r="A1756" s="4" t="s">
        <v>1738</v>
      </c>
      <c r="B1756" s="5" t="s">
        <v>6</v>
      </c>
      <c r="C1756" s="5">
        <v>128804.49</v>
      </c>
      <c r="D1756" s="5">
        <v>67</v>
      </c>
      <c r="E1756" s="5">
        <v>0</v>
      </c>
      <c r="F1756" s="5">
        <v>0.33689999999999998</v>
      </c>
      <c r="G1756" s="5">
        <v>0.44619999999999999</v>
      </c>
      <c r="H1756" s="5">
        <v>3</v>
      </c>
      <c r="I1756" s="5">
        <v>57767.83</v>
      </c>
      <c r="J1756" s="5">
        <v>36144.51</v>
      </c>
      <c r="K1756" s="5">
        <v>165</v>
      </c>
      <c r="L1756" s="5">
        <v>1</v>
      </c>
      <c r="M1756" s="5">
        <v>3</v>
      </c>
      <c r="N1756" s="5">
        <v>0</v>
      </c>
      <c r="O1756" s="5">
        <v>675.02</v>
      </c>
      <c r="P1756" s="6">
        <v>0</v>
      </c>
    </row>
    <row r="1757" spans="1:16" ht="23.4" x14ac:dyDescent="0.45">
      <c r="A1757" s="4" t="s">
        <v>1739</v>
      </c>
      <c r="B1757" s="5" t="s">
        <v>1</v>
      </c>
      <c r="C1757" s="5">
        <v>152769.87</v>
      </c>
      <c r="D1757" s="5">
        <v>23</v>
      </c>
      <c r="E1757" s="5">
        <v>1</v>
      </c>
      <c r="F1757" s="5">
        <v>0.75270000000000004</v>
      </c>
      <c r="G1757" s="5">
        <v>0.185</v>
      </c>
      <c r="H1757" s="5">
        <v>4</v>
      </c>
      <c r="I1757" s="5">
        <v>34446.879999999997</v>
      </c>
      <c r="J1757" s="5">
        <v>22209.29</v>
      </c>
      <c r="K1757" s="5">
        <v>161</v>
      </c>
      <c r="L1757" s="5">
        <v>3</v>
      </c>
      <c r="M1757" s="5">
        <v>1</v>
      </c>
      <c r="N1757" s="5">
        <v>0</v>
      </c>
      <c r="O1757" s="5">
        <v>722.3</v>
      </c>
      <c r="P1757" s="6">
        <v>0</v>
      </c>
    </row>
    <row r="1758" spans="1:16" ht="23.4" x14ac:dyDescent="0.45">
      <c r="A1758" s="4" t="s">
        <v>1740</v>
      </c>
      <c r="B1758" s="5" t="s">
        <v>1</v>
      </c>
      <c r="C1758" s="5">
        <v>37492.410000000003</v>
      </c>
      <c r="D1758" s="5">
        <v>48</v>
      </c>
      <c r="E1758" s="5">
        <v>0</v>
      </c>
      <c r="F1758" s="5">
        <v>0.57479999999999998</v>
      </c>
      <c r="G1758" s="5">
        <v>9.8599999999999993E-2</v>
      </c>
      <c r="H1758" s="5">
        <v>0</v>
      </c>
      <c r="I1758" s="5">
        <v>500</v>
      </c>
      <c r="J1758" s="5">
        <v>1720.2</v>
      </c>
      <c r="K1758" s="5">
        <v>153</v>
      </c>
      <c r="L1758" s="5">
        <v>3</v>
      </c>
      <c r="M1758" s="5">
        <v>1</v>
      </c>
      <c r="N1758" s="5">
        <v>0</v>
      </c>
      <c r="O1758" s="5">
        <v>787.32</v>
      </c>
      <c r="P1758" s="6">
        <v>0</v>
      </c>
    </row>
    <row r="1759" spans="1:16" ht="23.4" x14ac:dyDescent="0.45">
      <c r="A1759" s="4" t="s">
        <v>1741</v>
      </c>
      <c r="B1759" s="5" t="s">
        <v>15</v>
      </c>
      <c r="C1759" s="5">
        <v>86414.87</v>
      </c>
      <c r="D1759" s="5">
        <v>44</v>
      </c>
      <c r="E1759" s="5">
        <v>0</v>
      </c>
      <c r="F1759" s="5">
        <v>0.57809999999999995</v>
      </c>
      <c r="G1759" s="5">
        <v>0.5272</v>
      </c>
      <c r="H1759" s="5">
        <v>5</v>
      </c>
      <c r="I1759" s="5">
        <v>46646.49</v>
      </c>
      <c r="J1759" s="5">
        <v>34670.1</v>
      </c>
      <c r="K1759" s="5">
        <v>102</v>
      </c>
      <c r="L1759" s="5">
        <v>3</v>
      </c>
      <c r="M1759" s="5">
        <v>1</v>
      </c>
      <c r="N1759" s="5">
        <v>3</v>
      </c>
      <c r="O1759" s="5">
        <v>687.85</v>
      </c>
      <c r="P1759" s="6">
        <v>0</v>
      </c>
    </row>
    <row r="1760" spans="1:16" ht="23.4" x14ac:dyDescent="0.45">
      <c r="A1760" s="4" t="s">
        <v>1742</v>
      </c>
      <c r="B1760" s="5" t="s">
        <v>6</v>
      </c>
      <c r="C1760" s="5">
        <v>129505.11</v>
      </c>
      <c r="D1760" s="5">
        <v>61</v>
      </c>
      <c r="E1760" s="5">
        <v>0</v>
      </c>
      <c r="F1760" s="5">
        <v>0.7157</v>
      </c>
      <c r="G1760" s="5">
        <v>0.28610000000000002</v>
      </c>
      <c r="H1760" s="5">
        <v>1</v>
      </c>
      <c r="I1760" s="5">
        <v>37034.519999999997</v>
      </c>
      <c r="J1760" s="5">
        <v>26975.69</v>
      </c>
      <c r="K1760" s="5">
        <v>92</v>
      </c>
      <c r="L1760" s="5">
        <v>2</v>
      </c>
      <c r="M1760" s="5">
        <v>2</v>
      </c>
      <c r="N1760" s="5">
        <v>1</v>
      </c>
      <c r="O1760" s="5">
        <v>821.55</v>
      </c>
      <c r="P1760" s="6">
        <v>1</v>
      </c>
    </row>
    <row r="1761" spans="1:16" ht="23.4" x14ac:dyDescent="0.45">
      <c r="A1761" s="4" t="s">
        <v>1743</v>
      </c>
      <c r="B1761" s="5" t="s">
        <v>15</v>
      </c>
      <c r="C1761" s="5">
        <v>188873.03</v>
      </c>
      <c r="D1761" s="5">
        <v>66</v>
      </c>
      <c r="E1761" s="5">
        <v>1</v>
      </c>
      <c r="F1761" s="5">
        <v>0.58220000000000005</v>
      </c>
      <c r="G1761" s="5">
        <v>0.26690000000000003</v>
      </c>
      <c r="H1761" s="5">
        <v>0</v>
      </c>
      <c r="I1761" s="5">
        <v>28271.57</v>
      </c>
      <c r="J1761" s="5">
        <v>23499.39</v>
      </c>
      <c r="K1761" s="5">
        <v>29</v>
      </c>
      <c r="L1761" s="5">
        <v>2</v>
      </c>
      <c r="M1761" s="5">
        <v>2</v>
      </c>
      <c r="N1761" s="5">
        <v>3</v>
      </c>
      <c r="O1761" s="5">
        <v>710.53</v>
      </c>
      <c r="P1761" s="6">
        <v>0</v>
      </c>
    </row>
    <row r="1762" spans="1:16" ht="23.4" x14ac:dyDescent="0.45">
      <c r="A1762" s="4" t="s">
        <v>1744</v>
      </c>
      <c r="B1762" s="5" t="s">
        <v>9</v>
      </c>
      <c r="C1762" s="5">
        <v>28718.41</v>
      </c>
      <c r="D1762" s="5">
        <v>22</v>
      </c>
      <c r="E1762" s="5">
        <v>1</v>
      </c>
      <c r="F1762" s="5">
        <v>0.66459999999999997</v>
      </c>
      <c r="G1762" s="5">
        <v>0</v>
      </c>
      <c r="H1762" s="5">
        <v>1</v>
      </c>
      <c r="I1762" s="5">
        <v>6135.82</v>
      </c>
      <c r="J1762" s="5">
        <v>8808.48</v>
      </c>
      <c r="K1762" s="5">
        <v>150</v>
      </c>
      <c r="L1762" s="5">
        <v>2</v>
      </c>
      <c r="M1762" s="5">
        <v>2</v>
      </c>
      <c r="N1762" s="5">
        <v>1</v>
      </c>
      <c r="O1762" s="5">
        <v>664.51</v>
      </c>
      <c r="P1762" s="6">
        <v>0</v>
      </c>
    </row>
    <row r="1763" spans="1:16" ht="23.4" x14ac:dyDescent="0.45">
      <c r="A1763" s="4" t="s">
        <v>1745</v>
      </c>
      <c r="B1763" s="5" t="s">
        <v>1</v>
      </c>
      <c r="C1763" s="5">
        <v>79837.66</v>
      </c>
      <c r="D1763" s="5">
        <v>28</v>
      </c>
      <c r="E1763" s="5">
        <v>0</v>
      </c>
      <c r="F1763" s="5">
        <v>0.65869999999999995</v>
      </c>
      <c r="G1763" s="5">
        <v>0.32279999999999998</v>
      </c>
      <c r="H1763" s="5">
        <v>5</v>
      </c>
      <c r="I1763" s="5">
        <v>11260.47</v>
      </c>
      <c r="J1763" s="5">
        <v>19649.84</v>
      </c>
      <c r="K1763" s="5">
        <v>46</v>
      </c>
      <c r="L1763" s="5">
        <v>1</v>
      </c>
      <c r="M1763" s="5">
        <v>2</v>
      </c>
      <c r="N1763" s="5">
        <v>1</v>
      </c>
      <c r="O1763" s="5">
        <v>699.46</v>
      </c>
      <c r="P1763" s="6">
        <v>0</v>
      </c>
    </row>
    <row r="1764" spans="1:16" ht="23.4" x14ac:dyDescent="0.45">
      <c r="A1764" s="4" t="s">
        <v>1746</v>
      </c>
      <c r="B1764" s="5" t="s">
        <v>4</v>
      </c>
      <c r="C1764" s="5">
        <v>27915.51</v>
      </c>
      <c r="D1764" s="5">
        <v>54</v>
      </c>
      <c r="E1764" s="5">
        <v>0</v>
      </c>
      <c r="F1764" s="5">
        <v>0.48209999999999997</v>
      </c>
      <c r="G1764" s="5">
        <v>0.67079999999999995</v>
      </c>
      <c r="H1764" s="5">
        <v>2</v>
      </c>
      <c r="I1764" s="5">
        <v>22884.52</v>
      </c>
      <c r="J1764" s="5">
        <v>7525.31</v>
      </c>
      <c r="K1764" s="5">
        <v>152</v>
      </c>
      <c r="L1764" s="5">
        <v>2</v>
      </c>
      <c r="M1764" s="5">
        <v>1</v>
      </c>
      <c r="N1764" s="5">
        <v>1</v>
      </c>
      <c r="O1764" s="5">
        <v>716.28</v>
      </c>
      <c r="P1764" s="6">
        <v>1</v>
      </c>
    </row>
    <row r="1765" spans="1:16" ht="23.4" x14ac:dyDescent="0.45">
      <c r="A1765" s="4" t="s">
        <v>1747</v>
      </c>
      <c r="B1765" s="5" t="s">
        <v>4</v>
      </c>
      <c r="C1765" s="5">
        <v>172622.72</v>
      </c>
      <c r="D1765" s="5">
        <v>62</v>
      </c>
      <c r="E1765" s="5">
        <v>1</v>
      </c>
      <c r="F1765" s="5">
        <v>0.53849999999999998</v>
      </c>
      <c r="G1765" s="5">
        <v>0.64219999999999999</v>
      </c>
      <c r="H1765" s="5">
        <v>3</v>
      </c>
      <c r="I1765" s="5">
        <v>86198.24</v>
      </c>
      <c r="J1765" s="5">
        <v>57262.26</v>
      </c>
      <c r="K1765" s="5">
        <v>129</v>
      </c>
      <c r="L1765" s="5">
        <v>1</v>
      </c>
      <c r="M1765" s="5">
        <v>2</v>
      </c>
      <c r="N1765" s="5">
        <v>0</v>
      </c>
      <c r="O1765" s="5">
        <v>717.29</v>
      </c>
      <c r="P1765" s="6">
        <v>0</v>
      </c>
    </row>
    <row r="1766" spans="1:16" ht="23.4" x14ac:dyDescent="0.45">
      <c r="A1766" s="4" t="s">
        <v>1748</v>
      </c>
      <c r="B1766" s="5" t="s">
        <v>18</v>
      </c>
      <c r="C1766" s="5">
        <v>91123.27</v>
      </c>
      <c r="D1766" s="5">
        <v>46</v>
      </c>
      <c r="E1766" s="5">
        <v>0</v>
      </c>
      <c r="F1766" s="5">
        <v>0.71319999999999995</v>
      </c>
      <c r="G1766" s="5">
        <v>0.53879999999999995</v>
      </c>
      <c r="H1766" s="5">
        <v>6</v>
      </c>
      <c r="I1766" s="5">
        <v>37255.620000000003</v>
      </c>
      <c r="J1766" s="5">
        <v>15955.28</v>
      </c>
      <c r="K1766" s="5">
        <v>180</v>
      </c>
      <c r="L1766" s="5">
        <v>1</v>
      </c>
      <c r="M1766" s="5">
        <v>1</v>
      </c>
      <c r="N1766" s="5">
        <v>2</v>
      </c>
      <c r="O1766" s="5">
        <v>787.61</v>
      </c>
      <c r="P1766" s="6">
        <v>0</v>
      </c>
    </row>
    <row r="1767" spans="1:16" ht="23.4" x14ac:dyDescent="0.45">
      <c r="A1767" s="4" t="s">
        <v>1749</v>
      </c>
      <c r="B1767" s="5" t="s">
        <v>4</v>
      </c>
      <c r="C1767" s="5">
        <v>52693.48</v>
      </c>
      <c r="D1767" s="5">
        <v>55</v>
      </c>
      <c r="E1767" s="5">
        <v>1</v>
      </c>
      <c r="F1767" s="5">
        <v>0.53280000000000005</v>
      </c>
      <c r="G1767" s="5">
        <v>0.39910000000000001</v>
      </c>
      <c r="H1767" s="5">
        <v>4</v>
      </c>
      <c r="I1767" s="5">
        <v>32744.89</v>
      </c>
      <c r="J1767" s="5">
        <v>15365.25</v>
      </c>
      <c r="K1767" s="5">
        <v>85</v>
      </c>
      <c r="L1767" s="5">
        <v>2</v>
      </c>
      <c r="M1767" s="5">
        <v>2</v>
      </c>
      <c r="N1767" s="5">
        <v>2</v>
      </c>
      <c r="O1767" s="5">
        <v>723.74</v>
      </c>
      <c r="P1767" s="6">
        <v>0</v>
      </c>
    </row>
    <row r="1768" spans="1:16" ht="23.4" x14ac:dyDescent="0.45">
      <c r="A1768" s="4" t="s">
        <v>1750</v>
      </c>
      <c r="B1768" s="5" t="s">
        <v>1</v>
      </c>
      <c r="C1768" s="5">
        <v>119652.04</v>
      </c>
      <c r="D1768" s="5">
        <v>50</v>
      </c>
      <c r="E1768" s="5">
        <v>0</v>
      </c>
      <c r="F1768" s="5">
        <v>0.63580000000000003</v>
      </c>
      <c r="G1768" s="5">
        <v>0.37240000000000001</v>
      </c>
      <c r="H1768" s="5">
        <v>1</v>
      </c>
      <c r="I1768" s="5">
        <v>28365.62</v>
      </c>
      <c r="J1768" s="5">
        <v>19996.73</v>
      </c>
      <c r="K1768" s="5">
        <v>134</v>
      </c>
      <c r="L1768" s="5">
        <v>3</v>
      </c>
      <c r="M1768" s="5">
        <v>1</v>
      </c>
      <c r="N1768" s="5">
        <v>0</v>
      </c>
      <c r="O1768" s="5">
        <v>728.68</v>
      </c>
      <c r="P1768" s="6">
        <v>0</v>
      </c>
    </row>
    <row r="1769" spans="1:16" ht="23.4" x14ac:dyDescent="0.45">
      <c r="A1769" s="4" t="s">
        <v>1751</v>
      </c>
      <c r="B1769" s="5" t="s">
        <v>18</v>
      </c>
      <c r="C1769" s="5">
        <v>134729.04999999999</v>
      </c>
      <c r="D1769" s="5">
        <v>24</v>
      </c>
      <c r="E1769" s="5">
        <v>1</v>
      </c>
      <c r="F1769" s="5">
        <v>1</v>
      </c>
      <c r="G1769" s="5">
        <v>0.50239999999999996</v>
      </c>
      <c r="H1769" s="5">
        <v>3</v>
      </c>
      <c r="I1769" s="5">
        <v>51868.17</v>
      </c>
      <c r="J1769" s="5">
        <v>48773.58</v>
      </c>
      <c r="K1769" s="5">
        <v>144</v>
      </c>
      <c r="L1769" s="5">
        <v>2</v>
      </c>
      <c r="M1769" s="5">
        <v>1</v>
      </c>
      <c r="N1769" s="5">
        <v>1</v>
      </c>
      <c r="O1769" s="5">
        <v>620.85</v>
      </c>
      <c r="P1769" s="6">
        <v>0</v>
      </c>
    </row>
    <row r="1770" spans="1:16" ht="23.4" x14ac:dyDescent="0.45">
      <c r="A1770" s="4" t="s">
        <v>1752</v>
      </c>
      <c r="B1770" s="5" t="s">
        <v>9</v>
      </c>
      <c r="C1770" s="5">
        <v>137735.78</v>
      </c>
      <c r="D1770" s="5">
        <v>58</v>
      </c>
      <c r="E1770" s="5">
        <v>1</v>
      </c>
      <c r="F1770" s="5">
        <v>0.16339999999999999</v>
      </c>
      <c r="G1770" s="5">
        <v>0.31419999999999998</v>
      </c>
      <c r="H1770" s="5">
        <v>3</v>
      </c>
      <c r="I1770" s="5">
        <v>31924.09</v>
      </c>
      <c r="J1770" s="5">
        <v>8634.2199999999993</v>
      </c>
      <c r="K1770" s="5">
        <v>133</v>
      </c>
      <c r="L1770" s="5">
        <v>1</v>
      </c>
      <c r="M1770" s="5">
        <v>1</v>
      </c>
      <c r="N1770" s="5">
        <v>1</v>
      </c>
      <c r="O1770" s="5">
        <v>767.36</v>
      </c>
      <c r="P1770" s="6">
        <v>0</v>
      </c>
    </row>
    <row r="1771" spans="1:16" ht="23.4" x14ac:dyDescent="0.45">
      <c r="A1771" s="4" t="s">
        <v>1753</v>
      </c>
      <c r="B1771" s="5" t="s">
        <v>4</v>
      </c>
      <c r="C1771" s="5">
        <v>83522.12</v>
      </c>
      <c r="D1771" s="5">
        <v>60</v>
      </c>
      <c r="E1771" s="5">
        <v>0</v>
      </c>
      <c r="F1771" s="5">
        <v>0.54820000000000002</v>
      </c>
      <c r="G1771" s="5">
        <v>0</v>
      </c>
      <c r="H1771" s="5">
        <v>0</v>
      </c>
      <c r="I1771" s="5">
        <v>500</v>
      </c>
      <c r="J1771" s="5">
        <v>9987.99</v>
      </c>
      <c r="K1771" s="5">
        <v>88</v>
      </c>
      <c r="L1771" s="5">
        <v>2</v>
      </c>
      <c r="M1771" s="5">
        <v>1</v>
      </c>
      <c r="N1771" s="5">
        <v>1</v>
      </c>
      <c r="O1771" s="5">
        <v>747.91</v>
      </c>
      <c r="P1771" s="6">
        <v>0</v>
      </c>
    </row>
    <row r="1772" spans="1:16" ht="23.4" x14ac:dyDescent="0.45">
      <c r="A1772" s="4" t="s">
        <v>1754</v>
      </c>
      <c r="B1772" s="5" t="s">
        <v>9</v>
      </c>
      <c r="C1772" s="5">
        <v>166026.89000000001</v>
      </c>
      <c r="D1772" s="5">
        <v>61</v>
      </c>
      <c r="E1772" s="5">
        <v>0</v>
      </c>
      <c r="F1772" s="5">
        <v>0.67349999999999999</v>
      </c>
      <c r="G1772" s="5">
        <v>0.2031</v>
      </c>
      <c r="H1772" s="5">
        <v>3</v>
      </c>
      <c r="I1772" s="5">
        <v>16785.98</v>
      </c>
      <c r="J1772" s="5">
        <v>8306.9699999999993</v>
      </c>
      <c r="K1772" s="5">
        <v>146</v>
      </c>
      <c r="L1772" s="5">
        <v>2</v>
      </c>
      <c r="M1772" s="5">
        <v>1</v>
      </c>
      <c r="N1772" s="5">
        <v>1</v>
      </c>
      <c r="O1772" s="5">
        <v>812.34</v>
      </c>
      <c r="P1772" s="6">
        <v>0</v>
      </c>
    </row>
    <row r="1773" spans="1:16" ht="23.4" x14ac:dyDescent="0.45">
      <c r="A1773" s="4" t="s">
        <v>1755</v>
      </c>
      <c r="B1773" s="5" t="s">
        <v>1</v>
      </c>
      <c r="C1773" s="5">
        <v>2770.62</v>
      </c>
      <c r="D1773" s="5">
        <v>46</v>
      </c>
      <c r="E1773" s="5">
        <v>1</v>
      </c>
      <c r="F1773" s="5">
        <v>0.82950000000000002</v>
      </c>
      <c r="G1773" s="5">
        <v>0.48799999999999999</v>
      </c>
      <c r="H1773" s="5">
        <v>2</v>
      </c>
      <c r="I1773" s="5">
        <v>5614.5</v>
      </c>
      <c r="J1773" s="5">
        <v>12611.83</v>
      </c>
      <c r="K1773" s="5">
        <v>176</v>
      </c>
      <c r="L1773" s="5">
        <v>2</v>
      </c>
      <c r="M1773" s="5">
        <v>2</v>
      </c>
      <c r="N1773" s="5">
        <v>0</v>
      </c>
      <c r="O1773" s="5">
        <v>766.38</v>
      </c>
      <c r="P1773" s="6">
        <v>0</v>
      </c>
    </row>
    <row r="1774" spans="1:16" ht="23.4" x14ac:dyDescent="0.45">
      <c r="A1774" s="4" t="s">
        <v>1756</v>
      </c>
      <c r="B1774" s="5" t="s">
        <v>9</v>
      </c>
      <c r="C1774" s="5">
        <v>130903.29</v>
      </c>
      <c r="D1774" s="5">
        <v>30</v>
      </c>
      <c r="E1774" s="5">
        <v>1</v>
      </c>
      <c r="F1774" s="5">
        <v>0.52600000000000002</v>
      </c>
      <c r="G1774" s="5">
        <v>0.72489999999999999</v>
      </c>
      <c r="H1774" s="5">
        <v>3</v>
      </c>
      <c r="I1774" s="5">
        <v>74022.95</v>
      </c>
      <c r="J1774" s="5">
        <v>42324.99</v>
      </c>
      <c r="K1774" s="5">
        <v>173</v>
      </c>
      <c r="L1774" s="5">
        <v>3</v>
      </c>
      <c r="M1774" s="5">
        <v>1</v>
      </c>
      <c r="N1774" s="5">
        <v>1</v>
      </c>
      <c r="O1774" s="5">
        <v>660.7</v>
      </c>
      <c r="P1774" s="6">
        <v>0</v>
      </c>
    </row>
    <row r="1775" spans="1:16" ht="23.4" x14ac:dyDescent="0.45">
      <c r="A1775" s="4" t="s">
        <v>1757</v>
      </c>
      <c r="B1775" s="5" t="s">
        <v>9</v>
      </c>
      <c r="C1775" s="5">
        <v>80431.210000000006</v>
      </c>
      <c r="D1775" s="5">
        <v>21</v>
      </c>
      <c r="E1775" s="5">
        <v>1</v>
      </c>
      <c r="F1775" s="5">
        <v>0.87090000000000001</v>
      </c>
      <c r="G1775" s="5">
        <v>0.27439999999999998</v>
      </c>
      <c r="H1775" s="5">
        <v>2</v>
      </c>
      <c r="I1775" s="5">
        <v>500</v>
      </c>
      <c r="J1775" s="5">
        <v>4284.79</v>
      </c>
      <c r="K1775" s="5">
        <v>122</v>
      </c>
      <c r="L1775" s="5">
        <v>2</v>
      </c>
      <c r="M1775" s="5">
        <v>1</v>
      </c>
      <c r="N1775" s="5">
        <v>1</v>
      </c>
      <c r="O1775" s="5">
        <v>739.42</v>
      </c>
      <c r="P1775" s="6">
        <v>0</v>
      </c>
    </row>
    <row r="1776" spans="1:16" ht="23.4" x14ac:dyDescent="0.45">
      <c r="A1776" s="4" t="s">
        <v>1758</v>
      </c>
      <c r="B1776" s="5" t="s">
        <v>1</v>
      </c>
      <c r="C1776" s="5">
        <v>125302.98</v>
      </c>
      <c r="D1776" s="5">
        <v>35</v>
      </c>
      <c r="E1776" s="5">
        <v>1</v>
      </c>
      <c r="F1776" s="5">
        <v>0.89959999999999996</v>
      </c>
      <c r="G1776" s="5">
        <v>0.48859999999999998</v>
      </c>
      <c r="H1776" s="5">
        <v>7</v>
      </c>
      <c r="I1776" s="5">
        <v>26746.74</v>
      </c>
      <c r="J1776" s="5">
        <v>19006.34</v>
      </c>
      <c r="K1776" s="5">
        <v>117</v>
      </c>
      <c r="L1776" s="5">
        <v>2</v>
      </c>
      <c r="M1776" s="5">
        <v>2</v>
      </c>
      <c r="N1776" s="5">
        <v>1</v>
      </c>
      <c r="O1776" s="5">
        <v>809.81</v>
      </c>
      <c r="P1776" s="6">
        <v>0</v>
      </c>
    </row>
    <row r="1777" spans="1:16" ht="23.4" x14ac:dyDescent="0.45">
      <c r="A1777" s="4" t="s">
        <v>1759</v>
      </c>
      <c r="B1777" s="5" t="s">
        <v>18</v>
      </c>
      <c r="C1777" s="5">
        <v>110383.84</v>
      </c>
      <c r="D1777" s="5">
        <v>52</v>
      </c>
      <c r="E1777" s="5">
        <v>1</v>
      </c>
      <c r="F1777" s="5">
        <v>0.58750000000000002</v>
      </c>
      <c r="G1777" s="5">
        <v>0.66390000000000005</v>
      </c>
      <c r="H1777" s="5">
        <v>2</v>
      </c>
      <c r="I1777" s="5">
        <v>82641.03</v>
      </c>
      <c r="J1777" s="5">
        <v>51747.11</v>
      </c>
      <c r="K1777" s="5">
        <v>54</v>
      </c>
      <c r="L1777" s="5">
        <v>1</v>
      </c>
      <c r="M1777" s="5">
        <v>2</v>
      </c>
      <c r="N1777" s="5">
        <v>0</v>
      </c>
      <c r="O1777" s="5">
        <v>624.87</v>
      </c>
      <c r="P1777" s="6">
        <v>0</v>
      </c>
    </row>
    <row r="1778" spans="1:16" ht="23.4" x14ac:dyDescent="0.45">
      <c r="A1778" s="4" t="s">
        <v>1760</v>
      </c>
      <c r="B1778" s="5" t="s">
        <v>18</v>
      </c>
      <c r="C1778" s="5">
        <v>91813.25</v>
      </c>
      <c r="D1778" s="5">
        <v>31</v>
      </c>
      <c r="E1778" s="5">
        <v>0</v>
      </c>
      <c r="F1778" s="5">
        <v>0.79220000000000002</v>
      </c>
      <c r="G1778" s="5">
        <v>0.59599999999999997</v>
      </c>
      <c r="H1778" s="5">
        <v>1</v>
      </c>
      <c r="I1778" s="5">
        <v>59741.65</v>
      </c>
      <c r="J1778" s="5">
        <v>40309.480000000003</v>
      </c>
      <c r="K1778" s="5">
        <v>90</v>
      </c>
      <c r="L1778" s="5">
        <v>1</v>
      </c>
      <c r="M1778" s="5">
        <v>1</v>
      </c>
      <c r="N1778" s="5">
        <v>2</v>
      </c>
      <c r="O1778" s="5">
        <v>659.9</v>
      </c>
      <c r="P1778" s="6">
        <v>1</v>
      </c>
    </row>
    <row r="1779" spans="1:16" ht="23.4" x14ac:dyDescent="0.45">
      <c r="A1779" s="4" t="s">
        <v>1761</v>
      </c>
      <c r="B1779" s="5" t="s">
        <v>18</v>
      </c>
      <c r="C1779" s="5">
        <v>151445.66</v>
      </c>
      <c r="D1779" s="5">
        <v>29</v>
      </c>
      <c r="E1779" s="5">
        <v>1</v>
      </c>
      <c r="F1779" s="5">
        <v>0.54890000000000005</v>
      </c>
      <c r="G1779" s="5">
        <v>0.16059999999999999</v>
      </c>
      <c r="H1779" s="5">
        <v>0</v>
      </c>
      <c r="I1779" s="5">
        <v>9131.56</v>
      </c>
      <c r="J1779" s="5">
        <v>5000.5600000000004</v>
      </c>
      <c r="K1779" s="5">
        <v>77</v>
      </c>
      <c r="L1779" s="5">
        <v>1</v>
      </c>
      <c r="M1779" s="5">
        <v>1</v>
      </c>
      <c r="N1779" s="5">
        <v>3</v>
      </c>
      <c r="O1779" s="5">
        <v>630.85</v>
      </c>
      <c r="P1779" s="6">
        <v>0</v>
      </c>
    </row>
    <row r="1780" spans="1:16" ht="23.4" x14ac:dyDescent="0.45">
      <c r="A1780" s="4" t="s">
        <v>1762</v>
      </c>
      <c r="B1780" s="5" t="s">
        <v>1</v>
      </c>
      <c r="C1780" s="5">
        <v>104194.03</v>
      </c>
      <c r="D1780" s="5">
        <v>25</v>
      </c>
      <c r="E1780" s="5">
        <v>1</v>
      </c>
      <c r="F1780" s="5">
        <v>0.74870000000000003</v>
      </c>
      <c r="G1780" s="5">
        <v>0.29659999999999997</v>
      </c>
      <c r="H1780" s="5">
        <v>4</v>
      </c>
      <c r="I1780" s="5">
        <v>62857.11</v>
      </c>
      <c r="J1780" s="5">
        <v>49671.44</v>
      </c>
      <c r="K1780" s="5">
        <v>32</v>
      </c>
      <c r="L1780" s="5">
        <v>3</v>
      </c>
      <c r="M1780" s="5">
        <v>3</v>
      </c>
      <c r="N1780" s="5">
        <v>3</v>
      </c>
      <c r="O1780" s="5">
        <v>747.55</v>
      </c>
      <c r="P1780" s="6">
        <v>0</v>
      </c>
    </row>
    <row r="1781" spans="1:16" ht="23.4" x14ac:dyDescent="0.45">
      <c r="A1781" s="4" t="s">
        <v>1763</v>
      </c>
      <c r="B1781" s="5" t="s">
        <v>6</v>
      </c>
      <c r="C1781" s="5">
        <v>5442.61</v>
      </c>
      <c r="D1781" s="5">
        <v>55</v>
      </c>
      <c r="E1781" s="5">
        <v>0</v>
      </c>
      <c r="F1781" s="5">
        <v>0.79810000000000003</v>
      </c>
      <c r="G1781" s="5">
        <v>0.39269999999999999</v>
      </c>
      <c r="H1781" s="5">
        <v>1</v>
      </c>
      <c r="I1781" s="5">
        <v>500</v>
      </c>
      <c r="J1781" s="5">
        <v>9415.36</v>
      </c>
      <c r="K1781" s="5">
        <v>25</v>
      </c>
      <c r="L1781" s="5">
        <v>2</v>
      </c>
      <c r="M1781" s="5">
        <v>2</v>
      </c>
      <c r="N1781" s="5">
        <v>0</v>
      </c>
      <c r="O1781" s="5">
        <v>684.67</v>
      </c>
      <c r="P1781" s="6">
        <v>0</v>
      </c>
    </row>
    <row r="1782" spans="1:16" ht="23.4" x14ac:dyDescent="0.45">
      <c r="A1782" s="4" t="s">
        <v>1764</v>
      </c>
      <c r="B1782" s="5" t="s">
        <v>9</v>
      </c>
      <c r="C1782" s="5">
        <v>48750.61</v>
      </c>
      <c r="D1782" s="5">
        <v>30</v>
      </c>
      <c r="E1782" s="5">
        <v>0</v>
      </c>
      <c r="F1782" s="5">
        <v>0.5323</v>
      </c>
      <c r="G1782" s="5">
        <v>0.47549999999999998</v>
      </c>
      <c r="H1782" s="5">
        <v>8</v>
      </c>
      <c r="I1782" s="5">
        <v>30235.91</v>
      </c>
      <c r="J1782" s="5">
        <v>7936.54</v>
      </c>
      <c r="K1782" s="5">
        <v>97</v>
      </c>
      <c r="L1782" s="5">
        <v>2</v>
      </c>
      <c r="M1782" s="5">
        <v>1</v>
      </c>
      <c r="N1782" s="5">
        <v>0</v>
      </c>
      <c r="O1782" s="5">
        <v>568.02</v>
      </c>
      <c r="P1782" s="6">
        <v>1</v>
      </c>
    </row>
    <row r="1783" spans="1:16" ht="23.4" x14ac:dyDescent="0.45">
      <c r="A1783" s="4" t="s">
        <v>1765</v>
      </c>
      <c r="B1783" s="5" t="s">
        <v>1</v>
      </c>
      <c r="C1783" s="5">
        <v>103836.28</v>
      </c>
      <c r="D1783" s="5">
        <v>69</v>
      </c>
      <c r="E1783" s="5">
        <v>0</v>
      </c>
      <c r="F1783" s="5">
        <v>1</v>
      </c>
      <c r="G1783" s="5">
        <v>0.37</v>
      </c>
      <c r="H1783" s="5">
        <v>0</v>
      </c>
      <c r="I1783" s="5">
        <v>52120.57</v>
      </c>
      <c r="J1783" s="5">
        <v>55764.1</v>
      </c>
      <c r="K1783" s="5">
        <v>22</v>
      </c>
      <c r="L1783" s="5">
        <v>2</v>
      </c>
      <c r="M1783" s="5">
        <v>3</v>
      </c>
      <c r="N1783" s="5">
        <v>1</v>
      </c>
      <c r="O1783" s="5">
        <v>708.87</v>
      </c>
      <c r="P1783" s="6">
        <v>0</v>
      </c>
    </row>
    <row r="1784" spans="1:16" ht="23.4" x14ac:dyDescent="0.45">
      <c r="A1784" s="4" t="s">
        <v>1766</v>
      </c>
      <c r="B1784" s="5" t="s">
        <v>4</v>
      </c>
      <c r="C1784" s="5">
        <v>92813.6</v>
      </c>
      <c r="D1784" s="5">
        <v>34</v>
      </c>
      <c r="E1784" s="5">
        <v>0</v>
      </c>
      <c r="F1784" s="5">
        <v>0.46279999999999999</v>
      </c>
      <c r="G1784" s="5">
        <v>0.55879999999999996</v>
      </c>
      <c r="H1784" s="5">
        <v>2</v>
      </c>
      <c r="I1784" s="5">
        <v>65334.54</v>
      </c>
      <c r="J1784" s="5">
        <v>35636.720000000001</v>
      </c>
      <c r="K1784" s="5">
        <v>47</v>
      </c>
      <c r="L1784" s="5">
        <v>2</v>
      </c>
      <c r="M1784" s="5">
        <v>2</v>
      </c>
      <c r="N1784" s="5">
        <v>0</v>
      </c>
      <c r="O1784" s="5">
        <v>634.67999999999995</v>
      </c>
      <c r="P1784" s="6">
        <v>0</v>
      </c>
    </row>
    <row r="1785" spans="1:16" ht="23.4" x14ac:dyDescent="0.45">
      <c r="A1785" s="4" t="s">
        <v>1767</v>
      </c>
      <c r="B1785" s="5" t="s">
        <v>4</v>
      </c>
      <c r="C1785" s="5">
        <v>97882.45</v>
      </c>
      <c r="D1785" s="5">
        <v>56</v>
      </c>
      <c r="E1785" s="5">
        <v>1</v>
      </c>
      <c r="F1785" s="5">
        <v>0.72060000000000002</v>
      </c>
      <c r="G1785" s="5">
        <v>0.23100000000000001</v>
      </c>
      <c r="H1785" s="5">
        <v>4</v>
      </c>
      <c r="I1785" s="5">
        <v>27161.31</v>
      </c>
      <c r="J1785" s="5">
        <v>27382.48</v>
      </c>
      <c r="K1785" s="5">
        <v>175</v>
      </c>
      <c r="L1785" s="5">
        <v>1</v>
      </c>
      <c r="M1785" s="5">
        <v>1</v>
      </c>
      <c r="N1785" s="5">
        <v>2</v>
      </c>
      <c r="O1785" s="5">
        <v>758.62</v>
      </c>
      <c r="P1785" s="6">
        <v>0</v>
      </c>
    </row>
    <row r="1786" spans="1:16" ht="23.4" x14ac:dyDescent="0.45">
      <c r="A1786" s="4" t="s">
        <v>1768</v>
      </c>
      <c r="B1786" s="5" t="s">
        <v>18</v>
      </c>
      <c r="C1786" s="5">
        <v>76474.38</v>
      </c>
      <c r="D1786" s="5">
        <v>68</v>
      </c>
      <c r="E1786" s="5">
        <v>1</v>
      </c>
      <c r="F1786" s="5">
        <v>0.88470000000000004</v>
      </c>
      <c r="G1786" s="5">
        <v>0.17960000000000001</v>
      </c>
      <c r="H1786" s="5">
        <v>3</v>
      </c>
      <c r="I1786" s="5">
        <v>5706.96</v>
      </c>
      <c r="J1786" s="5">
        <v>0</v>
      </c>
      <c r="K1786" s="5">
        <v>69</v>
      </c>
      <c r="L1786" s="5">
        <v>2</v>
      </c>
      <c r="M1786" s="5">
        <v>2</v>
      </c>
      <c r="N1786" s="5">
        <v>0</v>
      </c>
      <c r="O1786" s="5">
        <v>701.79</v>
      </c>
      <c r="P1786" s="6">
        <v>0</v>
      </c>
    </row>
    <row r="1787" spans="1:16" ht="23.4" x14ac:dyDescent="0.45">
      <c r="A1787" s="4" t="s">
        <v>1769</v>
      </c>
      <c r="B1787" s="5" t="s">
        <v>18</v>
      </c>
      <c r="C1787" s="5">
        <v>96396.82</v>
      </c>
      <c r="D1787" s="5">
        <v>45</v>
      </c>
      <c r="E1787" s="5">
        <v>1</v>
      </c>
      <c r="F1787" s="5">
        <v>0.87919999999999998</v>
      </c>
      <c r="G1787" s="5">
        <v>7.7299999999999994E-2</v>
      </c>
      <c r="H1787" s="5">
        <v>0</v>
      </c>
      <c r="I1787" s="5">
        <v>23002.74</v>
      </c>
      <c r="J1787" s="5">
        <v>10908.51</v>
      </c>
      <c r="K1787" s="5">
        <v>97</v>
      </c>
      <c r="L1787" s="5">
        <v>2</v>
      </c>
      <c r="M1787" s="5">
        <v>2</v>
      </c>
      <c r="N1787" s="5">
        <v>2</v>
      </c>
      <c r="O1787" s="5">
        <v>819.39</v>
      </c>
      <c r="P1787" s="6">
        <v>0</v>
      </c>
    </row>
    <row r="1788" spans="1:16" ht="23.4" x14ac:dyDescent="0.45">
      <c r="A1788" s="4" t="s">
        <v>1770</v>
      </c>
      <c r="B1788" s="5" t="s">
        <v>1</v>
      </c>
      <c r="C1788" s="5">
        <v>84058.77</v>
      </c>
      <c r="D1788" s="5">
        <v>60</v>
      </c>
      <c r="E1788" s="5">
        <v>1</v>
      </c>
      <c r="F1788" s="5">
        <v>0.2475</v>
      </c>
      <c r="G1788" s="5">
        <v>0.46800000000000003</v>
      </c>
      <c r="H1788" s="5">
        <v>3</v>
      </c>
      <c r="I1788" s="5">
        <v>41781.269999999997</v>
      </c>
      <c r="J1788" s="5">
        <v>20872.39</v>
      </c>
      <c r="K1788" s="5">
        <v>47</v>
      </c>
      <c r="L1788" s="5">
        <v>3</v>
      </c>
      <c r="M1788" s="5">
        <v>1</v>
      </c>
      <c r="N1788" s="5">
        <v>1</v>
      </c>
      <c r="O1788" s="5">
        <v>579.52</v>
      </c>
      <c r="P1788" s="6">
        <v>0</v>
      </c>
    </row>
    <row r="1789" spans="1:16" ht="23.4" x14ac:dyDescent="0.45">
      <c r="A1789" s="4" t="s">
        <v>1771</v>
      </c>
      <c r="B1789" s="5" t="s">
        <v>6</v>
      </c>
      <c r="C1789" s="5">
        <v>122196.2</v>
      </c>
      <c r="D1789" s="5">
        <v>39</v>
      </c>
      <c r="E1789" s="5">
        <v>0</v>
      </c>
      <c r="F1789" s="5">
        <v>0.77080000000000004</v>
      </c>
      <c r="G1789" s="5">
        <v>0.32800000000000001</v>
      </c>
      <c r="H1789" s="5">
        <v>3</v>
      </c>
      <c r="I1789" s="5">
        <v>27765.55</v>
      </c>
      <c r="J1789" s="5">
        <v>18324</v>
      </c>
      <c r="K1789" s="5">
        <v>20</v>
      </c>
      <c r="L1789" s="5">
        <v>2</v>
      </c>
      <c r="M1789" s="5">
        <v>1</v>
      </c>
      <c r="N1789" s="5">
        <v>1</v>
      </c>
      <c r="O1789" s="5">
        <v>784.08</v>
      </c>
      <c r="P1789" s="6">
        <v>0</v>
      </c>
    </row>
    <row r="1790" spans="1:16" ht="23.4" x14ac:dyDescent="0.45">
      <c r="A1790" s="4" t="s">
        <v>1772</v>
      </c>
      <c r="B1790" s="5" t="s">
        <v>9</v>
      </c>
      <c r="C1790" s="5">
        <v>103834.62</v>
      </c>
      <c r="D1790" s="5">
        <v>68</v>
      </c>
      <c r="E1790" s="5">
        <v>1</v>
      </c>
      <c r="F1790" s="5">
        <v>0.54710000000000003</v>
      </c>
      <c r="G1790" s="5">
        <v>0.73440000000000005</v>
      </c>
      <c r="H1790" s="5">
        <v>4</v>
      </c>
      <c r="I1790" s="5">
        <v>74754.679999999993</v>
      </c>
      <c r="J1790" s="5">
        <v>42199.49</v>
      </c>
      <c r="K1790" s="5">
        <v>109</v>
      </c>
      <c r="L1790" s="5">
        <v>1</v>
      </c>
      <c r="M1790" s="5">
        <v>2</v>
      </c>
      <c r="N1790" s="5">
        <v>0</v>
      </c>
      <c r="O1790" s="5">
        <v>699.08</v>
      </c>
      <c r="P1790" s="6">
        <v>0</v>
      </c>
    </row>
    <row r="1791" spans="1:16" ht="23.4" x14ac:dyDescent="0.45">
      <c r="A1791" s="4" t="s">
        <v>1773</v>
      </c>
      <c r="B1791" s="5" t="s">
        <v>9</v>
      </c>
      <c r="C1791" s="5">
        <v>190109.71</v>
      </c>
      <c r="D1791" s="5">
        <v>48</v>
      </c>
      <c r="E1791" s="5">
        <v>1</v>
      </c>
      <c r="F1791" s="5">
        <v>0.97560000000000002</v>
      </c>
      <c r="G1791" s="5">
        <v>0.31559999999999999</v>
      </c>
      <c r="H1791" s="5">
        <v>5</v>
      </c>
      <c r="I1791" s="5">
        <v>55202.16</v>
      </c>
      <c r="J1791" s="5">
        <v>33356.86</v>
      </c>
      <c r="K1791" s="5">
        <v>104</v>
      </c>
      <c r="L1791" s="5">
        <v>2</v>
      </c>
      <c r="M1791" s="5">
        <v>1</v>
      </c>
      <c r="N1791" s="5">
        <v>1</v>
      </c>
      <c r="O1791" s="5">
        <v>702.51</v>
      </c>
      <c r="P1791" s="6">
        <v>0</v>
      </c>
    </row>
    <row r="1792" spans="1:16" ht="23.4" x14ac:dyDescent="0.45">
      <c r="A1792" s="4" t="s">
        <v>1285</v>
      </c>
      <c r="B1792" s="5" t="s">
        <v>6</v>
      </c>
      <c r="C1792" s="5">
        <v>54227.8</v>
      </c>
      <c r="D1792" s="5">
        <v>59</v>
      </c>
      <c r="E1792" s="5">
        <v>0</v>
      </c>
      <c r="F1792" s="5">
        <v>0.8548</v>
      </c>
      <c r="G1792" s="5">
        <v>0.38219999999999998</v>
      </c>
      <c r="H1792" s="5">
        <v>0</v>
      </c>
      <c r="I1792" s="5">
        <v>500</v>
      </c>
      <c r="J1792" s="5">
        <v>10546.8</v>
      </c>
      <c r="K1792" s="5">
        <v>6</v>
      </c>
      <c r="L1792" s="5">
        <v>1</v>
      </c>
      <c r="M1792" s="5">
        <v>1</v>
      </c>
      <c r="N1792" s="5">
        <v>0</v>
      </c>
      <c r="O1792" s="5">
        <v>724.22</v>
      </c>
      <c r="P1792" s="6">
        <v>0</v>
      </c>
    </row>
    <row r="1793" spans="1:16" ht="23.4" x14ac:dyDescent="0.45">
      <c r="A1793" s="4" t="s">
        <v>1774</v>
      </c>
      <c r="B1793" s="5" t="s">
        <v>18</v>
      </c>
      <c r="C1793" s="5">
        <v>117765.86</v>
      </c>
      <c r="D1793" s="5">
        <v>23</v>
      </c>
      <c r="E1793" s="5">
        <v>0</v>
      </c>
      <c r="F1793" s="5">
        <v>0.95820000000000005</v>
      </c>
      <c r="G1793" s="5">
        <v>0.76349999999999996</v>
      </c>
      <c r="H1793" s="5">
        <v>6</v>
      </c>
      <c r="I1793" s="5">
        <v>106226.66</v>
      </c>
      <c r="J1793" s="5">
        <v>89479.6</v>
      </c>
      <c r="K1793" s="5">
        <v>156</v>
      </c>
      <c r="L1793" s="5">
        <v>2</v>
      </c>
      <c r="M1793" s="5">
        <v>1</v>
      </c>
      <c r="N1793" s="5">
        <v>3</v>
      </c>
      <c r="O1793" s="5">
        <v>697.62</v>
      </c>
      <c r="P1793" s="6">
        <v>0</v>
      </c>
    </row>
    <row r="1794" spans="1:16" ht="23.4" x14ac:dyDescent="0.45">
      <c r="A1794" s="4" t="s">
        <v>1775</v>
      </c>
      <c r="B1794" s="5" t="s">
        <v>6</v>
      </c>
      <c r="C1794" s="5">
        <v>146277.70000000001</v>
      </c>
      <c r="D1794" s="5">
        <v>47</v>
      </c>
      <c r="E1794" s="5">
        <v>1</v>
      </c>
      <c r="F1794" s="5">
        <v>0.65549999999999997</v>
      </c>
      <c r="G1794" s="5">
        <v>5.45E-2</v>
      </c>
      <c r="H1794" s="5">
        <v>1</v>
      </c>
      <c r="I1794" s="5">
        <v>24896</v>
      </c>
      <c r="J1794" s="5">
        <v>17404.5</v>
      </c>
      <c r="K1794" s="5">
        <v>121</v>
      </c>
      <c r="L1794" s="5">
        <v>2</v>
      </c>
      <c r="M1794" s="5">
        <v>1</v>
      </c>
      <c r="N1794" s="5">
        <v>1</v>
      </c>
      <c r="O1794" s="5">
        <v>714.34</v>
      </c>
      <c r="P1794" s="6">
        <v>0</v>
      </c>
    </row>
    <row r="1795" spans="1:16" ht="23.4" x14ac:dyDescent="0.45">
      <c r="A1795" s="4" t="s">
        <v>1776</v>
      </c>
      <c r="B1795" s="5" t="s">
        <v>18</v>
      </c>
      <c r="C1795" s="5">
        <v>135139.28</v>
      </c>
      <c r="D1795" s="5">
        <v>22</v>
      </c>
      <c r="E1795" s="5">
        <v>1</v>
      </c>
      <c r="F1795" s="5">
        <v>0.59770000000000001</v>
      </c>
      <c r="G1795" s="5">
        <v>0.28470000000000001</v>
      </c>
      <c r="H1795" s="5">
        <v>2</v>
      </c>
      <c r="I1795" s="5">
        <v>24731.040000000001</v>
      </c>
      <c r="J1795" s="5">
        <v>724.28</v>
      </c>
      <c r="K1795" s="5">
        <v>98</v>
      </c>
      <c r="L1795" s="5">
        <v>2</v>
      </c>
      <c r="M1795" s="5">
        <v>1</v>
      </c>
      <c r="N1795" s="5">
        <v>2</v>
      </c>
      <c r="O1795" s="5">
        <v>729.57</v>
      </c>
      <c r="P1795" s="6">
        <v>0</v>
      </c>
    </row>
    <row r="1796" spans="1:16" ht="23.4" x14ac:dyDescent="0.45">
      <c r="A1796" s="4" t="s">
        <v>1777</v>
      </c>
      <c r="B1796" s="5" t="s">
        <v>18</v>
      </c>
      <c r="C1796" s="5">
        <v>143765.46</v>
      </c>
      <c r="D1796" s="5">
        <v>36</v>
      </c>
      <c r="E1796" s="5">
        <v>1</v>
      </c>
      <c r="F1796" s="5">
        <v>0.78190000000000004</v>
      </c>
      <c r="G1796" s="5">
        <v>0.26929999999999998</v>
      </c>
      <c r="H1796" s="5">
        <v>2</v>
      </c>
      <c r="I1796" s="5">
        <v>42573.15</v>
      </c>
      <c r="J1796" s="5">
        <v>40497.5</v>
      </c>
      <c r="K1796" s="5">
        <v>97</v>
      </c>
      <c r="L1796" s="5">
        <v>2</v>
      </c>
      <c r="M1796" s="5">
        <v>2</v>
      </c>
      <c r="N1796" s="5">
        <v>2</v>
      </c>
      <c r="O1796" s="5">
        <v>684.72</v>
      </c>
      <c r="P1796" s="6">
        <v>0</v>
      </c>
    </row>
    <row r="1797" spans="1:16" ht="23.4" x14ac:dyDescent="0.45">
      <c r="A1797" s="4" t="s">
        <v>1778</v>
      </c>
      <c r="B1797" s="5" t="s">
        <v>15</v>
      </c>
      <c r="C1797" s="5">
        <v>58560.23</v>
      </c>
      <c r="D1797" s="5">
        <v>61</v>
      </c>
      <c r="E1797" s="5">
        <v>1</v>
      </c>
      <c r="F1797" s="5">
        <v>0.82479999999999998</v>
      </c>
      <c r="G1797" s="5">
        <v>0.74670000000000003</v>
      </c>
      <c r="H1797" s="5">
        <v>1</v>
      </c>
      <c r="I1797" s="5">
        <v>65515.26</v>
      </c>
      <c r="J1797" s="5">
        <v>50375.51</v>
      </c>
      <c r="K1797" s="5">
        <v>17</v>
      </c>
      <c r="L1797" s="5">
        <v>1</v>
      </c>
      <c r="M1797" s="5">
        <v>3</v>
      </c>
      <c r="N1797" s="5">
        <v>3</v>
      </c>
      <c r="O1797" s="5">
        <v>642.48</v>
      </c>
      <c r="P1797" s="6">
        <v>0</v>
      </c>
    </row>
    <row r="1798" spans="1:16" ht="23.4" x14ac:dyDescent="0.45">
      <c r="A1798" s="4" t="s">
        <v>1779</v>
      </c>
      <c r="B1798" s="5" t="s">
        <v>1</v>
      </c>
      <c r="C1798" s="5">
        <v>86969.34</v>
      </c>
      <c r="D1798" s="5">
        <v>32</v>
      </c>
      <c r="E1798" s="5">
        <v>1</v>
      </c>
      <c r="F1798" s="5">
        <v>0.69579999999999997</v>
      </c>
      <c r="G1798" s="5">
        <v>0.39</v>
      </c>
      <c r="H1798" s="5">
        <v>1</v>
      </c>
      <c r="I1798" s="5">
        <v>56032.58</v>
      </c>
      <c r="J1798" s="5">
        <v>42985.39</v>
      </c>
      <c r="K1798" s="5">
        <v>59</v>
      </c>
      <c r="L1798" s="5">
        <v>3</v>
      </c>
      <c r="M1798" s="5">
        <v>2</v>
      </c>
      <c r="N1798" s="5">
        <v>0</v>
      </c>
      <c r="O1798" s="5">
        <v>680.48</v>
      </c>
      <c r="P1798" s="6">
        <v>0</v>
      </c>
    </row>
    <row r="1799" spans="1:16" ht="23.4" x14ac:dyDescent="0.45">
      <c r="A1799" s="4" t="s">
        <v>1780</v>
      </c>
      <c r="B1799" s="5" t="s">
        <v>18</v>
      </c>
      <c r="C1799" s="5">
        <v>156252.29</v>
      </c>
      <c r="D1799" s="5">
        <v>46</v>
      </c>
      <c r="E1799" s="5">
        <v>0</v>
      </c>
      <c r="F1799" s="5">
        <v>0.57469999999999999</v>
      </c>
      <c r="G1799" s="5">
        <v>0.41870000000000002</v>
      </c>
      <c r="H1799" s="5">
        <v>4</v>
      </c>
      <c r="I1799" s="5">
        <v>59662.45</v>
      </c>
      <c r="J1799" s="5">
        <v>46578.21</v>
      </c>
      <c r="K1799" s="5">
        <v>67</v>
      </c>
      <c r="L1799" s="5">
        <v>4</v>
      </c>
      <c r="M1799" s="5">
        <v>1</v>
      </c>
      <c r="N1799" s="5">
        <v>2</v>
      </c>
      <c r="O1799" s="5">
        <v>685.8</v>
      </c>
      <c r="P1799" s="6">
        <v>0</v>
      </c>
    </row>
    <row r="1800" spans="1:16" ht="23.4" x14ac:dyDescent="0.45">
      <c r="A1800" s="4" t="s">
        <v>1781</v>
      </c>
      <c r="B1800" s="5" t="s">
        <v>9</v>
      </c>
      <c r="C1800" s="5">
        <v>81825.37</v>
      </c>
      <c r="D1800" s="5">
        <v>44</v>
      </c>
      <c r="E1800" s="5">
        <v>1</v>
      </c>
      <c r="F1800" s="5">
        <v>0.39360000000000001</v>
      </c>
      <c r="G1800" s="5">
        <v>0.31940000000000002</v>
      </c>
      <c r="H1800" s="5">
        <v>1</v>
      </c>
      <c r="I1800" s="5">
        <v>30210.799999999999</v>
      </c>
      <c r="J1800" s="5">
        <v>12853.76</v>
      </c>
      <c r="K1800" s="5">
        <v>29</v>
      </c>
      <c r="L1800" s="5">
        <v>1</v>
      </c>
      <c r="M1800" s="5">
        <v>2</v>
      </c>
      <c r="N1800" s="5">
        <v>1</v>
      </c>
      <c r="O1800" s="5">
        <v>605.30999999999995</v>
      </c>
      <c r="P1800" s="6">
        <v>0</v>
      </c>
    </row>
    <row r="1801" spans="1:16" ht="23.4" x14ac:dyDescent="0.45">
      <c r="A1801" s="4" t="s">
        <v>1782</v>
      </c>
      <c r="B1801" s="5" t="s">
        <v>4</v>
      </c>
      <c r="C1801" s="5">
        <v>81800.509999999995</v>
      </c>
      <c r="D1801" s="5">
        <v>34</v>
      </c>
      <c r="E1801" s="5">
        <v>1</v>
      </c>
      <c r="F1801" s="5">
        <v>1</v>
      </c>
      <c r="G1801" s="5">
        <v>0.59809999999999997</v>
      </c>
      <c r="H1801" s="5">
        <v>4</v>
      </c>
      <c r="I1801" s="5">
        <v>49051.22</v>
      </c>
      <c r="J1801" s="5">
        <v>36618.53</v>
      </c>
      <c r="K1801" s="5">
        <v>132</v>
      </c>
      <c r="L1801" s="5">
        <v>2</v>
      </c>
      <c r="M1801" s="5">
        <v>1</v>
      </c>
      <c r="N1801" s="5">
        <v>1</v>
      </c>
      <c r="O1801" s="5">
        <v>762.47</v>
      </c>
      <c r="P1801" s="6">
        <v>0</v>
      </c>
    </row>
    <row r="1802" spans="1:16" ht="23.4" x14ac:dyDescent="0.45">
      <c r="A1802" s="4" t="s">
        <v>1783</v>
      </c>
      <c r="B1802" s="5" t="s">
        <v>15</v>
      </c>
      <c r="C1802" s="5">
        <v>47135.25</v>
      </c>
      <c r="D1802" s="5">
        <v>24</v>
      </c>
      <c r="E1802" s="5">
        <v>1</v>
      </c>
      <c r="F1802" s="5">
        <v>0.66569999999999996</v>
      </c>
      <c r="G1802" s="5">
        <v>0.77270000000000005</v>
      </c>
      <c r="H1802" s="5">
        <v>6</v>
      </c>
      <c r="I1802" s="5">
        <v>500</v>
      </c>
      <c r="J1802" s="5">
        <v>0</v>
      </c>
      <c r="K1802" s="5">
        <v>27</v>
      </c>
      <c r="L1802" s="5">
        <v>1</v>
      </c>
      <c r="M1802" s="5">
        <v>2</v>
      </c>
      <c r="N1802" s="5">
        <v>0</v>
      </c>
      <c r="O1802" s="5">
        <v>710.22</v>
      </c>
      <c r="P1802" s="6">
        <v>0</v>
      </c>
    </row>
    <row r="1803" spans="1:16" ht="23.4" x14ac:dyDescent="0.45">
      <c r="A1803" s="4" t="s">
        <v>1784</v>
      </c>
      <c r="B1803" s="5" t="s">
        <v>6</v>
      </c>
      <c r="C1803" s="5">
        <v>77094.880000000005</v>
      </c>
      <c r="D1803" s="5">
        <v>55</v>
      </c>
      <c r="E1803" s="5">
        <v>0</v>
      </c>
      <c r="F1803" s="5">
        <v>0.45910000000000001</v>
      </c>
      <c r="G1803" s="5">
        <v>0.58440000000000003</v>
      </c>
      <c r="H1803" s="5">
        <v>4</v>
      </c>
      <c r="I1803" s="5">
        <v>44183.85</v>
      </c>
      <c r="J1803" s="5">
        <v>26750.22</v>
      </c>
      <c r="K1803" s="5">
        <v>122</v>
      </c>
      <c r="L1803" s="5">
        <v>1</v>
      </c>
      <c r="M1803" s="5">
        <v>2</v>
      </c>
      <c r="N1803" s="5">
        <v>0</v>
      </c>
      <c r="O1803" s="5">
        <v>635.32000000000005</v>
      </c>
      <c r="P1803" s="6">
        <v>0</v>
      </c>
    </row>
    <row r="1804" spans="1:16" ht="23.4" x14ac:dyDescent="0.45">
      <c r="A1804" s="4" t="s">
        <v>1785</v>
      </c>
      <c r="B1804" s="5" t="s">
        <v>15</v>
      </c>
      <c r="C1804" s="5">
        <v>69057.69</v>
      </c>
      <c r="D1804" s="5">
        <v>69</v>
      </c>
      <c r="E1804" s="5">
        <v>1</v>
      </c>
      <c r="F1804" s="5">
        <v>0.74870000000000003</v>
      </c>
      <c r="G1804" s="5">
        <v>0.32100000000000001</v>
      </c>
      <c r="H1804" s="5">
        <v>2</v>
      </c>
      <c r="I1804" s="5">
        <v>8525.7900000000009</v>
      </c>
      <c r="J1804" s="5">
        <v>0</v>
      </c>
      <c r="K1804" s="5">
        <v>6</v>
      </c>
      <c r="L1804" s="5">
        <v>1</v>
      </c>
      <c r="M1804" s="5">
        <v>1</v>
      </c>
      <c r="N1804" s="5">
        <v>1</v>
      </c>
      <c r="O1804" s="5">
        <v>758</v>
      </c>
      <c r="P1804" s="6">
        <v>0</v>
      </c>
    </row>
    <row r="1805" spans="1:16" ht="23.4" x14ac:dyDescent="0.45">
      <c r="A1805" s="4" t="s">
        <v>1786</v>
      </c>
      <c r="B1805" s="5" t="s">
        <v>4</v>
      </c>
      <c r="C1805" s="5">
        <v>186864.12</v>
      </c>
      <c r="D1805" s="5">
        <v>44</v>
      </c>
      <c r="E1805" s="5">
        <v>0</v>
      </c>
      <c r="F1805" s="5">
        <v>0.8175</v>
      </c>
      <c r="G1805" s="5">
        <v>0.34410000000000002</v>
      </c>
      <c r="H1805" s="5">
        <v>2</v>
      </c>
      <c r="I1805" s="5">
        <v>61941.33</v>
      </c>
      <c r="J1805" s="5">
        <v>50031.45</v>
      </c>
      <c r="K1805" s="5">
        <v>19</v>
      </c>
      <c r="L1805" s="5">
        <v>1</v>
      </c>
      <c r="M1805" s="5">
        <v>2</v>
      </c>
      <c r="N1805" s="5">
        <v>2</v>
      </c>
      <c r="O1805" s="5">
        <v>728.52</v>
      </c>
      <c r="P1805" s="6">
        <v>0</v>
      </c>
    </row>
    <row r="1806" spans="1:16" ht="23.4" x14ac:dyDescent="0.45">
      <c r="A1806" s="4" t="s">
        <v>1787</v>
      </c>
      <c r="B1806" s="5" t="s">
        <v>18</v>
      </c>
      <c r="C1806" s="5">
        <v>75361.570000000007</v>
      </c>
      <c r="D1806" s="5">
        <v>65</v>
      </c>
      <c r="E1806" s="5">
        <v>1</v>
      </c>
      <c r="F1806" s="5">
        <v>0.53139999999999998</v>
      </c>
      <c r="G1806" s="5">
        <v>0.62070000000000003</v>
      </c>
      <c r="H1806" s="5">
        <v>4</v>
      </c>
      <c r="I1806" s="5">
        <v>51209.38</v>
      </c>
      <c r="J1806" s="5">
        <v>27128.400000000001</v>
      </c>
      <c r="K1806" s="5">
        <v>30</v>
      </c>
      <c r="L1806" s="5">
        <v>1</v>
      </c>
      <c r="M1806" s="5">
        <v>2</v>
      </c>
      <c r="N1806" s="5">
        <v>0</v>
      </c>
      <c r="O1806" s="5">
        <v>650.33000000000004</v>
      </c>
      <c r="P1806" s="6">
        <v>0</v>
      </c>
    </row>
    <row r="1807" spans="1:16" ht="23.4" x14ac:dyDescent="0.45">
      <c r="A1807" s="4" t="s">
        <v>1788</v>
      </c>
      <c r="B1807" s="5" t="s">
        <v>1</v>
      </c>
      <c r="C1807" s="5">
        <v>96665.2</v>
      </c>
      <c r="D1807" s="5">
        <v>37</v>
      </c>
      <c r="E1807" s="5">
        <v>1</v>
      </c>
      <c r="F1807" s="5">
        <v>0.58679999999999999</v>
      </c>
      <c r="G1807" s="5">
        <v>0.70179999999999998</v>
      </c>
      <c r="H1807" s="5">
        <v>5</v>
      </c>
      <c r="I1807" s="5">
        <v>73060.899999999994</v>
      </c>
      <c r="J1807" s="5">
        <v>51730.62</v>
      </c>
      <c r="K1807" s="5">
        <v>69</v>
      </c>
      <c r="L1807" s="5">
        <v>1</v>
      </c>
      <c r="M1807" s="5">
        <v>2</v>
      </c>
      <c r="N1807" s="5">
        <v>0</v>
      </c>
      <c r="O1807" s="5">
        <v>615.66</v>
      </c>
      <c r="P1807" s="6">
        <v>0</v>
      </c>
    </row>
    <row r="1808" spans="1:16" ht="23.4" x14ac:dyDescent="0.45">
      <c r="A1808" s="4" t="s">
        <v>1789</v>
      </c>
      <c r="B1808" s="5" t="s">
        <v>1</v>
      </c>
      <c r="C1808" s="5">
        <v>98116.15</v>
      </c>
      <c r="D1808" s="5">
        <v>41</v>
      </c>
      <c r="E1808" s="5">
        <v>1</v>
      </c>
      <c r="F1808" s="5">
        <v>0.74180000000000001</v>
      </c>
      <c r="G1808" s="5">
        <v>0.47720000000000001</v>
      </c>
      <c r="H1808" s="5">
        <v>8</v>
      </c>
      <c r="I1808" s="5">
        <v>61951.49</v>
      </c>
      <c r="J1808" s="5">
        <v>51809.97</v>
      </c>
      <c r="K1808" s="5">
        <v>18</v>
      </c>
      <c r="L1808" s="5">
        <v>2</v>
      </c>
      <c r="M1808" s="5">
        <v>1</v>
      </c>
      <c r="N1808" s="5">
        <v>0</v>
      </c>
      <c r="O1808" s="5">
        <v>796.25</v>
      </c>
      <c r="P1808" s="6">
        <v>0</v>
      </c>
    </row>
    <row r="1809" spans="1:16" ht="23.4" x14ac:dyDescent="0.45">
      <c r="A1809" s="4" t="s">
        <v>1790</v>
      </c>
      <c r="B1809" s="5" t="s">
        <v>6</v>
      </c>
      <c r="C1809" s="5">
        <v>72048.679999999993</v>
      </c>
      <c r="D1809" s="5">
        <v>25</v>
      </c>
      <c r="E1809" s="5">
        <v>1</v>
      </c>
      <c r="F1809" s="5">
        <v>0.80300000000000005</v>
      </c>
      <c r="G1809" s="5">
        <v>0.51190000000000002</v>
      </c>
      <c r="H1809" s="5">
        <v>2</v>
      </c>
      <c r="I1809" s="5">
        <v>34693.07</v>
      </c>
      <c r="J1809" s="5">
        <v>20373.55</v>
      </c>
      <c r="K1809" s="5">
        <v>170</v>
      </c>
      <c r="L1809" s="5">
        <v>1</v>
      </c>
      <c r="M1809" s="5">
        <v>1</v>
      </c>
      <c r="N1809" s="5">
        <v>0</v>
      </c>
      <c r="O1809" s="5">
        <v>687.41</v>
      </c>
      <c r="P1809" s="6">
        <v>0</v>
      </c>
    </row>
    <row r="1810" spans="1:16" ht="23.4" x14ac:dyDescent="0.45">
      <c r="A1810" s="4" t="s">
        <v>1791</v>
      </c>
      <c r="B1810" s="5" t="s">
        <v>18</v>
      </c>
      <c r="C1810" s="5">
        <v>97626.98</v>
      </c>
      <c r="D1810" s="5">
        <v>67</v>
      </c>
      <c r="E1810" s="5">
        <v>0</v>
      </c>
      <c r="F1810" s="5">
        <v>0.58760000000000001</v>
      </c>
      <c r="G1810" s="5">
        <v>0.2152</v>
      </c>
      <c r="H1810" s="5">
        <v>1</v>
      </c>
      <c r="I1810" s="5">
        <v>35422.559999999998</v>
      </c>
      <c r="J1810" s="5">
        <v>13194.38</v>
      </c>
      <c r="K1810" s="5">
        <v>91</v>
      </c>
      <c r="L1810" s="5">
        <v>1</v>
      </c>
      <c r="M1810" s="5">
        <v>1</v>
      </c>
      <c r="N1810" s="5">
        <v>1</v>
      </c>
      <c r="O1810" s="5">
        <v>670.85</v>
      </c>
      <c r="P1810" s="6">
        <v>0</v>
      </c>
    </row>
    <row r="1811" spans="1:16" ht="23.4" x14ac:dyDescent="0.45">
      <c r="A1811" s="4" t="s">
        <v>1792</v>
      </c>
      <c r="B1811" s="5" t="s">
        <v>4</v>
      </c>
      <c r="C1811" s="5">
        <v>167531.85999999999</v>
      </c>
      <c r="D1811" s="5">
        <v>48</v>
      </c>
      <c r="E1811" s="5">
        <v>0</v>
      </c>
      <c r="F1811" s="5">
        <v>0.73299999999999998</v>
      </c>
      <c r="G1811" s="5">
        <v>0.25140000000000001</v>
      </c>
      <c r="H1811" s="5">
        <v>0</v>
      </c>
      <c r="I1811" s="5">
        <v>34135.379999999997</v>
      </c>
      <c r="J1811" s="5">
        <v>25385.91</v>
      </c>
      <c r="K1811" s="5">
        <v>19</v>
      </c>
      <c r="L1811" s="5">
        <v>2</v>
      </c>
      <c r="M1811" s="5">
        <v>2</v>
      </c>
      <c r="N1811" s="5">
        <v>0</v>
      </c>
      <c r="O1811" s="5">
        <v>752.6</v>
      </c>
      <c r="P1811" s="6">
        <v>0</v>
      </c>
    </row>
    <row r="1812" spans="1:16" ht="23.4" x14ac:dyDescent="0.45">
      <c r="A1812" s="4" t="s">
        <v>1793</v>
      </c>
      <c r="B1812" s="5" t="s">
        <v>6</v>
      </c>
      <c r="C1812" s="5">
        <v>25791.439999999999</v>
      </c>
      <c r="D1812" s="5">
        <v>61</v>
      </c>
      <c r="E1812" s="5">
        <v>1</v>
      </c>
      <c r="F1812" s="5">
        <v>0.78520000000000001</v>
      </c>
      <c r="G1812" s="5">
        <v>0.78339999999999999</v>
      </c>
      <c r="H1812" s="5">
        <v>2</v>
      </c>
      <c r="I1812" s="5">
        <v>16933.84</v>
      </c>
      <c r="J1812" s="5">
        <v>22379.91</v>
      </c>
      <c r="K1812" s="5">
        <v>169</v>
      </c>
      <c r="L1812" s="5">
        <v>2</v>
      </c>
      <c r="M1812" s="5">
        <v>1</v>
      </c>
      <c r="N1812" s="5">
        <v>1</v>
      </c>
      <c r="O1812" s="5">
        <v>688.43</v>
      </c>
      <c r="P1812" s="6">
        <v>0</v>
      </c>
    </row>
    <row r="1813" spans="1:16" ht="23.4" x14ac:dyDescent="0.45">
      <c r="A1813" s="4" t="s">
        <v>1794</v>
      </c>
      <c r="B1813" s="5" t="s">
        <v>6</v>
      </c>
      <c r="C1813" s="5">
        <v>135547.1</v>
      </c>
      <c r="D1813" s="5">
        <v>42</v>
      </c>
      <c r="E1813" s="5">
        <v>1</v>
      </c>
      <c r="F1813" s="5">
        <v>0.44040000000000001</v>
      </c>
      <c r="G1813" s="5">
        <v>0</v>
      </c>
      <c r="H1813" s="5">
        <v>3</v>
      </c>
      <c r="I1813" s="5">
        <v>500</v>
      </c>
      <c r="J1813" s="5">
        <v>4319.63</v>
      </c>
      <c r="K1813" s="5">
        <v>22</v>
      </c>
      <c r="L1813" s="5">
        <v>1</v>
      </c>
      <c r="M1813" s="5">
        <v>2</v>
      </c>
      <c r="N1813" s="5">
        <v>0</v>
      </c>
      <c r="O1813" s="5">
        <v>631.84</v>
      </c>
      <c r="P1813" s="6">
        <v>0</v>
      </c>
    </row>
    <row r="1814" spans="1:16" ht="23.4" x14ac:dyDescent="0.45">
      <c r="A1814" s="4" t="s">
        <v>1795</v>
      </c>
      <c r="B1814" s="5" t="s">
        <v>4</v>
      </c>
      <c r="C1814" s="5">
        <v>111333.52</v>
      </c>
      <c r="D1814" s="5">
        <v>53</v>
      </c>
      <c r="E1814" s="5">
        <v>1</v>
      </c>
      <c r="F1814" s="5">
        <v>0.3054</v>
      </c>
      <c r="G1814" s="5">
        <v>0.91679999999999995</v>
      </c>
      <c r="H1814" s="5">
        <v>7</v>
      </c>
      <c r="I1814" s="5">
        <v>95944.53</v>
      </c>
      <c r="J1814" s="5">
        <v>51989.74</v>
      </c>
      <c r="K1814" s="5">
        <v>127</v>
      </c>
      <c r="L1814" s="5">
        <v>3</v>
      </c>
      <c r="M1814" s="5">
        <v>1</v>
      </c>
      <c r="N1814" s="5">
        <v>0</v>
      </c>
      <c r="O1814" s="5">
        <v>667.41</v>
      </c>
      <c r="P1814" s="6">
        <v>1</v>
      </c>
    </row>
    <row r="1815" spans="1:16" ht="23.4" x14ac:dyDescent="0.45">
      <c r="A1815" s="4" t="s">
        <v>1796</v>
      </c>
      <c r="B1815" s="5" t="s">
        <v>4</v>
      </c>
      <c r="C1815" s="5">
        <v>33408.58</v>
      </c>
      <c r="D1815" s="5">
        <v>49</v>
      </c>
      <c r="E1815" s="5">
        <v>0</v>
      </c>
      <c r="F1815" s="5">
        <v>0.78369999999999995</v>
      </c>
      <c r="G1815" s="5">
        <v>0</v>
      </c>
      <c r="H1815" s="5">
        <v>2</v>
      </c>
      <c r="I1815" s="5">
        <v>500</v>
      </c>
      <c r="J1815" s="5">
        <v>0</v>
      </c>
      <c r="K1815" s="5">
        <v>92</v>
      </c>
      <c r="L1815" s="5">
        <v>1</v>
      </c>
      <c r="M1815" s="5">
        <v>2</v>
      </c>
      <c r="N1815" s="5">
        <v>1</v>
      </c>
      <c r="O1815" s="5">
        <v>656.69</v>
      </c>
      <c r="P1815" s="6">
        <v>0</v>
      </c>
    </row>
    <row r="1816" spans="1:16" ht="23.4" x14ac:dyDescent="0.45">
      <c r="A1816" s="4" t="s">
        <v>1797</v>
      </c>
      <c r="B1816" s="5" t="s">
        <v>15</v>
      </c>
      <c r="C1816" s="5">
        <v>134451</v>
      </c>
      <c r="D1816" s="5">
        <v>70</v>
      </c>
      <c r="E1816" s="5">
        <v>0</v>
      </c>
      <c r="F1816" s="5">
        <v>0.90329999999999999</v>
      </c>
      <c r="G1816" s="5">
        <v>0</v>
      </c>
      <c r="H1816" s="5">
        <v>0</v>
      </c>
      <c r="I1816" s="5">
        <v>500</v>
      </c>
      <c r="J1816" s="5">
        <v>0</v>
      </c>
      <c r="K1816" s="5">
        <v>57</v>
      </c>
      <c r="L1816" s="5">
        <v>3</v>
      </c>
      <c r="M1816" s="5">
        <v>2</v>
      </c>
      <c r="N1816" s="5">
        <v>3</v>
      </c>
      <c r="O1816" s="5">
        <v>678.07</v>
      </c>
      <c r="P1816" s="6">
        <v>0</v>
      </c>
    </row>
    <row r="1817" spans="1:16" ht="23.4" x14ac:dyDescent="0.45">
      <c r="A1817" s="4" t="s">
        <v>1798</v>
      </c>
      <c r="B1817" s="5" t="s">
        <v>18</v>
      </c>
      <c r="C1817" s="5">
        <v>92327.48</v>
      </c>
      <c r="D1817" s="5">
        <v>42</v>
      </c>
      <c r="E1817" s="5">
        <v>0</v>
      </c>
      <c r="F1817" s="5">
        <v>0.5847</v>
      </c>
      <c r="G1817" s="5">
        <v>0.42299999999999999</v>
      </c>
      <c r="H1817" s="5">
        <v>0</v>
      </c>
      <c r="I1817" s="5">
        <v>44727.33</v>
      </c>
      <c r="J1817" s="5">
        <v>46329.120000000003</v>
      </c>
      <c r="K1817" s="5">
        <v>166</v>
      </c>
      <c r="L1817" s="5">
        <v>2</v>
      </c>
      <c r="M1817" s="5">
        <v>1</v>
      </c>
      <c r="N1817" s="5">
        <v>0</v>
      </c>
      <c r="O1817" s="5">
        <v>626.98</v>
      </c>
      <c r="P1817" s="6">
        <v>0</v>
      </c>
    </row>
    <row r="1818" spans="1:16" ht="23.4" x14ac:dyDescent="0.45">
      <c r="A1818" s="4" t="s">
        <v>1799</v>
      </c>
      <c r="B1818" s="5" t="s">
        <v>4</v>
      </c>
      <c r="C1818" s="5">
        <v>77057.22</v>
      </c>
      <c r="D1818" s="5">
        <v>53</v>
      </c>
      <c r="E1818" s="5">
        <v>1</v>
      </c>
      <c r="F1818" s="5">
        <v>0.9456</v>
      </c>
      <c r="G1818" s="5">
        <v>0.39889999999999998</v>
      </c>
      <c r="H1818" s="5">
        <v>1</v>
      </c>
      <c r="I1818" s="5">
        <v>17068.25</v>
      </c>
      <c r="J1818" s="5">
        <v>9407.7999999999993</v>
      </c>
      <c r="K1818" s="5">
        <v>31</v>
      </c>
      <c r="L1818" s="5">
        <v>2</v>
      </c>
      <c r="M1818" s="5">
        <v>2</v>
      </c>
      <c r="N1818" s="5">
        <v>0</v>
      </c>
      <c r="O1818" s="5">
        <v>647.39</v>
      </c>
      <c r="P1818" s="6">
        <v>0</v>
      </c>
    </row>
    <row r="1819" spans="1:16" ht="23.4" x14ac:dyDescent="0.45">
      <c r="A1819" s="4" t="s">
        <v>1800</v>
      </c>
      <c r="B1819" s="5" t="s">
        <v>15</v>
      </c>
      <c r="C1819" s="5">
        <v>101881.31</v>
      </c>
      <c r="D1819" s="5">
        <v>69</v>
      </c>
      <c r="E1819" s="5">
        <v>1</v>
      </c>
      <c r="F1819" s="5">
        <v>0.89319999999999999</v>
      </c>
      <c r="G1819" s="5">
        <v>0.19869999999999999</v>
      </c>
      <c r="H1819" s="5">
        <v>0</v>
      </c>
      <c r="I1819" s="5">
        <v>7272.64</v>
      </c>
      <c r="J1819" s="5">
        <v>2024.61</v>
      </c>
      <c r="K1819" s="5">
        <v>134</v>
      </c>
      <c r="L1819" s="5">
        <v>1</v>
      </c>
      <c r="M1819" s="5">
        <v>1</v>
      </c>
      <c r="N1819" s="5">
        <v>1</v>
      </c>
      <c r="O1819" s="5">
        <v>775.18</v>
      </c>
      <c r="P1819" s="6">
        <v>0</v>
      </c>
    </row>
    <row r="1820" spans="1:16" ht="23.4" x14ac:dyDescent="0.45">
      <c r="A1820" s="4" t="s">
        <v>1801</v>
      </c>
      <c r="B1820" s="5" t="s">
        <v>6</v>
      </c>
      <c r="C1820" s="5">
        <v>83400.95</v>
      </c>
      <c r="D1820" s="5">
        <v>36</v>
      </c>
      <c r="E1820" s="5">
        <v>1</v>
      </c>
      <c r="F1820" s="5">
        <v>0.61909999999999998</v>
      </c>
      <c r="G1820" s="5">
        <v>0.84830000000000005</v>
      </c>
      <c r="H1820" s="5">
        <v>5</v>
      </c>
      <c r="I1820" s="5">
        <v>56286.42</v>
      </c>
      <c r="J1820" s="5">
        <v>37725.620000000003</v>
      </c>
      <c r="K1820" s="5">
        <v>126</v>
      </c>
      <c r="L1820" s="5">
        <v>2</v>
      </c>
      <c r="M1820" s="5">
        <v>2</v>
      </c>
      <c r="N1820" s="5">
        <v>1</v>
      </c>
      <c r="O1820" s="5">
        <v>701.39</v>
      </c>
      <c r="P1820" s="6">
        <v>0</v>
      </c>
    </row>
    <row r="1821" spans="1:16" ht="23.4" x14ac:dyDescent="0.45">
      <c r="A1821" s="4" t="s">
        <v>1802</v>
      </c>
      <c r="B1821" s="5" t="s">
        <v>15</v>
      </c>
      <c r="C1821" s="5">
        <v>77377.05</v>
      </c>
      <c r="D1821" s="5">
        <v>51</v>
      </c>
      <c r="E1821" s="5">
        <v>0</v>
      </c>
      <c r="F1821" s="5">
        <v>1</v>
      </c>
      <c r="G1821" s="5">
        <v>0.26190000000000002</v>
      </c>
      <c r="H1821" s="5">
        <v>6</v>
      </c>
      <c r="I1821" s="5">
        <v>24088.959999999999</v>
      </c>
      <c r="J1821" s="5">
        <v>14415.22</v>
      </c>
      <c r="K1821" s="5">
        <v>59</v>
      </c>
      <c r="L1821" s="5">
        <v>1</v>
      </c>
      <c r="M1821" s="5">
        <v>3</v>
      </c>
      <c r="N1821" s="5">
        <v>3</v>
      </c>
      <c r="O1821" s="5">
        <v>780.51</v>
      </c>
      <c r="P1821" s="6">
        <v>0</v>
      </c>
    </row>
    <row r="1822" spans="1:16" ht="23.4" x14ac:dyDescent="0.45">
      <c r="A1822" s="4" t="s">
        <v>1803</v>
      </c>
      <c r="B1822" s="5" t="s">
        <v>18</v>
      </c>
      <c r="C1822" s="5">
        <v>115399.99</v>
      </c>
      <c r="D1822" s="5">
        <v>70</v>
      </c>
      <c r="E1822" s="5">
        <v>1</v>
      </c>
      <c r="F1822" s="5">
        <v>1</v>
      </c>
      <c r="G1822" s="5">
        <v>0.25109999999999999</v>
      </c>
      <c r="H1822" s="5">
        <v>2</v>
      </c>
      <c r="I1822" s="5">
        <v>11060.26</v>
      </c>
      <c r="J1822" s="5">
        <v>0</v>
      </c>
      <c r="K1822" s="5">
        <v>154</v>
      </c>
      <c r="L1822" s="5">
        <v>4</v>
      </c>
      <c r="M1822" s="5">
        <v>2</v>
      </c>
      <c r="N1822" s="5">
        <v>0</v>
      </c>
      <c r="O1822" s="5">
        <v>733.71</v>
      </c>
      <c r="P1822" s="6">
        <v>0</v>
      </c>
    </row>
    <row r="1823" spans="1:16" ht="23.4" x14ac:dyDescent="0.45">
      <c r="A1823" s="4" t="s">
        <v>1804</v>
      </c>
      <c r="B1823" s="5" t="s">
        <v>6</v>
      </c>
      <c r="C1823" s="5">
        <v>50469.16</v>
      </c>
      <c r="D1823" s="5">
        <v>33</v>
      </c>
      <c r="E1823" s="5">
        <v>0</v>
      </c>
      <c r="F1823" s="5">
        <v>0.51859999999999995</v>
      </c>
      <c r="G1823" s="5">
        <v>0.2399</v>
      </c>
      <c r="H1823" s="5">
        <v>2</v>
      </c>
      <c r="I1823" s="5">
        <v>500</v>
      </c>
      <c r="J1823" s="5">
        <v>4229.8999999999996</v>
      </c>
      <c r="K1823" s="5">
        <v>82</v>
      </c>
      <c r="L1823" s="5">
        <v>1</v>
      </c>
      <c r="M1823" s="5">
        <v>1</v>
      </c>
      <c r="N1823" s="5">
        <v>1</v>
      </c>
      <c r="O1823" s="5">
        <v>613.65</v>
      </c>
      <c r="P1823" s="6">
        <v>0</v>
      </c>
    </row>
    <row r="1824" spans="1:16" ht="23.4" x14ac:dyDescent="0.45">
      <c r="A1824" s="4" t="s">
        <v>1805</v>
      </c>
      <c r="B1824" s="5" t="s">
        <v>9</v>
      </c>
      <c r="C1824" s="5">
        <v>17285.53</v>
      </c>
      <c r="D1824" s="5">
        <v>28</v>
      </c>
      <c r="E1824" s="5">
        <v>0</v>
      </c>
      <c r="F1824" s="5">
        <v>0.154</v>
      </c>
      <c r="G1824" s="5">
        <v>0.50770000000000004</v>
      </c>
      <c r="H1824" s="5">
        <v>5</v>
      </c>
      <c r="I1824" s="5">
        <v>29028.67</v>
      </c>
      <c r="J1824" s="5">
        <v>6643.71</v>
      </c>
      <c r="K1824" s="5">
        <v>151</v>
      </c>
      <c r="L1824" s="5">
        <v>2</v>
      </c>
      <c r="M1824" s="5">
        <v>2</v>
      </c>
      <c r="N1824" s="5">
        <v>1</v>
      </c>
      <c r="O1824" s="5">
        <v>598.85</v>
      </c>
      <c r="P1824" s="6">
        <v>0</v>
      </c>
    </row>
    <row r="1825" spans="1:16" ht="23.4" x14ac:dyDescent="0.45">
      <c r="A1825" s="4" t="s">
        <v>1806</v>
      </c>
      <c r="B1825" s="5" t="s">
        <v>6</v>
      </c>
      <c r="C1825" s="5">
        <v>49071.41</v>
      </c>
      <c r="D1825" s="5">
        <v>35</v>
      </c>
      <c r="E1825" s="5">
        <v>0</v>
      </c>
      <c r="F1825" s="5">
        <v>0.7278</v>
      </c>
      <c r="G1825" s="5">
        <v>0.57310000000000005</v>
      </c>
      <c r="H1825" s="5">
        <v>4</v>
      </c>
      <c r="I1825" s="5">
        <v>32654.74</v>
      </c>
      <c r="J1825" s="5">
        <v>18815.169999999998</v>
      </c>
      <c r="K1825" s="5">
        <v>152</v>
      </c>
      <c r="L1825" s="5">
        <v>1</v>
      </c>
      <c r="M1825" s="5">
        <v>1</v>
      </c>
      <c r="N1825" s="5">
        <v>1</v>
      </c>
      <c r="O1825" s="5">
        <v>714.89</v>
      </c>
      <c r="P1825" s="6">
        <v>0</v>
      </c>
    </row>
    <row r="1826" spans="1:16" ht="23.4" x14ac:dyDescent="0.45">
      <c r="A1826" s="4" t="s">
        <v>1807</v>
      </c>
      <c r="B1826" s="5" t="s">
        <v>18</v>
      </c>
      <c r="C1826" s="5">
        <v>81734.97</v>
      </c>
      <c r="D1826" s="5">
        <v>69</v>
      </c>
      <c r="E1826" s="5">
        <v>0</v>
      </c>
      <c r="F1826" s="5">
        <v>0.9627</v>
      </c>
      <c r="G1826" s="5">
        <v>0.40450000000000003</v>
      </c>
      <c r="H1826" s="5">
        <v>1</v>
      </c>
      <c r="I1826" s="5">
        <v>37684.089999999997</v>
      </c>
      <c r="J1826" s="5">
        <v>50842.98</v>
      </c>
      <c r="K1826" s="5">
        <v>61</v>
      </c>
      <c r="L1826" s="5">
        <v>2</v>
      </c>
      <c r="M1826" s="5">
        <v>2</v>
      </c>
      <c r="N1826" s="5">
        <v>2</v>
      </c>
      <c r="O1826" s="5">
        <v>710.7</v>
      </c>
      <c r="P1826" s="6">
        <v>0</v>
      </c>
    </row>
    <row r="1827" spans="1:16" ht="23.4" x14ac:dyDescent="0.45">
      <c r="A1827" s="4" t="s">
        <v>1808</v>
      </c>
      <c r="B1827" s="5" t="s">
        <v>9</v>
      </c>
      <c r="C1827" s="5">
        <v>64589.82</v>
      </c>
      <c r="D1827" s="5">
        <v>55</v>
      </c>
      <c r="E1827" s="5">
        <v>0</v>
      </c>
      <c r="F1827" s="5">
        <v>0.74490000000000001</v>
      </c>
      <c r="G1827" s="5">
        <v>0.20469999999999999</v>
      </c>
      <c r="H1827" s="5">
        <v>3</v>
      </c>
      <c r="I1827" s="5">
        <v>500</v>
      </c>
      <c r="J1827" s="5">
        <v>0</v>
      </c>
      <c r="K1827" s="5">
        <v>21</v>
      </c>
      <c r="L1827" s="5">
        <v>4</v>
      </c>
      <c r="M1827" s="5">
        <v>2</v>
      </c>
      <c r="N1827" s="5">
        <v>1</v>
      </c>
      <c r="O1827" s="5">
        <v>698.91</v>
      </c>
      <c r="P1827" s="6">
        <v>0</v>
      </c>
    </row>
    <row r="1828" spans="1:16" ht="23.4" x14ac:dyDescent="0.45">
      <c r="A1828" s="4" t="s">
        <v>1809</v>
      </c>
      <c r="B1828" s="5" t="s">
        <v>4</v>
      </c>
      <c r="C1828" s="5">
        <v>120592.37</v>
      </c>
      <c r="D1828" s="5">
        <v>55</v>
      </c>
      <c r="E1828" s="5">
        <v>0</v>
      </c>
      <c r="F1828" s="5">
        <v>0.7681</v>
      </c>
      <c r="G1828" s="5">
        <v>0.61250000000000004</v>
      </c>
      <c r="H1828" s="5">
        <v>5</v>
      </c>
      <c r="I1828" s="5">
        <v>93343.74</v>
      </c>
      <c r="J1828" s="5">
        <v>64393.07</v>
      </c>
      <c r="K1828" s="5">
        <v>157</v>
      </c>
      <c r="L1828" s="5">
        <v>2</v>
      </c>
      <c r="M1828" s="5">
        <v>1</v>
      </c>
      <c r="N1828" s="5">
        <v>0</v>
      </c>
      <c r="O1828" s="5">
        <v>744</v>
      </c>
      <c r="P1828" s="6">
        <v>0</v>
      </c>
    </row>
    <row r="1829" spans="1:16" ht="23.4" x14ac:dyDescent="0.45">
      <c r="A1829" s="4" t="s">
        <v>1810</v>
      </c>
      <c r="B1829" s="5" t="s">
        <v>4</v>
      </c>
      <c r="C1829" s="5">
        <v>36422.57</v>
      </c>
      <c r="D1829" s="5">
        <v>23</v>
      </c>
      <c r="E1829" s="5">
        <v>1</v>
      </c>
      <c r="F1829" s="5">
        <v>0.85029999999999994</v>
      </c>
      <c r="G1829" s="5">
        <v>0.66039999999999999</v>
      </c>
      <c r="H1829" s="5">
        <v>7</v>
      </c>
      <c r="I1829" s="5">
        <v>4169.68</v>
      </c>
      <c r="J1829" s="5">
        <v>10359.44</v>
      </c>
      <c r="K1829" s="5">
        <v>145</v>
      </c>
      <c r="L1829" s="5">
        <v>4</v>
      </c>
      <c r="M1829" s="5">
        <v>2</v>
      </c>
      <c r="N1829" s="5">
        <v>0</v>
      </c>
      <c r="O1829" s="5">
        <v>671.77</v>
      </c>
      <c r="P1829" s="6">
        <v>0</v>
      </c>
    </row>
    <row r="1830" spans="1:16" ht="23.4" x14ac:dyDescent="0.45">
      <c r="A1830" s="4" t="s">
        <v>1811</v>
      </c>
      <c r="B1830" s="5" t="s">
        <v>1</v>
      </c>
      <c r="C1830" s="5">
        <v>126245.98</v>
      </c>
      <c r="D1830" s="5">
        <v>28</v>
      </c>
      <c r="E1830" s="5">
        <v>0</v>
      </c>
      <c r="F1830" s="5">
        <v>0.7409</v>
      </c>
      <c r="G1830" s="5">
        <v>0.81120000000000003</v>
      </c>
      <c r="H1830" s="5">
        <v>4</v>
      </c>
      <c r="I1830" s="5">
        <v>100852.02</v>
      </c>
      <c r="J1830" s="5">
        <v>87204.43</v>
      </c>
      <c r="K1830" s="5">
        <v>90</v>
      </c>
      <c r="L1830" s="5">
        <v>1</v>
      </c>
      <c r="M1830" s="5">
        <v>1</v>
      </c>
      <c r="N1830" s="5">
        <v>0</v>
      </c>
      <c r="O1830" s="5">
        <v>722.94</v>
      </c>
      <c r="P1830" s="6">
        <v>0</v>
      </c>
    </row>
    <row r="1831" spans="1:16" ht="23.4" x14ac:dyDescent="0.45">
      <c r="A1831" s="4" t="s">
        <v>1812</v>
      </c>
      <c r="B1831" s="5" t="s">
        <v>9</v>
      </c>
      <c r="C1831" s="5">
        <v>104508.1</v>
      </c>
      <c r="D1831" s="5">
        <v>24</v>
      </c>
      <c r="E1831" s="5">
        <v>1</v>
      </c>
      <c r="F1831" s="5">
        <v>0.61309999999999998</v>
      </c>
      <c r="G1831" s="5">
        <v>9.6100000000000005E-2</v>
      </c>
      <c r="H1831" s="5">
        <v>0</v>
      </c>
      <c r="I1831" s="5">
        <v>500</v>
      </c>
      <c r="J1831" s="5">
        <v>10258.5</v>
      </c>
      <c r="K1831" s="5">
        <v>58</v>
      </c>
      <c r="L1831" s="5">
        <v>3</v>
      </c>
      <c r="M1831" s="5">
        <v>1</v>
      </c>
      <c r="N1831" s="5">
        <v>0</v>
      </c>
      <c r="O1831" s="5">
        <v>685.95</v>
      </c>
      <c r="P1831" s="6">
        <v>0</v>
      </c>
    </row>
    <row r="1832" spans="1:16" ht="23.4" x14ac:dyDescent="0.45">
      <c r="A1832" s="4" t="s">
        <v>1813</v>
      </c>
      <c r="B1832" s="5" t="s">
        <v>9</v>
      </c>
      <c r="C1832" s="5">
        <v>146928.6</v>
      </c>
      <c r="D1832" s="5">
        <v>26</v>
      </c>
      <c r="E1832" s="5">
        <v>0</v>
      </c>
      <c r="F1832" s="5">
        <v>0.88109999999999999</v>
      </c>
      <c r="G1832" s="5">
        <v>0.43140000000000001</v>
      </c>
      <c r="H1832" s="5">
        <v>2</v>
      </c>
      <c r="I1832" s="5">
        <v>82140.070000000007</v>
      </c>
      <c r="J1832" s="5">
        <v>52041.4</v>
      </c>
      <c r="K1832" s="5">
        <v>31</v>
      </c>
      <c r="L1832" s="5">
        <v>2</v>
      </c>
      <c r="M1832" s="5">
        <v>1</v>
      </c>
      <c r="N1832" s="5">
        <v>2</v>
      </c>
      <c r="O1832" s="5">
        <v>753.41</v>
      </c>
      <c r="P1832" s="6">
        <v>0</v>
      </c>
    </row>
    <row r="1833" spans="1:16" ht="23.4" x14ac:dyDescent="0.45">
      <c r="A1833" s="4" t="s">
        <v>1814</v>
      </c>
      <c r="B1833" s="5" t="s">
        <v>15</v>
      </c>
      <c r="C1833" s="5">
        <v>92469.74</v>
      </c>
      <c r="D1833" s="5">
        <v>63</v>
      </c>
      <c r="E1833" s="5">
        <v>0</v>
      </c>
      <c r="F1833" s="5">
        <v>0.77990000000000004</v>
      </c>
      <c r="G1833" s="5">
        <v>0.29020000000000001</v>
      </c>
      <c r="H1833" s="5">
        <v>4</v>
      </c>
      <c r="I1833" s="5">
        <v>19009.509999999998</v>
      </c>
      <c r="J1833" s="5">
        <v>9824.3799999999992</v>
      </c>
      <c r="K1833" s="5">
        <v>36</v>
      </c>
      <c r="L1833" s="5">
        <v>1</v>
      </c>
      <c r="M1833" s="5">
        <v>2</v>
      </c>
      <c r="N1833" s="5">
        <v>2</v>
      </c>
      <c r="O1833" s="5">
        <v>679.32</v>
      </c>
      <c r="P1833" s="6">
        <v>0</v>
      </c>
    </row>
    <row r="1834" spans="1:16" ht="23.4" x14ac:dyDescent="0.45">
      <c r="A1834" s="4" t="s">
        <v>1815</v>
      </c>
      <c r="B1834" s="5" t="s">
        <v>6</v>
      </c>
      <c r="C1834" s="5">
        <v>123840.87</v>
      </c>
      <c r="D1834" s="5">
        <v>65</v>
      </c>
      <c r="E1834" s="5">
        <v>1</v>
      </c>
      <c r="F1834" s="5">
        <v>0.87439999999999996</v>
      </c>
      <c r="G1834" s="5">
        <v>0.91279999999999994</v>
      </c>
      <c r="H1834" s="5">
        <v>7</v>
      </c>
      <c r="I1834" s="5">
        <v>116728.39</v>
      </c>
      <c r="J1834" s="5">
        <v>95851.19</v>
      </c>
      <c r="K1834" s="5">
        <v>136</v>
      </c>
      <c r="L1834" s="5">
        <v>2</v>
      </c>
      <c r="M1834" s="5">
        <v>1</v>
      </c>
      <c r="N1834" s="5">
        <v>2</v>
      </c>
      <c r="O1834" s="5">
        <v>690.76</v>
      </c>
      <c r="P1834" s="6">
        <v>0</v>
      </c>
    </row>
    <row r="1835" spans="1:16" ht="23.4" x14ac:dyDescent="0.45">
      <c r="A1835" s="4" t="s">
        <v>1816</v>
      </c>
      <c r="B1835" s="5" t="s">
        <v>6</v>
      </c>
      <c r="C1835" s="5">
        <v>106043.72</v>
      </c>
      <c r="D1835" s="5">
        <v>26</v>
      </c>
      <c r="E1835" s="5">
        <v>0</v>
      </c>
      <c r="F1835" s="5">
        <v>0.97689999999999999</v>
      </c>
      <c r="G1835" s="5">
        <v>0.48309999999999997</v>
      </c>
      <c r="H1835" s="5">
        <v>1</v>
      </c>
      <c r="I1835" s="5">
        <v>88993.75</v>
      </c>
      <c r="J1835" s="5">
        <v>66091.039999999994</v>
      </c>
      <c r="K1835" s="5">
        <v>153</v>
      </c>
      <c r="L1835" s="5">
        <v>4</v>
      </c>
      <c r="M1835" s="5">
        <v>1</v>
      </c>
      <c r="N1835" s="5">
        <v>1</v>
      </c>
      <c r="O1835" s="5">
        <v>679.61</v>
      </c>
      <c r="P1835" s="6">
        <v>0</v>
      </c>
    </row>
    <row r="1836" spans="1:16" ht="23.4" x14ac:dyDescent="0.45">
      <c r="A1836" s="4" t="s">
        <v>1817</v>
      </c>
      <c r="B1836" s="5" t="s">
        <v>4</v>
      </c>
      <c r="C1836" s="5">
        <v>87014.85</v>
      </c>
      <c r="D1836" s="5">
        <v>66</v>
      </c>
      <c r="E1836" s="5">
        <v>0</v>
      </c>
      <c r="F1836" s="5">
        <v>0.76119999999999999</v>
      </c>
      <c r="G1836" s="5">
        <v>0.44419999999999998</v>
      </c>
      <c r="H1836" s="5">
        <v>7</v>
      </c>
      <c r="I1836" s="5">
        <v>39631.71</v>
      </c>
      <c r="J1836" s="5">
        <v>30466.13</v>
      </c>
      <c r="K1836" s="5">
        <v>158</v>
      </c>
      <c r="L1836" s="5">
        <v>2</v>
      </c>
      <c r="M1836" s="5">
        <v>3</v>
      </c>
      <c r="N1836" s="5">
        <v>0</v>
      </c>
      <c r="O1836" s="5">
        <v>774.92</v>
      </c>
      <c r="P1836" s="6">
        <v>0</v>
      </c>
    </row>
    <row r="1837" spans="1:16" ht="23.4" x14ac:dyDescent="0.45">
      <c r="A1837" s="4" t="s">
        <v>1818</v>
      </c>
      <c r="B1837" s="5" t="s">
        <v>18</v>
      </c>
      <c r="C1837" s="5">
        <v>112984.4</v>
      </c>
      <c r="D1837" s="5">
        <v>42</v>
      </c>
      <c r="E1837" s="5">
        <v>1</v>
      </c>
      <c r="F1837" s="5">
        <v>0.78779999999999994</v>
      </c>
      <c r="G1837" s="5">
        <v>0.5917</v>
      </c>
      <c r="H1837" s="5">
        <v>4</v>
      </c>
      <c r="I1837" s="5">
        <v>49290.11</v>
      </c>
      <c r="J1837" s="5">
        <v>34050.720000000001</v>
      </c>
      <c r="K1837" s="5">
        <v>41</v>
      </c>
      <c r="L1837" s="5">
        <v>2</v>
      </c>
      <c r="M1837" s="5">
        <v>1</v>
      </c>
      <c r="N1837" s="5">
        <v>1</v>
      </c>
      <c r="O1837" s="5">
        <v>719.14</v>
      </c>
      <c r="P1837" s="6">
        <v>0</v>
      </c>
    </row>
    <row r="1838" spans="1:16" ht="23.4" x14ac:dyDescent="0.45">
      <c r="A1838" s="4" t="s">
        <v>1819</v>
      </c>
      <c r="B1838" s="5" t="s">
        <v>15</v>
      </c>
      <c r="C1838" s="5">
        <v>74309.929999999993</v>
      </c>
      <c r="D1838" s="5">
        <v>59</v>
      </c>
      <c r="E1838" s="5">
        <v>0</v>
      </c>
      <c r="F1838" s="5">
        <v>0.4446</v>
      </c>
      <c r="G1838" s="5">
        <v>0.34370000000000001</v>
      </c>
      <c r="H1838" s="5">
        <v>1</v>
      </c>
      <c r="I1838" s="5">
        <v>500</v>
      </c>
      <c r="J1838" s="5">
        <v>0</v>
      </c>
      <c r="K1838" s="5">
        <v>115</v>
      </c>
      <c r="L1838" s="5">
        <v>2</v>
      </c>
      <c r="M1838" s="5">
        <v>1</v>
      </c>
      <c r="N1838" s="5">
        <v>1</v>
      </c>
      <c r="O1838" s="5">
        <v>716.14</v>
      </c>
      <c r="P1838" s="6">
        <v>0</v>
      </c>
    </row>
    <row r="1839" spans="1:16" ht="23.4" x14ac:dyDescent="0.45">
      <c r="A1839" s="4" t="s">
        <v>1820</v>
      </c>
      <c r="B1839" s="5" t="s">
        <v>4</v>
      </c>
      <c r="C1839" s="5">
        <v>80105.83</v>
      </c>
      <c r="D1839" s="5">
        <v>44</v>
      </c>
      <c r="E1839" s="5">
        <v>0</v>
      </c>
      <c r="F1839" s="5">
        <v>1</v>
      </c>
      <c r="G1839" s="5">
        <v>0.87080000000000002</v>
      </c>
      <c r="H1839" s="5">
        <v>4</v>
      </c>
      <c r="I1839" s="5">
        <v>56711.839999999997</v>
      </c>
      <c r="J1839" s="5">
        <v>27319.01</v>
      </c>
      <c r="K1839" s="5">
        <v>108</v>
      </c>
      <c r="L1839" s="5">
        <v>1</v>
      </c>
      <c r="M1839" s="5">
        <v>1</v>
      </c>
      <c r="N1839" s="5">
        <v>1</v>
      </c>
      <c r="O1839" s="5">
        <v>743</v>
      </c>
      <c r="P1839" s="6">
        <v>0</v>
      </c>
    </row>
    <row r="1840" spans="1:16" ht="23.4" x14ac:dyDescent="0.45">
      <c r="A1840" s="4" t="s">
        <v>1821</v>
      </c>
      <c r="B1840" s="5" t="s">
        <v>18</v>
      </c>
      <c r="C1840" s="5">
        <v>107132.23</v>
      </c>
      <c r="D1840" s="5">
        <v>61</v>
      </c>
      <c r="E1840" s="5">
        <v>0</v>
      </c>
      <c r="F1840" s="5">
        <v>0.59760000000000002</v>
      </c>
      <c r="G1840" s="5">
        <v>0.35589999999999999</v>
      </c>
      <c r="H1840" s="5">
        <v>0</v>
      </c>
      <c r="I1840" s="5">
        <v>31951.51</v>
      </c>
      <c r="J1840" s="5">
        <v>23151.119999999999</v>
      </c>
      <c r="K1840" s="5">
        <v>173</v>
      </c>
      <c r="L1840" s="5">
        <v>2</v>
      </c>
      <c r="M1840" s="5">
        <v>1</v>
      </c>
      <c r="N1840" s="5">
        <v>0</v>
      </c>
      <c r="O1840" s="5">
        <v>741.19</v>
      </c>
      <c r="P1840" s="6">
        <v>0</v>
      </c>
    </row>
    <row r="1841" spans="1:16" ht="23.4" x14ac:dyDescent="0.45">
      <c r="A1841" s="4" t="s">
        <v>1822</v>
      </c>
      <c r="B1841" s="5" t="s">
        <v>6</v>
      </c>
      <c r="C1841" s="5">
        <v>53567.63</v>
      </c>
      <c r="D1841" s="5">
        <v>26</v>
      </c>
      <c r="E1841" s="5">
        <v>1</v>
      </c>
      <c r="F1841" s="5">
        <v>0.49780000000000002</v>
      </c>
      <c r="G1841" s="5">
        <v>1</v>
      </c>
      <c r="H1841" s="5">
        <v>6</v>
      </c>
      <c r="I1841" s="5">
        <v>50097.74</v>
      </c>
      <c r="J1841" s="5">
        <v>34063.61</v>
      </c>
      <c r="K1841" s="5">
        <v>102</v>
      </c>
      <c r="L1841" s="5">
        <v>2</v>
      </c>
      <c r="M1841" s="5">
        <v>3</v>
      </c>
      <c r="N1841" s="5">
        <v>0</v>
      </c>
      <c r="O1841" s="5">
        <v>803.66</v>
      </c>
      <c r="P1841" s="6">
        <v>0</v>
      </c>
    </row>
    <row r="1842" spans="1:16" ht="23.4" x14ac:dyDescent="0.45">
      <c r="A1842" s="4" t="s">
        <v>1823</v>
      </c>
      <c r="B1842" s="5" t="s">
        <v>15</v>
      </c>
      <c r="C1842" s="5">
        <v>157618.10999999999</v>
      </c>
      <c r="D1842" s="5">
        <v>49</v>
      </c>
      <c r="E1842" s="5">
        <v>1</v>
      </c>
      <c r="F1842" s="5">
        <v>0.7782</v>
      </c>
      <c r="G1842" s="5">
        <v>0.4204</v>
      </c>
      <c r="H1842" s="5">
        <v>2</v>
      </c>
      <c r="I1842" s="5">
        <v>105669.79</v>
      </c>
      <c r="J1842" s="5">
        <v>75841.77</v>
      </c>
      <c r="K1842" s="5">
        <v>111</v>
      </c>
      <c r="L1842" s="5">
        <v>2</v>
      </c>
      <c r="M1842" s="5">
        <v>2</v>
      </c>
      <c r="N1842" s="5">
        <v>1</v>
      </c>
      <c r="O1842" s="5">
        <v>817.82</v>
      </c>
      <c r="P1842" s="6">
        <v>0</v>
      </c>
    </row>
    <row r="1843" spans="1:16" ht="23.4" x14ac:dyDescent="0.45">
      <c r="A1843" s="4" t="s">
        <v>1824</v>
      </c>
      <c r="B1843" s="5" t="s">
        <v>6</v>
      </c>
      <c r="C1843" s="5">
        <v>84018.68</v>
      </c>
      <c r="D1843" s="5">
        <v>29</v>
      </c>
      <c r="E1843" s="5">
        <v>1</v>
      </c>
      <c r="F1843" s="5">
        <v>0.67579999999999996</v>
      </c>
      <c r="G1843" s="5">
        <v>0.39300000000000002</v>
      </c>
      <c r="H1843" s="5">
        <v>1</v>
      </c>
      <c r="I1843" s="5">
        <v>38389.53</v>
      </c>
      <c r="J1843" s="5">
        <v>24971.89</v>
      </c>
      <c r="K1843" s="5">
        <v>174</v>
      </c>
      <c r="L1843" s="5">
        <v>1</v>
      </c>
      <c r="M1843" s="5">
        <v>1</v>
      </c>
      <c r="N1843" s="5">
        <v>1</v>
      </c>
      <c r="O1843" s="5">
        <v>669.62</v>
      </c>
      <c r="P1843" s="6">
        <v>0</v>
      </c>
    </row>
    <row r="1844" spans="1:16" ht="23.4" x14ac:dyDescent="0.45">
      <c r="A1844" s="4" t="s">
        <v>1825</v>
      </c>
      <c r="B1844" s="5" t="s">
        <v>4</v>
      </c>
      <c r="C1844" s="5">
        <v>55482.25</v>
      </c>
      <c r="D1844" s="5">
        <v>55</v>
      </c>
      <c r="E1844" s="5">
        <v>0</v>
      </c>
      <c r="F1844" s="5">
        <v>0.64359999999999995</v>
      </c>
      <c r="G1844" s="5">
        <v>0.36149999999999999</v>
      </c>
      <c r="H1844" s="5">
        <v>4</v>
      </c>
      <c r="I1844" s="5">
        <v>25542.27</v>
      </c>
      <c r="J1844" s="5">
        <v>21130.73</v>
      </c>
      <c r="K1844" s="5">
        <v>161</v>
      </c>
      <c r="L1844" s="5">
        <v>2</v>
      </c>
      <c r="M1844" s="5">
        <v>1</v>
      </c>
      <c r="N1844" s="5">
        <v>0</v>
      </c>
      <c r="O1844" s="5">
        <v>779.12</v>
      </c>
      <c r="P1844" s="6">
        <v>0</v>
      </c>
    </row>
    <row r="1845" spans="1:16" ht="23.4" x14ac:dyDescent="0.45">
      <c r="A1845" s="4" t="s">
        <v>1826</v>
      </c>
      <c r="B1845" s="5" t="s">
        <v>9</v>
      </c>
      <c r="C1845" s="5">
        <v>129683.36</v>
      </c>
      <c r="D1845" s="5">
        <v>49</v>
      </c>
      <c r="E1845" s="5">
        <v>1</v>
      </c>
      <c r="F1845" s="5">
        <v>0.62170000000000003</v>
      </c>
      <c r="G1845" s="5">
        <v>0.32379999999999998</v>
      </c>
      <c r="H1845" s="5">
        <v>0</v>
      </c>
      <c r="I1845" s="5">
        <v>60721.07</v>
      </c>
      <c r="J1845" s="5">
        <v>34102.480000000003</v>
      </c>
      <c r="K1845" s="5">
        <v>94</v>
      </c>
      <c r="L1845" s="5">
        <v>2</v>
      </c>
      <c r="M1845" s="5">
        <v>2</v>
      </c>
      <c r="N1845" s="5">
        <v>2</v>
      </c>
      <c r="O1845" s="5">
        <v>563.72</v>
      </c>
      <c r="P1845" s="6">
        <v>0</v>
      </c>
    </row>
    <row r="1846" spans="1:16" ht="23.4" x14ac:dyDescent="0.45">
      <c r="A1846" s="4" t="s">
        <v>1827</v>
      </c>
      <c r="B1846" s="5" t="s">
        <v>15</v>
      </c>
      <c r="C1846" s="5">
        <v>57256.07</v>
      </c>
      <c r="D1846" s="5">
        <v>49</v>
      </c>
      <c r="E1846" s="5">
        <v>0</v>
      </c>
      <c r="F1846" s="5">
        <v>1</v>
      </c>
      <c r="G1846" s="5">
        <v>0.53480000000000005</v>
      </c>
      <c r="H1846" s="5">
        <v>3</v>
      </c>
      <c r="I1846" s="5">
        <v>18121.54</v>
      </c>
      <c r="J1846" s="5">
        <v>6110.19</v>
      </c>
      <c r="K1846" s="5">
        <v>7</v>
      </c>
      <c r="L1846" s="5">
        <v>3</v>
      </c>
      <c r="M1846" s="5">
        <v>1</v>
      </c>
      <c r="N1846" s="5">
        <v>0</v>
      </c>
      <c r="O1846" s="5">
        <v>699.91</v>
      </c>
      <c r="P1846" s="6">
        <v>0</v>
      </c>
    </row>
    <row r="1847" spans="1:16" ht="23.4" x14ac:dyDescent="0.45">
      <c r="A1847" s="4" t="s">
        <v>1828</v>
      </c>
      <c r="B1847" s="5" t="s">
        <v>9</v>
      </c>
      <c r="C1847" s="5">
        <v>26686.5</v>
      </c>
      <c r="D1847" s="5">
        <v>56</v>
      </c>
      <c r="E1847" s="5">
        <v>1</v>
      </c>
      <c r="F1847" s="5">
        <v>0.96830000000000005</v>
      </c>
      <c r="G1847" s="5">
        <v>0.35880000000000001</v>
      </c>
      <c r="H1847" s="5">
        <v>1</v>
      </c>
      <c r="I1847" s="5">
        <v>12044.37</v>
      </c>
      <c r="J1847" s="5">
        <v>16419.47</v>
      </c>
      <c r="K1847" s="5">
        <v>24</v>
      </c>
      <c r="L1847" s="5">
        <v>1</v>
      </c>
      <c r="M1847" s="5">
        <v>1</v>
      </c>
      <c r="N1847" s="5">
        <v>1</v>
      </c>
      <c r="O1847" s="5">
        <v>791.26</v>
      </c>
      <c r="P1847" s="6">
        <v>0</v>
      </c>
    </row>
    <row r="1848" spans="1:16" ht="23.4" x14ac:dyDescent="0.45">
      <c r="A1848" s="4" t="s">
        <v>1829</v>
      </c>
      <c r="B1848" s="5" t="s">
        <v>1</v>
      </c>
      <c r="C1848" s="5">
        <v>80558.039999999994</v>
      </c>
      <c r="D1848" s="5">
        <v>40</v>
      </c>
      <c r="E1848" s="5">
        <v>1</v>
      </c>
      <c r="F1848" s="5">
        <v>0.5262</v>
      </c>
      <c r="G1848" s="5">
        <v>0.59899999999999998</v>
      </c>
      <c r="H1848" s="5">
        <v>4</v>
      </c>
      <c r="I1848" s="5">
        <v>49753.82</v>
      </c>
      <c r="J1848" s="5">
        <v>16334.55</v>
      </c>
      <c r="K1848" s="5">
        <v>136</v>
      </c>
      <c r="L1848" s="5">
        <v>3</v>
      </c>
      <c r="M1848" s="5">
        <v>1</v>
      </c>
      <c r="N1848" s="5">
        <v>1</v>
      </c>
      <c r="O1848" s="5">
        <v>647.19000000000005</v>
      </c>
      <c r="P1848" s="6">
        <v>0</v>
      </c>
    </row>
    <row r="1849" spans="1:16" ht="23.4" x14ac:dyDescent="0.45">
      <c r="A1849" s="4" t="s">
        <v>1830</v>
      </c>
      <c r="B1849" s="5" t="s">
        <v>4</v>
      </c>
      <c r="C1849" s="5">
        <v>145699.19</v>
      </c>
      <c r="D1849" s="5">
        <v>39</v>
      </c>
      <c r="E1849" s="5">
        <v>0</v>
      </c>
      <c r="F1849" s="5">
        <v>0.66959999999999997</v>
      </c>
      <c r="G1849" s="5">
        <v>5.0099999999999999E-2</v>
      </c>
      <c r="H1849" s="5">
        <v>0</v>
      </c>
      <c r="I1849" s="5">
        <v>4387.8100000000004</v>
      </c>
      <c r="J1849" s="5">
        <v>0</v>
      </c>
      <c r="K1849" s="5">
        <v>162</v>
      </c>
      <c r="L1849" s="5">
        <v>1</v>
      </c>
      <c r="M1849" s="5">
        <v>1</v>
      </c>
      <c r="N1849" s="5">
        <v>1</v>
      </c>
      <c r="O1849" s="5">
        <v>656.55</v>
      </c>
      <c r="P1849" s="6">
        <v>0</v>
      </c>
    </row>
    <row r="1850" spans="1:16" ht="23.4" x14ac:dyDescent="0.45">
      <c r="A1850" s="4" t="s">
        <v>1831</v>
      </c>
      <c r="B1850" s="5" t="s">
        <v>18</v>
      </c>
      <c r="C1850" s="5">
        <v>145078.85</v>
      </c>
      <c r="D1850" s="5">
        <v>22</v>
      </c>
      <c r="E1850" s="5">
        <v>0</v>
      </c>
      <c r="F1850" s="5">
        <v>0.55049999999999999</v>
      </c>
      <c r="G1850" s="5">
        <v>0.31719999999999998</v>
      </c>
      <c r="H1850" s="5">
        <v>1</v>
      </c>
      <c r="I1850" s="5">
        <v>21893.46</v>
      </c>
      <c r="J1850" s="5">
        <v>8641.89</v>
      </c>
      <c r="K1850" s="5">
        <v>176</v>
      </c>
      <c r="L1850" s="5">
        <v>1</v>
      </c>
      <c r="M1850" s="5">
        <v>1</v>
      </c>
      <c r="N1850" s="5">
        <v>1</v>
      </c>
      <c r="O1850" s="5">
        <v>675.96</v>
      </c>
      <c r="P1850" s="6">
        <v>0</v>
      </c>
    </row>
    <row r="1851" spans="1:16" ht="23.4" x14ac:dyDescent="0.45">
      <c r="A1851" s="4" t="s">
        <v>1832</v>
      </c>
      <c r="B1851" s="5" t="s">
        <v>1</v>
      </c>
      <c r="C1851" s="5">
        <v>19181.88</v>
      </c>
      <c r="D1851" s="5">
        <v>36</v>
      </c>
      <c r="E1851" s="5">
        <v>1</v>
      </c>
      <c r="F1851" s="5">
        <v>0.78869999999999996</v>
      </c>
      <c r="G1851" s="5">
        <v>0.17180000000000001</v>
      </c>
      <c r="H1851" s="5">
        <v>0</v>
      </c>
      <c r="I1851" s="5">
        <v>500</v>
      </c>
      <c r="J1851" s="5">
        <v>0</v>
      </c>
      <c r="K1851" s="5">
        <v>94</v>
      </c>
      <c r="L1851" s="5">
        <v>3</v>
      </c>
      <c r="M1851" s="5">
        <v>2</v>
      </c>
      <c r="N1851" s="5">
        <v>1</v>
      </c>
      <c r="O1851" s="5">
        <v>777.05</v>
      </c>
      <c r="P1851" s="6">
        <v>0</v>
      </c>
    </row>
    <row r="1852" spans="1:16" ht="23.4" x14ac:dyDescent="0.45">
      <c r="A1852" s="4" t="s">
        <v>1833</v>
      </c>
      <c r="B1852" s="5" t="s">
        <v>18</v>
      </c>
      <c r="C1852" s="5">
        <v>96425.87</v>
      </c>
      <c r="D1852" s="5">
        <v>38</v>
      </c>
      <c r="E1852" s="5">
        <v>1</v>
      </c>
      <c r="F1852" s="5">
        <v>0.45069999999999999</v>
      </c>
      <c r="G1852" s="5">
        <v>0.60589999999999999</v>
      </c>
      <c r="H1852" s="5">
        <v>7</v>
      </c>
      <c r="I1852" s="5">
        <v>74057.03</v>
      </c>
      <c r="J1852" s="5">
        <v>43009.53</v>
      </c>
      <c r="K1852" s="5">
        <v>116</v>
      </c>
      <c r="L1852" s="5">
        <v>2</v>
      </c>
      <c r="M1852" s="5">
        <v>1</v>
      </c>
      <c r="N1852" s="5">
        <v>0</v>
      </c>
      <c r="O1852" s="5">
        <v>712.72</v>
      </c>
      <c r="P1852" s="6">
        <v>0</v>
      </c>
    </row>
    <row r="1853" spans="1:16" ht="23.4" x14ac:dyDescent="0.45">
      <c r="A1853" s="4" t="s">
        <v>1834</v>
      </c>
      <c r="B1853" s="5" t="s">
        <v>18</v>
      </c>
      <c r="C1853" s="5">
        <v>56285.14</v>
      </c>
      <c r="D1853" s="5">
        <v>48</v>
      </c>
      <c r="E1853" s="5">
        <v>1</v>
      </c>
      <c r="F1853" s="5">
        <v>0.77400000000000002</v>
      </c>
      <c r="G1853" s="5">
        <v>0.40860000000000002</v>
      </c>
      <c r="H1853" s="5">
        <v>4</v>
      </c>
      <c r="I1853" s="5">
        <v>27035.78</v>
      </c>
      <c r="J1853" s="5">
        <v>13535.84</v>
      </c>
      <c r="K1853" s="5">
        <v>75</v>
      </c>
      <c r="L1853" s="5">
        <v>2</v>
      </c>
      <c r="M1853" s="5">
        <v>2</v>
      </c>
      <c r="N1853" s="5">
        <v>0</v>
      </c>
      <c r="O1853" s="5">
        <v>721.15</v>
      </c>
      <c r="P1853" s="6">
        <v>0</v>
      </c>
    </row>
    <row r="1854" spans="1:16" ht="23.4" x14ac:dyDescent="0.45">
      <c r="A1854" s="4" t="s">
        <v>1835</v>
      </c>
      <c r="B1854" s="5" t="s">
        <v>15</v>
      </c>
      <c r="C1854" s="5">
        <v>71303.740000000005</v>
      </c>
      <c r="D1854" s="5">
        <v>35</v>
      </c>
      <c r="E1854" s="5">
        <v>0</v>
      </c>
      <c r="F1854" s="5">
        <v>0.73040000000000005</v>
      </c>
      <c r="G1854" s="5">
        <v>0.12089999999999999</v>
      </c>
      <c r="H1854" s="5">
        <v>2</v>
      </c>
      <c r="I1854" s="5">
        <v>500</v>
      </c>
      <c r="J1854" s="5">
        <v>16673.490000000002</v>
      </c>
      <c r="K1854" s="5">
        <v>20</v>
      </c>
      <c r="L1854" s="5">
        <v>1</v>
      </c>
      <c r="M1854" s="5">
        <v>1</v>
      </c>
      <c r="N1854" s="5">
        <v>0</v>
      </c>
      <c r="O1854" s="5">
        <v>714.99</v>
      </c>
      <c r="P1854" s="6">
        <v>0</v>
      </c>
    </row>
    <row r="1855" spans="1:16" ht="23.4" x14ac:dyDescent="0.45">
      <c r="A1855" s="4" t="s">
        <v>1836</v>
      </c>
      <c r="B1855" s="5" t="s">
        <v>6</v>
      </c>
      <c r="C1855" s="5">
        <v>140448.66</v>
      </c>
      <c r="D1855" s="5">
        <v>60</v>
      </c>
      <c r="E1855" s="5">
        <v>1</v>
      </c>
      <c r="F1855" s="5">
        <v>0.84660000000000002</v>
      </c>
      <c r="G1855" s="5">
        <v>0.69159999999999999</v>
      </c>
      <c r="H1855" s="5">
        <v>3</v>
      </c>
      <c r="I1855" s="5">
        <v>104259.63</v>
      </c>
      <c r="J1855" s="5">
        <v>62244.94</v>
      </c>
      <c r="K1855" s="5">
        <v>52</v>
      </c>
      <c r="L1855" s="5">
        <v>1</v>
      </c>
      <c r="M1855" s="5">
        <v>2</v>
      </c>
      <c r="N1855" s="5">
        <v>0</v>
      </c>
      <c r="O1855" s="5">
        <v>724.81</v>
      </c>
      <c r="P1855" s="6">
        <v>0</v>
      </c>
    </row>
    <row r="1856" spans="1:16" ht="23.4" x14ac:dyDescent="0.45">
      <c r="A1856" s="4" t="s">
        <v>1837</v>
      </c>
      <c r="B1856" s="5" t="s">
        <v>18</v>
      </c>
      <c r="C1856" s="5">
        <v>119848.76</v>
      </c>
      <c r="D1856" s="5">
        <v>37</v>
      </c>
      <c r="E1856" s="5">
        <v>0</v>
      </c>
      <c r="F1856" s="5">
        <v>1</v>
      </c>
      <c r="G1856" s="5">
        <v>0.49719999999999998</v>
      </c>
      <c r="H1856" s="5">
        <v>4</v>
      </c>
      <c r="I1856" s="5">
        <v>63407.16</v>
      </c>
      <c r="J1856" s="5">
        <v>50786.75</v>
      </c>
      <c r="K1856" s="5">
        <v>26</v>
      </c>
      <c r="L1856" s="5">
        <v>2</v>
      </c>
      <c r="M1856" s="5">
        <v>1</v>
      </c>
      <c r="N1856" s="5">
        <v>0</v>
      </c>
      <c r="O1856" s="5">
        <v>708.22</v>
      </c>
      <c r="P1856" s="6">
        <v>0</v>
      </c>
    </row>
    <row r="1857" spans="1:16" ht="23.4" x14ac:dyDescent="0.45">
      <c r="A1857" s="4" t="s">
        <v>1838</v>
      </c>
      <c r="B1857" s="5" t="s">
        <v>4</v>
      </c>
      <c r="C1857" s="5">
        <v>119573.12</v>
      </c>
      <c r="D1857" s="5">
        <v>59</v>
      </c>
      <c r="E1857" s="5">
        <v>0</v>
      </c>
      <c r="F1857" s="5">
        <v>0.89249999999999996</v>
      </c>
      <c r="G1857" s="5">
        <v>0.59409999999999996</v>
      </c>
      <c r="H1857" s="5">
        <v>3</v>
      </c>
      <c r="I1857" s="5">
        <v>82228.73</v>
      </c>
      <c r="J1857" s="5">
        <v>79932.59</v>
      </c>
      <c r="K1857" s="5">
        <v>104</v>
      </c>
      <c r="L1857" s="5">
        <v>1</v>
      </c>
      <c r="M1857" s="5">
        <v>1</v>
      </c>
      <c r="N1857" s="5">
        <v>2</v>
      </c>
      <c r="O1857" s="5">
        <v>672.57</v>
      </c>
      <c r="P1857" s="6">
        <v>1</v>
      </c>
    </row>
    <row r="1858" spans="1:16" ht="23.4" x14ac:dyDescent="0.45">
      <c r="A1858" s="4" t="s">
        <v>1839</v>
      </c>
      <c r="B1858" s="5" t="s">
        <v>18</v>
      </c>
      <c r="C1858" s="5">
        <v>82563</v>
      </c>
      <c r="D1858" s="5">
        <v>24</v>
      </c>
      <c r="E1858" s="5">
        <v>0</v>
      </c>
      <c r="F1858" s="5">
        <v>0.88900000000000001</v>
      </c>
      <c r="G1858" s="5">
        <v>0.4289</v>
      </c>
      <c r="H1858" s="5">
        <v>6</v>
      </c>
      <c r="I1858" s="5">
        <v>36893.83</v>
      </c>
      <c r="J1858" s="5">
        <v>32274.5</v>
      </c>
      <c r="K1858" s="5">
        <v>92</v>
      </c>
      <c r="L1858" s="5">
        <v>2</v>
      </c>
      <c r="M1858" s="5">
        <v>1</v>
      </c>
      <c r="N1858" s="5">
        <v>0</v>
      </c>
      <c r="O1858" s="5">
        <v>726.7</v>
      </c>
      <c r="P1858" s="6">
        <v>0</v>
      </c>
    </row>
    <row r="1859" spans="1:16" ht="23.4" x14ac:dyDescent="0.45">
      <c r="A1859" s="4" t="s">
        <v>1840</v>
      </c>
      <c r="B1859" s="5" t="s">
        <v>15</v>
      </c>
      <c r="C1859" s="5">
        <v>108398.41</v>
      </c>
      <c r="D1859" s="5">
        <v>29</v>
      </c>
      <c r="E1859" s="5">
        <v>0</v>
      </c>
      <c r="F1859" s="5">
        <v>0.5585</v>
      </c>
      <c r="G1859" s="5">
        <v>0.37159999999999999</v>
      </c>
      <c r="H1859" s="5">
        <v>2</v>
      </c>
      <c r="I1859" s="5">
        <v>72755.17</v>
      </c>
      <c r="J1859" s="5">
        <v>50813.51</v>
      </c>
      <c r="K1859" s="5">
        <v>53</v>
      </c>
      <c r="L1859" s="5">
        <v>3</v>
      </c>
      <c r="M1859" s="5">
        <v>2</v>
      </c>
      <c r="N1859" s="5">
        <v>1</v>
      </c>
      <c r="O1859" s="5">
        <v>736.66</v>
      </c>
      <c r="P1859" s="6">
        <v>0</v>
      </c>
    </row>
    <row r="1860" spans="1:16" ht="23.4" x14ac:dyDescent="0.45">
      <c r="A1860" s="4" t="s">
        <v>1841</v>
      </c>
      <c r="B1860" s="5" t="s">
        <v>15</v>
      </c>
      <c r="C1860" s="5">
        <v>120579.97</v>
      </c>
      <c r="D1860" s="5">
        <v>31</v>
      </c>
      <c r="E1860" s="5">
        <v>1</v>
      </c>
      <c r="F1860" s="5">
        <v>0.79769999999999996</v>
      </c>
      <c r="G1860" s="5">
        <v>2.0199999999999999E-2</v>
      </c>
      <c r="H1860" s="5">
        <v>0</v>
      </c>
      <c r="I1860" s="5">
        <v>8742.85</v>
      </c>
      <c r="J1860" s="5">
        <v>6851.4</v>
      </c>
      <c r="K1860" s="5">
        <v>124</v>
      </c>
      <c r="L1860" s="5">
        <v>2</v>
      </c>
      <c r="M1860" s="5">
        <v>2</v>
      </c>
      <c r="N1860" s="5">
        <v>2</v>
      </c>
      <c r="O1860" s="5">
        <v>715.91</v>
      </c>
      <c r="P1860" s="6">
        <v>0</v>
      </c>
    </row>
    <row r="1861" spans="1:16" ht="23.4" x14ac:dyDescent="0.45">
      <c r="A1861" s="4" t="s">
        <v>1842</v>
      </c>
      <c r="B1861" s="5" t="s">
        <v>18</v>
      </c>
      <c r="C1861" s="5">
        <v>115842.33</v>
      </c>
      <c r="D1861" s="5">
        <v>46</v>
      </c>
      <c r="E1861" s="5">
        <v>1</v>
      </c>
      <c r="F1861" s="5">
        <v>0.59850000000000003</v>
      </c>
      <c r="G1861" s="5">
        <v>0.51549999999999996</v>
      </c>
      <c r="H1861" s="5">
        <v>5</v>
      </c>
      <c r="I1861" s="5">
        <v>37633.25</v>
      </c>
      <c r="J1861" s="5">
        <v>5452.01</v>
      </c>
      <c r="K1861" s="5">
        <v>96</v>
      </c>
      <c r="L1861" s="5">
        <v>3</v>
      </c>
      <c r="M1861" s="5">
        <v>3</v>
      </c>
      <c r="N1861" s="5">
        <v>0</v>
      </c>
      <c r="O1861" s="5">
        <v>787.15</v>
      </c>
      <c r="P1861" s="6">
        <v>0</v>
      </c>
    </row>
    <row r="1862" spans="1:16" ht="23.4" x14ac:dyDescent="0.45">
      <c r="A1862" s="4" t="s">
        <v>1843</v>
      </c>
      <c r="B1862" s="5" t="s">
        <v>4</v>
      </c>
      <c r="C1862" s="5">
        <v>97554.38</v>
      </c>
      <c r="D1862" s="5">
        <v>55</v>
      </c>
      <c r="E1862" s="5">
        <v>1</v>
      </c>
      <c r="F1862" s="5">
        <v>0.75070000000000003</v>
      </c>
      <c r="G1862" s="5">
        <v>0.48759999999999998</v>
      </c>
      <c r="H1862" s="5">
        <v>0</v>
      </c>
      <c r="I1862" s="5">
        <v>56148.66</v>
      </c>
      <c r="J1862" s="5">
        <v>39537.94</v>
      </c>
      <c r="K1862" s="5">
        <v>113</v>
      </c>
      <c r="L1862" s="5">
        <v>1</v>
      </c>
      <c r="M1862" s="5">
        <v>2</v>
      </c>
      <c r="N1862" s="5">
        <v>0</v>
      </c>
      <c r="O1862" s="5">
        <v>704.07</v>
      </c>
      <c r="P1862" s="6">
        <v>0</v>
      </c>
    </row>
    <row r="1863" spans="1:16" ht="23.4" x14ac:dyDescent="0.45">
      <c r="A1863" s="4" t="s">
        <v>1844</v>
      </c>
      <c r="B1863" s="5" t="s">
        <v>18</v>
      </c>
      <c r="C1863" s="5">
        <v>123544.28</v>
      </c>
      <c r="D1863" s="5">
        <v>35</v>
      </c>
      <c r="E1863" s="5">
        <v>1</v>
      </c>
      <c r="F1863" s="5">
        <v>0.46939999999999998</v>
      </c>
      <c r="G1863" s="5">
        <v>0.41920000000000002</v>
      </c>
      <c r="H1863" s="5">
        <v>2</v>
      </c>
      <c r="I1863" s="5">
        <v>51206.99</v>
      </c>
      <c r="J1863" s="5">
        <v>27000.13</v>
      </c>
      <c r="K1863" s="5">
        <v>154</v>
      </c>
      <c r="L1863" s="5">
        <v>2</v>
      </c>
      <c r="M1863" s="5">
        <v>1</v>
      </c>
      <c r="N1863" s="5">
        <v>0</v>
      </c>
      <c r="O1863" s="5">
        <v>642.4</v>
      </c>
      <c r="P1863" s="6">
        <v>0</v>
      </c>
    </row>
    <row r="1864" spans="1:16" ht="23.4" x14ac:dyDescent="0.45">
      <c r="A1864" s="4" t="s">
        <v>1845</v>
      </c>
      <c r="B1864" s="5" t="s">
        <v>18</v>
      </c>
      <c r="C1864" s="5">
        <v>51572.44</v>
      </c>
      <c r="D1864" s="5">
        <v>64</v>
      </c>
      <c r="E1864" s="5">
        <v>0</v>
      </c>
      <c r="F1864" s="5">
        <v>0.96719999999999995</v>
      </c>
      <c r="G1864" s="5">
        <v>0.34410000000000002</v>
      </c>
      <c r="H1864" s="5">
        <v>5</v>
      </c>
      <c r="I1864" s="5">
        <v>3419.97</v>
      </c>
      <c r="J1864" s="5">
        <v>2011.41</v>
      </c>
      <c r="K1864" s="5">
        <v>159</v>
      </c>
      <c r="L1864" s="5">
        <v>1</v>
      </c>
      <c r="M1864" s="5">
        <v>2</v>
      </c>
      <c r="N1864" s="5">
        <v>1</v>
      </c>
      <c r="O1864" s="5">
        <v>645.9</v>
      </c>
      <c r="P1864" s="6">
        <v>0</v>
      </c>
    </row>
    <row r="1865" spans="1:16" ht="23.4" x14ac:dyDescent="0.45">
      <c r="A1865" s="4" t="s">
        <v>1846</v>
      </c>
      <c r="B1865" s="5" t="s">
        <v>6</v>
      </c>
      <c r="C1865" s="5">
        <v>23382.31</v>
      </c>
      <c r="D1865" s="5">
        <v>39</v>
      </c>
      <c r="E1865" s="5">
        <v>0</v>
      </c>
      <c r="F1865" s="5">
        <v>0.75009999999999999</v>
      </c>
      <c r="G1865" s="5">
        <v>0.17910000000000001</v>
      </c>
      <c r="H1865" s="5">
        <v>2</v>
      </c>
      <c r="I1865" s="5">
        <v>500</v>
      </c>
      <c r="J1865" s="5">
        <v>201.64</v>
      </c>
      <c r="K1865" s="5">
        <v>104</v>
      </c>
      <c r="L1865" s="5">
        <v>2</v>
      </c>
      <c r="M1865" s="5">
        <v>1</v>
      </c>
      <c r="N1865" s="5">
        <v>2</v>
      </c>
      <c r="O1865" s="5">
        <v>700.75</v>
      </c>
      <c r="P1865" s="6">
        <v>0</v>
      </c>
    </row>
    <row r="1866" spans="1:16" ht="23.4" x14ac:dyDescent="0.45">
      <c r="A1866" s="4" t="s">
        <v>1847</v>
      </c>
      <c r="B1866" s="5" t="s">
        <v>1</v>
      </c>
      <c r="C1866" s="5">
        <v>125929.68</v>
      </c>
      <c r="D1866" s="5">
        <v>39</v>
      </c>
      <c r="E1866" s="5">
        <v>1</v>
      </c>
      <c r="F1866" s="5">
        <v>0.78200000000000003</v>
      </c>
      <c r="G1866" s="5">
        <v>0.2079</v>
      </c>
      <c r="H1866" s="5">
        <v>2</v>
      </c>
      <c r="I1866" s="5">
        <v>26258.18</v>
      </c>
      <c r="J1866" s="5">
        <v>20002.349999999999</v>
      </c>
      <c r="K1866" s="5">
        <v>36</v>
      </c>
      <c r="L1866" s="5">
        <v>2</v>
      </c>
      <c r="M1866" s="5">
        <v>3</v>
      </c>
      <c r="N1866" s="5">
        <v>0</v>
      </c>
      <c r="O1866" s="5">
        <v>686.37</v>
      </c>
      <c r="P1866" s="6">
        <v>0</v>
      </c>
    </row>
    <row r="1867" spans="1:16" ht="23.4" x14ac:dyDescent="0.45">
      <c r="A1867" s="4" t="s">
        <v>1130</v>
      </c>
      <c r="B1867" s="5" t="s">
        <v>9</v>
      </c>
      <c r="C1867" s="5">
        <v>27317.88</v>
      </c>
      <c r="D1867" s="5">
        <v>26</v>
      </c>
      <c r="E1867" s="5">
        <v>0</v>
      </c>
      <c r="F1867" s="5">
        <v>0.43990000000000001</v>
      </c>
      <c r="G1867" s="5">
        <v>0</v>
      </c>
      <c r="H1867" s="5">
        <v>0</v>
      </c>
      <c r="I1867" s="5">
        <v>6859.65</v>
      </c>
      <c r="J1867" s="5">
        <v>1454.31</v>
      </c>
      <c r="K1867" s="5">
        <v>51</v>
      </c>
      <c r="L1867" s="5">
        <v>2</v>
      </c>
      <c r="M1867" s="5">
        <v>2</v>
      </c>
      <c r="N1867" s="5">
        <v>1</v>
      </c>
      <c r="O1867" s="5">
        <v>711.88</v>
      </c>
      <c r="P1867" s="6">
        <v>0</v>
      </c>
    </row>
    <row r="1868" spans="1:16" ht="23.4" x14ac:dyDescent="0.45">
      <c r="A1868" s="4" t="s">
        <v>1848</v>
      </c>
      <c r="B1868" s="5" t="s">
        <v>15</v>
      </c>
      <c r="C1868" s="5">
        <v>148093.56</v>
      </c>
      <c r="D1868" s="5">
        <v>56</v>
      </c>
      <c r="E1868" s="5">
        <v>0</v>
      </c>
      <c r="F1868" s="5">
        <v>0.74339999999999995</v>
      </c>
      <c r="G1868" s="5">
        <v>0.73209999999999997</v>
      </c>
      <c r="H1868" s="5">
        <v>6</v>
      </c>
      <c r="I1868" s="5">
        <v>100256.86</v>
      </c>
      <c r="J1868" s="5">
        <v>78998.81</v>
      </c>
      <c r="K1868" s="5">
        <v>110</v>
      </c>
      <c r="L1868" s="5">
        <v>2</v>
      </c>
      <c r="M1868" s="5">
        <v>2</v>
      </c>
      <c r="N1868" s="5">
        <v>1</v>
      </c>
      <c r="O1868" s="5">
        <v>705.77</v>
      </c>
      <c r="P1868" s="6">
        <v>0</v>
      </c>
    </row>
    <row r="1869" spans="1:16" ht="23.4" x14ac:dyDescent="0.45">
      <c r="A1869" s="4" t="s">
        <v>1849</v>
      </c>
      <c r="B1869" s="5" t="s">
        <v>15</v>
      </c>
      <c r="C1869" s="5">
        <v>118067.61</v>
      </c>
      <c r="D1869" s="5">
        <v>46</v>
      </c>
      <c r="E1869" s="5">
        <v>1</v>
      </c>
      <c r="F1869" s="5">
        <v>0.4506</v>
      </c>
      <c r="G1869" s="5">
        <v>0.4425</v>
      </c>
      <c r="H1869" s="5">
        <v>3</v>
      </c>
      <c r="I1869" s="5">
        <v>50781.18</v>
      </c>
      <c r="J1869" s="5">
        <v>23188.6</v>
      </c>
      <c r="K1869" s="5">
        <v>115</v>
      </c>
      <c r="L1869" s="5">
        <v>1</v>
      </c>
      <c r="M1869" s="5">
        <v>1</v>
      </c>
      <c r="N1869" s="5">
        <v>0</v>
      </c>
      <c r="O1869" s="5">
        <v>619.04999999999995</v>
      </c>
      <c r="P1869" s="6">
        <v>0</v>
      </c>
    </row>
    <row r="1870" spans="1:16" ht="23.4" x14ac:dyDescent="0.45">
      <c r="A1870" s="4" t="s">
        <v>1850</v>
      </c>
      <c r="B1870" s="5" t="s">
        <v>1</v>
      </c>
      <c r="C1870" s="5">
        <v>120190.92</v>
      </c>
      <c r="D1870" s="5">
        <v>30</v>
      </c>
      <c r="E1870" s="5">
        <v>0</v>
      </c>
      <c r="F1870" s="5">
        <v>0.83099999999999996</v>
      </c>
      <c r="G1870" s="5">
        <v>0.52270000000000005</v>
      </c>
      <c r="H1870" s="5">
        <v>4</v>
      </c>
      <c r="I1870" s="5">
        <v>70398.02</v>
      </c>
      <c r="J1870" s="5">
        <v>42797.17</v>
      </c>
      <c r="K1870" s="5">
        <v>78</v>
      </c>
      <c r="L1870" s="5">
        <v>2</v>
      </c>
      <c r="M1870" s="5">
        <v>1</v>
      </c>
      <c r="N1870" s="5">
        <v>0</v>
      </c>
      <c r="O1870" s="5">
        <v>682.91</v>
      </c>
      <c r="P1870" s="6">
        <v>0</v>
      </c>
    </row>
    <row r="1871" spans="1:16" ht="23.4" x14ac:dyDescent="0.45">
      <c r="A1871" s="4" t="s">
        <v>1851</v>
      </c>
      <c r="B1871" s="5" t="s">
        <v>18</v>
      </c>
      <c r="C1871" s="5">
        <v>90237.92</v>
      </c>
      <c r="D1871" s="5">
        <v>59</v>
      </c>
      <c r="E1871" s="5">
        <v>0</v>
      </c>
      <c r="F1871" s="5">
        <v>0.68420000000000003</v>
      </c>
      <c r="G1871" s="5">
        <v>0.44840000000000002</v>
      </c>
      <c r="H1871" s="5">
        <v>6</v>
      </c>
      <c r="I1871" s="5">
        <v>44948.88</v>
      </c>
      <c r="J1871" s="5">
        <v>23340.01</v>
      </c>
      <c r="K1871" s="5">
        <v>68</v>
      </c>
      <c r="L1871" s="5">
        <v>2</v>
      </c>
      <c r="M1871" s="5">
        <v>2</v>
      </c>
      <c r="N1871" s="5">
        <v>2</v>
      </c>
      <c r="O1871" s="5">
        <v>711.88</v>
      </c>
      <c r="P1871" s="6">
        <v>0</v>
      </c>
    </row>
    <row r="1872" spans="1:16" ht="23.4" x14ac:dyDescent="0.45">
      <c r="A1872" s="4" t="s">
        <v>1852</v>
      </c>
      <c r="B1872" s="5" t="s">
        <v>4</v>
      </c>
      <c r="C1872" s="5">
        <v>92932.25</v>
      </c>
      <c r="D1872" s="5">
        <v>34</v>
      </c>
      <c r="E1872" s="5">
        <v>0</v>
      </c>
      <c r="F1872" s="5">
        <v>1</v>
      </c>
      <c r="G1872" s="5">
        <v>0.56669999999999998</v>
      </c>
      <c r="H1872" s="5">
        <v>5</v>
      </c>
      <c r="I1872" s="5">
        <v>35594.44</v>
      </c>
      <c r="J1872" s="5">
        <v>21909.4</v>
      </c>
      <c r="K1872" s="5">
        <v>103</v>
      </c>
      <c r="L1872" s="5">
        <v>2</v>
      </c>
      <c r="M1872" s="5">
        <v>1</v>
      </c>
      <c r="N1872" s="5">
        <v>3</v>
      </c>
      <c r="O1872" s="5">
        <v>726.98</v>
      </c>
      <c r="P1872" s="6">
        <v>0</v>
      </c>
    </row>
    <row r="1873" spans="1:16" ht="23.4" x14ac:dyDescent="0.45">
      <c r="A1873" s="4" t="s">
        <v>1853</v>
      </c>
      <c r="B1873" s="5" t="s">
        <v>15</v>
      </c>
      <c r="C1873" s="5">
        <v>34309.94</v>
      </c>
      <c r="D1873" s="5">
        <v>52</v>
      </c>
      <c r="E1873" s="5">
        <v>0</v>
      </c>
      <c r="F1873" s="5">
        <v>0.62739999999999996</v>
      </c>
      <c r="G1873" s="5">
        <v>0.25879999999999997</v>
      </c>
      <c r="H1873" s="5">
        <v>1</v>
      </c>
      <c r="I1873" s="5">
        <v>500</v>
      </c>
      <c r="J1873" s="5">
        <v>0</v>
      </c>
      <c r="K1873" s="5">
        <v>93</v>
      </c>
      <c r="L1873" s="5">
        <v>3</v>
      </c>
      <c r="M1873" s="5">
        <v>3</v>
      </c>
      <c r="N1873" s="5">
        <v>0</v>
      </c>
      <c r="O1873" s="5">
        <v>651.64</v>
      </c>
      <c r="P1873" s="6">
        <v>0</v>
      </c>
    </row>
    <row r="1874" spans="1:16" ht="23.4" x14ac:dyDescent="0.45">
      <c r="A1874" s="4" t="s">
        <v>1854</v>
      </c>
      <c r="B1874" s="5" t="s">
        <v>1</v>
      </c>
      <c r="C1874" s="5">
        <v>102074.11</v>
      </c>
      <c r="D1874" s="5">
        <v>22</v>
      </c>
      <c r="E1874" s="5">
        <v>0</v>
      </c>
      <c r="F1874" s="5">
        <v>0.40820000000000001</v>
      </c>
      <c r="G1874" s="5">
        <v>0.57799999999999996</v>
      </c>
      <c r="H1874" s="5">
        <v>0</v>
      </c>
      <c r="I1874" s="5">
        <v>67179.45</v>
      </c>
      <c r="J1874" s="5">
        <v>45081.95</v>
      </c>
      <c r="K1874" s="5">
        <v>80</v>
      </c>
      <c r="L1874" s="5">
        <v>1</v>
      </c>
      <c r="M1874" s="5">
        <v>1</v>
      </c>
      <c r="N1874" s="5">
        <v>1</v>
      </c>
      <c r="O1874" s="5">
        <v>675.99</v>
      </c>
      <c r="P1874" s="6">
        <v>1</v>
      </c>
    </row>
    <row r="1875" spans="1:16" ht="23.4" x14ac:dyDescent="0.45">
      <c r="A1875" s="4" t="s">
        <v>1855</v>
      </c>
      <c r="B1875" s="5" t="s">
        <v>18</v>
      </c>
      <c r="C1875" s="5">
        <v>182433.92000000001</v>
      </c>
      <c r="D1875" s="5">
        <v>30</v>
      </c>
      <c r="E1875" s="5">
        <v>0</v>
      </c>
      <c r="F1875" s="5">
        <v>6.7900000000000002E-2</v>
      </c>
      <c r="G1875" s="5">
        <v>0.46039999999999998</v>
      </c>
      <c r="H1875" s="5">
        <v>2</v>
      </c>
      <c r="I1875" s="5">
        <v>96639.79</v>
      </c>
      <c r="J1875" s="5">
        <v>58327.15</v>
      </c>
      <c r="K1875" s="5">
        <v>131</v>
      </c>
      <c r="L1875" s="5">
        <v>4</v>
      </c>
      <c r="M1875" s="5">
        <v>1</v>
      </c>
      <c r="N1875" s="5">
        <v>0</v>
      </c>
      <c r="O1875" s="5">
        <v>590.39</v>
      </c>
      <c r="P1875" s="6">
        <v>0</v>
      </c>
    </row>
    <row r="1876" spans="1:16" ht="23.4" x14ac:dyDescent="0.45">
      <c r="A1876" s="4" t="s">
        <v>1856</v>
      </c>
      <c r="B1876" s="5" t="s">
        <v>6</v>
      </c>
      <c r="C1876" s="5">
        <v>51816.01</v>
      </c>
      <c r="D1876" s="5">
        <v>47</v>
      </c>
      <c r="E1876" s="5">
        <v>0</v>
      </c>
      <c r="F1876" s="5">
        <v>0.84789999999999999</v>
      </c>
      <c r="G1876" s="5">
        <v>0.38279999999999997</v>
      </c>
      <c r="H1876" s="5">
        <v>5</v>
      </c>
      <c r="I1876" s="5">
        <v>15567.33</v>
      </c>
      <c r="J1876" s="5">
        <v>19621.57</v>
      </c>
      <c r="K1876" s="5">
        <v>48</v>
      </c>
      <c r="L1876" s="5">
        <v>1</v>
      </c>
      <c r="M1876" s="5">
        <v>2</v>
      </c>
      <c r="N1876" s="5">
        <v>0</v>
      </c>
      <c r="O1876" s="5">
        <v>700.67</v>
      </c>
      <c r="P1876" s="6">
        <v>0</v>
      </c>
    </row>
    <row r="1877" spans="1:16" ht="23.4" x14ac:dyDescent="0.45">
      <c r="A1877" s="4" t="s">
        <v>1857</v>
      </c>
      <c r="B1877" s="5" t="s">
        <v>1</v>
      </c>
      <c r="C1877" s="5">
        <v>106842.28</v>
      </c>
      <c r="D1877" s="5">
        <v>61</v>
      </c>
      <c r="E1877" s="5">
        <v>0</v>
      </c>
      <c r="F1877" s="5">
        <v>0.71399999999999997</v>
      </c>
      <c r="G1877" s="5">
        <v>0.42059999999999997</v>
      </c>
      <c r="H1877" s="5">
        <v>2</v>
      </c>
      <c r="I1877" s="5">
        <v>49033.91</v>
      </c>
      <c r="J1877" s="5">
        <v>27127.89</v>
      </c>
      <c r="K1877" s="5">
        <v>142</v>
      </c>
      <c r="L1877" s="5">
        <v>3</v>
      </c>
      <c r="M1877" s="5">
        <v>2</v>
      </c>
      <c r="N1877" s="5">
        <v>0</v>
      </c>
      <c r="O1877" s="5">
        <v>680.06</v>
      </c>
      <c r="P1877" s="6">
        <v>0</v>
      </c>
    </row>
    <row r="1878" spans="1:16" ht="23.4" x14ac:dyDescent="0.45">
      <c r="A1878" s="4" t="s">
        <v>1858</v>
      </c>
      <c r="B1878" s="5" t="s">
        <v>1</v>
      </c>
      <c r="C1878" s="5">
        <v>141206.6</v>
      </c>
      <c r="D1878" s="5">
        <v>69</v>
      </c>
      <c r="E1878" s="5">
        <v>0</v>
      </c>
      <c r="F1878" s="5">
        <v>0.44629999999999997</v>
      </c>
      <c r="G1878" s="5">
        <v>0.15409999999999999</v>
      </c>
      <c r="H1878" s="5">
        <v>2</v>
      </c>
      <c r="I1878" s="5">
        <v>1546.75</v>
      </c>
      <c r="J1878" s="5">
        <v>1424.07</v>
      </c>
      <c r="K1878" s="5">
        <v>65</v>
      </c>
      <c r="L1878" s="5">
        <v>2</v>
      </c>
      <c r="M1878" s="5">
        <v>2</v>
      </c>
      <c r="N1878" s="5">
        <v>1</v>
      </c>
      <c r="O1878" s="5">
        <v>655.16</v>
      </c>
      <c r="P1878" s="6">
        <v>0</v>
      </c>
    </row>
    <row r="1879" spans="1:16" ht="23.4" x14ac:dyDescent="0.45">
      <c r="A1879" s="4" t="s">
        <v>1859</v>
      </c>
      <c r="B1879" s="5" t="s">
        <v>15</v>
      </c>
      <c r="C1879" s="5">
        <v>74157.59</v>
      </c>
      <c r="D1879" s="5">
        <v>38</v>
      </c>
      <c r="E1879" s="5">
        <v>0</v>
      </c>
      <c r="F1879" s="5">
        <v>0.752</v>
      </c>
      <c r="G1879" s="5">
        <v>0.3276</v>
      </c>
      <c r="H1879" s="5">
        <v>1</v>
      </c>
      <c r="I1879" s="5">
        <v>18492.169999999998</v>
      </c>
      <c r="J1879" s="5">
        <v>20896.79</v>
      </c>
      <c r="K1879" s="5">
        <v>7</v>
      </c>
      <c r="L1879" s="5">
        <v>1</v>
      </c>
      <c r="M1879" s="5">
        <v>2</v>
      </c>
      <c r="N1879" s="5">
        <v>0</v>
      </c>
      <c r="O1879" s="5">
        <v>649.57000000000005</v>
      </c>
      <c r="P1879" s="6">
        <v>0</v>
      </c>
    </row>
    <row r="1880" spans="1:16" ht="23.4" x14ac:dyDescent="0.45">
      <c r="A1880" s="4" t="s">
        <v>1860</v>
      </c>
      <c r="B1880" s="5" t="s">
        <v>1</v>
      </c>
      <c r="C1880" s="5">
        <v>5605.24</v>
      </c>
      <c r="D1880" s="5">
        <v>65</v>
      </c>
      <c r="E1880" s="5">
        <v>1</v>
      </c>
      <c r="F1880" s="5">
        <v>0.57789999999999997</v>
      </c>
      <c r="G1880" s="5">
        <v>0.2094</v>
      </c>
      <c r="H1880" s="5">
        <v>0</v>
      </c>
      <c r="I1880" s="5">
        <v>500</v>
      </c>
      <c r="J1880" s="5">
        <v>7476.8</v>
      </c>
      <c r="K1880" s="5">
        <v>132</v>
      </c>
      <c r="L1880" s="5">
        <v>2</v>
      </c>
      <c r="M1880" s="5">
        <v>1</v>
      </c>
      <c r="N1880" s="5">
        <v>2</v>
      </c>
      <c r="O1880" s="5">
        <v>618.6</v>
      </c>
      <c r="P1880" s="6">
        <v>0</v>
      </c>
    </row>
    <row r="1881" spans="1:16" ht="23.4" x14ac:dyDescent="0.45">
      <c r="A1881" s="4" t="s">
        <v>1861</v>
      </c>
      <c r="B1881" s="5" t="s">
        <v>15</v>
      </c>
      <c r="C1881" s="5">
        <v>154128.29</v>
      </c>
      <c r="D1881" s="5">
        <v>62</v>
      </c>
      <c r="E1881" s="5">
        <v>0</v>
      </c>
      <c r="F1881" s="5">
        <v>0.74199999999999999</v>
      </c>
      <c r="G1881" s="5">
        <v>0.4178</v>
      </c>
      <c r="H1881" s="5">
        <v>3</v>
      </c>
      <c r="I1881" s="5">
        <v>84839.09</v>
      </c>
      <c r="J1881" s="5">
        <v>63549.17</v>
      </c>
      <c r="K1881" s="5">
        <v>148</v>
      </c>
      <c r="L1881" s="5">
        <v>2</v>
      </c>
      <c r="M1881" s="5">
        <v>3</v>
      </c>
      <c r="N1881" s="5">
        <v>3</v>
      </c>
      <c r="O1881" s="5">
        <v>742.85</v>
      </c>
      <c r="P1881" s="6">
        <v>0</v>
      </c>
    </row>
    <row r="1882" spans="1:16" ht="23.4" x14ac:dyDescent="0.45">
      <c r="A1882" s="4" t="s">
        <v>1862</v>
      </c>
      <c r="B1882" s="5" t="s">
        <v>1</v>
      </c>
      <c r="C1882" s="5">
        <v>92141.36</v>
      </c>
      <c r="D1882" s="5">
        <v>67</v>
      </c>
      <c r="E1882" s="5">
        <v>1</v>
      </c>
      <c r="F1882" s="5">
        <v>0.91669999999999996</v>
      </c>
      <c r="G1882" s="5">
        <v>0.68159999999999998</v>
      </c>
      <c r="H1882" s="5">
        <v>2</v>
      </c>
      <c r="I1882" s="5">
        <v>83602.7</v>
      </c>
      <c r="J1882" s="5">
        <v>58573.39</v>
      </c>
      <c r="K1882" s="5">
        <v>75</v>
      </c>
      <c r="L1882" s="5">
        <v>1</v>
      </c>
      <c r="M1882" s="5">
        <v>2</v>
      </c>
      <c r="N1882" s="5">
        <v>0</v>
      </c>
      <c r="O1882" s="5">
        <v>626.87</v>
      </c>
      <c r="P1882" s="6">
        <v>1</v>
      </c>
    </row>
    <row r="1883" spans="1:16" ht="23.4" x14ac:dyDescent="0.45">
      <c r="A1883" s="4" t="s">
        <v>1863</v>
      </c>
      <c r="B1883" s="5" t="s">
        <v>9</v>
      </c>
      <c r="C1883" s="5">
        <v>132718.82999999999</v>
      </c>
      <c r="D1883" s="5">
        <v>33</v>
      </c>
      <c r="E1883" s="5">
        <v>0</v>
      </c>
      <c r="F1883" s="5">
        <v>0.58250000000000002</v>
      </c>
      <c r="G1883" s="5">
        <v>0.49709999999999999</v>
      </c>
      <c r="H1883" s="5">
        <v>6</v>
      </c>
      <c r="I1883" s="5">
        <v>89095.67</v>
      </c>
      <c r="J1883" s="5">
        <v>66013.100000000006</v>
      </c>
      <c r="K1883" s="5">
        <v>57</v>
      </c>
      <c r="L1883" s="5">
        <v>1</v>
      </c>
      <c r="M1883" s="5">
        <v>1</v>
      </c>
      <c r="N1883" s="5">
        <v>0</v>
      </c>
      <c r="O1883" s="5">
        <v>670.8</v>
      </c>
      <c r="P1883" s="6">
        <v>0</v>
      </c>
    </row>
    <row r="1884" spans="1:16" ht="23.4" x14ac:dyDescent="0.45">
      <c r="A1884" s="4" t="s">
        <v>1864</v>
      </c>
      <c r="B1884" s="5" t="s">
        <v>4</v>
      </c>
      <c r="C1884" s="5">
        <v>138459.48000000001</v>
      </c>
      <c r="D1884" s="5">
        <v>24</v>
      </c>
      <c r="E1884" s="5">
        <v>1</v>
      </c>
      <c r="F1884" s="5">
        <v>1</v>
      </c>
      <c r="G1884" s="5">
        <v>0.70950000000000002</v>
      </c>
      <c r="H1884" s="5">
        <v>2</v>
      </c>
      <c r="I1884" s="5">
        <v>80603.929999999993</v>
      </c>
      <c r="J1884" s="5">
        <v>63415.38</v>
      </c>
      <c r="K1884" s="5">
        <v>74</v>
      </c>
      <c r="L1884" s="5">
        <v>1</v>
      </c>
      <c r="M1884" s="5">
        <v>2</v>
      </c>
      <c r="N1884" s="5">
        <v>1</v>
      </c>
      <c r="O1884" s="5">
        <v>740.89</v>
      </c>
      <c r="P1884" s="6">
        <v>0</v>
      </c>
    </row>
    <row r="1885" spans="1:16" ht="23.4" x14ac:dyDescent="0.45">
      <c r="A1885" s="4" t="s">
        <v>1865</v>
      </c>
      <c r="B1885" s="5" t="s">
        <v>6</v>
      </c>
      <c r="C1885" s="5">
        <v>67826.92</v>
      </c>
      <c r="D1885" s="5">
        <v>34</v>
      </c>
      <c r="E1885" s="5">
        <v>1</v>
      </c>
      <c r="F1885" s="5">
        <v>0.50609999999999999</v>
      </c>
      <c r="G1885" s="5">
        <v>0.52759999999999996</v>
      </c>
      <c r="H1885" s="5">
        <v>3</v>
      </c>
      <c r="I1885" s="5">
        <v>34297.919999999998</v>
      </c>
      <c r="J1885" s="5">
        <v>21862.17</v>
      </c>
      <c r="K1885" s="5">
        <v>144</v>
      </c>
      <c r="L1885" s="5">
        <v>2</v>
      </c>
      <c r="M1885" s="5">
        <v>1</v>
      </c>
      <c r="N1885" s="5">
        <v>1</v>
      </c>
      <c r="O1885" s="5">
        <v>633.46</v>
      </c>
      <c r="P1885" s="6">
        <v>0</v>
      </c>
    </row>
    <row r="1886" spans="1:16" ht="23.4" x14ac:dyDescent="0.45">
      <c r="A1886" s="4" t="s">
        <v>1866</v>
      </c>
      <c r="B1886" s="5" t="s">
        <v>15</v>
      </c>
      <c r="C1886" s="5">
        <v>91595.82</v>
      </c>
      <c r="D1886" s="5">
        <v>42</v>
      </c>
      <c r="E1886" s="5">
        <v>1</v>
      </c>
      <c r="F1886" s="5">
        <v>0.72550000000000003</v>
      </c>
      <c r="G1886" s="5">
        <v>0.27829999999999999</v>
      </c>
      <c r="H1886" s="5">
        <v>1</v>
      </c>
      <c r="I1886" s="5">
        <v>52893.08</v>
      </c>
      <c r="J1886" s="5">
        <v>28154.51</v>
      </c>
      <c r="K1886" s="5">
        <v>159</v>
      </c>
      <c r="L1886" s="5">
        <v>1</v>
      </c>
      <c r="M1886" s="5">
        <v>2</v>
      </c>
      <c r="N1886" s="5">
        <v>0</v>
      </c>
      <c r="O1886" s="5">
        <v>646.80999999999995</v>
      </c>
      <c r="P1886" s="6">
        <v>0</v>
      </c>
    </row>
    <row r="1887" spans="1:16" ht="23.4" x14ac:dyDescent="0.45">
      <c r="A1887" s="4" t="s">
        <v>1867</v>
      </c>
      <c r="B1887" s="5" t="s">
        <v>1</v>
      </c>
      <c r="C1887" s="5">
        <v>118320.35</v>
      </c>
      <c r="D1887" s="5">
        <v>28</v>
      </c>
      <c r="E1887" s="5">
        <v>0</v>
      </c>
      <c r="F1887" s="5">
        <v>0.77529999999999999</v>
      </c>
      <c r="G1887" s="5">
        <v>0.29599999999999999</v>
      </c>
      <c r="H1887" s="5">
        <v>0</v>
      </c>
      <c r="I1887" s="5">
        <v>17398.32</v>
      </c>
      <c r="J1887" s="5">
        <v>20930.740000000002</v>
      </c>
      <c r="K1887" s="5">
        <v>61</v>
      </c>
      <c r="L1887" s="5">
        <v>2</v>
      </c>
      <c r="M1887" s="5">
        <v>2</v>
      </c>
      <c r="N1887" s="5">
        <v>3</v>
      </c>
      <c r="O1887" s="5">
        <v>762.23</v>
      </c>
      <c r="P1887" s="6">
        <v>0</v>
      </c>
    </row>
    <row r="1888" spans="1:16" ht="23.4" x14ac:dyDescent="0.45">
      <c r="A1888" s="4" t="s">
        <v>1868</v>
      </c>
      <c r="B1888" s="5" t="s">
        <v>15</v>
      </c>
      <c r="C1888" s="5">
        <v>175160.45</v>
      </c>
      <c r="D1888" s="5">
        <v>39</v>
      </c>
      <c r="E1888" s="5">
        <v>0</v>
      </c>
      <c r="F1888" s="5">
        <v>0.9002</v>
      </c>
      <c r="G1888" s="5">
        <v>0.17960000000000001</v>
      </c>
      <c r="H1888" s="5">
        <v>3</v>
      </c>
      <c r="I1888" s="5">
        <v>35711.81</v>
      </c>
      <c r="J1888" s="5">
        <v>17571.21</v>
      </c>
      <c r="K1888" s="5">
        <v>170</v>
      </c>
      <c r="L1888" s="5">
        <v>1</v>
      </c>
      <c r="M1888" s="5">
        <v>2</v>
      </c>
      <c r="N1888" s="5">
        <v>0</v>
      </c>
      <c r="O1888" s="5">
        <v>672.85</v>
      </c>
      <c r="P1888" s="6">
        <v>0</v>
      </c>
    </row>
    <row r="1889" spans="1:16" ht="23.4" x14ac:dyDescent="0.45">
      <c r="A1889" s="4" t="s">
        <v>1869</v>
      </c>
      <c r="B1889" s="5" t="s">
        <v>9</v>
      </c>
      <c r="C1889" s="5">
        <v>81956.13</v>
      </c>
      <c r="D1889" s="5">
        <v>67</v>
      </c>
      <c r="E1889" s="5">
        <v>1</v>
      </c>
      <c r="F1889" s="5">
        <v>0.68489999999999995</v>
      </c>
      <c r="G1889" s="5">
        <v>0.19570000000000001</v>
      </c>
      <c r="H1889" s="5">
        <v>1</v>
      </c>
      <c r="I1889" s="5">
        <v>11974.37</v>
      </c>
      <c r="J1889" s="5">
        <v>13587</v>
      </c>
      <c r="K1889" s="5">
        <v>95</v>
      </c>
      <c r="L1889" s="5">
        <v>2</v>
      </c>
      <c r="M1889" s="5">
        <v>2</v>
      </c>
      <c r="N1889" s="5">
        <v>0</v>
      </c>
      <c r="O1889" s="5">
        <v>733.34</v>
      </c>
      <c r="P1889" s="6">
        <v>0</v>
      </c>
    </row>
    <row r="1890" spans="1:16" ht="23.4" x14ac:dyDescent="0.45">
      <c r="A1890" s="4" t="s">
        <v>1870</v>
      </c>
      <c r="B1890" s="5" t="s">
        <v>1</v>
      </c>
      <c r="C1890" s="5">
        <v>104695.03999999999</v>
      </c>
      <c r="D1890" s="5">
        <v>61</v>
      </c>
      <c r="E1890" s="5">
        <v>1</v>
      </c>
      <c r="F1890" s="5">
        <v>0.58740000000000003</v>
      </c>
      <c r="G1890" s="5">
        <v>0.28699999999999998</v>
      </c>
      <c r="H1890" s="5">
        <v>1</v>
      </c>
      <c r="I1890" s="5">
        <v>19631.8</v>
      </c>
      <c r="J1890" s="5">
        <v>5239.3</v>
      </c>
      <c r="K1890" s="5">
        <v>123</v>
      </c>
      <c r="L1890" s="5">
        <v>1</v>
      </c>
      <c r="M1890" s="5">
        <v>2</v>
      </c>
      <c r="N1890" s="5">
        <v>0</v>
      </c>
      <c r="O1890" s="5">
        <v>690.91</v>
      </c>
      <c r="P1890" s="6">
        <v>0</v>
      </c>
    </row>
    <row r="1891" spans="1:16" ht="23.4" x14ac:dyDescent="0.45">
      <c r="A1891" s="4" t="s">
        <v>1871</v>
      </c>
      <c r="B1891" s="5" t="s">
        <v>15</v>
      </c>
      <c r="C1891" s="5">
        <v>85067.65</v>
      </c>
      <c r="D1891" s="5">
        <v>54</v>
      </c>
      <c r="E1891" s="5">
        <v>1</v>
      </c>
      <c r="F1891" s="5">
        <v>0.87809999999999999</v>
      </c>
      <c r="G1891" s="5">
        <v>0.29759999999999998</v>
      </c>
      <c r="H1891" s="5">
        <v>0</v>
      </c>
      <c r="I1891" s="5">
        <v>30944.45</v>
      </c>
      <c r="J1891" s="5">
        <v>27293.07</v>
      </c>
      <c r="K1891" s="5">
        <v>15</v>
      </c>
      <c r="L1891" s="5">
        <v>1</v>
      </c>
      <c r="M1891" s="5">
        <v>3</v>
      </c>
      <c r="N1891" s="5">
        <v>0</v>
      </c>
      <c r="O1891" s="5">
        <v>662.2</v>
      </c>
      <c r="P1891" s="6">
        <v>0</v>
      </c>
    </row>
    <row r="1892" spans="1:16" ht="23.4" x14ac:dyDescent="0.45">
      <c r="A1892" s="4" t="s">
        <v>1872</v>
      </c>
      <c r="B1892" s="5" t="s">
        <v>1</v>
      </c>
      <c r="C1892" s="5">
        <v>106496.67</v>
      </c>
      <c r="D1892" s="5">
        <v>46</v>
      </c>
      <c r="E1892" s="5">
        <v>1</v>
      </c>
      <c r="F1892" s="5">
        <v>0.41670000000000001</v>
      </c>
      <c r="G1892" s="5">
        <v>0.64459999999999995</v>
      </c>
      <c r="H1892" s="5">
        <v>2</v>
      </c>
      <c r="I1892" s="5">
        <v>46843.18</v>
      </c>
      <c r="J1892" s="5">
        <v>22045.84</v>
      </c>
      <c r="K1892" s="5">
        <v>129</v>
      </c>
      <c r="L1892" s="5">
        <v>2</v>
      </c>
      <c r="M1892" s="5">
        <v>1</v>
      </c>
      <c r="N1892" s="5">
        <v>0</v>
      </c>
      <c r="O1892" s="5">
        <v>589.15</v>
      </c>
      <c r="P1892" s="6">
        <v>0</v>
      </c>
    </row>
    <row r="1893" spans="1:16" ht="23.4" x14ac:dyDescent="0.45">
      <c r="A1893" s="4" t="s">
        <v>1873</v>
      </c>
      <c r="B1893" s="5" t="s">
        <v>18</v>
      </c>
      <c r="C1893" s="5">
        <v>85527.09</v>
      </c>
      <c r="D1893" s="5">
        <v>54</v>
      </c>
      <c r="E1893" s="5">
        <v>1</v>
      </c>
      <c r="F1893" s="5">
        <v>0.79690000000000005</v>
      </c>
      <c r="G1893" s="5">
        <v>0.38300000000000001</v>
      </c>
      <c r="H1893" s="5">
        <v>0</v>
      </c>
      <c r="I1893" s="5">
        <v>25677.34</v>
      </c>
      <c r="J1893" s="5">
        <v>22672.59</v>
      </c>
      <c r="K1893" s="5">
        <v>154</v>
      </c>
      <c r="L1893" s="5">
        <v>2</v>
      </c>
      <c r="M1893" s="5">
        <v>2</v>
      </c>
      <c r="N1893" s="5">
        <v>1</v>
      </c>
      <c r="O1893" s="5">
        <v>658.81</v>
      </c>
      <c r="P1893" s="6">
        <v>0</v>
      </c>
    </row>
    <row r="1894" spans="1:16" ht="23.4" x14ac:dyDescent="0.45">
      <c r="A1894" s="4" t="s">
        <v>1874</v>
      </c>
      <c r="B1894" s="5" t="s">
        <v>18</v>
      </c>
      <c r="C1894" s="5">
        <v>173237.24</v>
      </c>
      <c r="D1894" s="5">
        <v>67</v>
      </c>
      <c r="E1894" s="5">
        <v>1</v>
      </c>
      <c r="F1894" s="5">
        <v>0.8619</v>
      </c>
      <c r="G1894" s="5">
        <v>0.37430000000000002</v>
      </c>
      <c r="H1894" s="5">
        <v>3</v>
      </c>
      <c r="I1894" s="5">
        <v>83103.360000000001</v>
      </c>
      <c r="J1894" s="5">
        <v>60013.55</v>
      </c>
      <c r="K1894" s="5">
        <v>101</v>
      </c>
      <c r="L1894" s="5">
        <v>1</v>
      </c>
      <c r="M1894" s="5">
        <v>1</v>
      </c>
      <c r="N1894" s="5">
        <v>1</v>
      </c>
      <c r="O1894" s="5">
        <v>670.04</v>
      </c>
      <c r="P1894" s="6">
        <v>0</v>
      </c>
    </row>
    <row r="1895" spans="1:16" ht="23.4" x14ac:dyDescent="0.45">
      <c r="A1895" s="4" t="s">
        <v>1875</v>
      </c>
      <c r="B1895" s="5" t="s">
        <v>15</v>
      </c>
      <c r="C1895" s="5">
        <v>65239.63</v>
      </c>
      <c r="D1895" s="5">
        <v>30</v>
      </c>
      <c r="E1895" s="5">
        <v>1</v>
      </c>
      <c r="F1895" s="5">
        <v>0.55549999999999999</v>
      </c>
      <c r="G1895" s="5">
        <v>0.34699999999999998</v>
      </c>
      <c r="H1895" s="5">
        <v>8</v>
      </c>
      <c r="I1895" s="5">
        <v>9421.34</v>
      </c>
      <c r="J1895" s="5">
        <v>0</v>
      </c>
      <c r="K1895" s="5">
        <v>136</v>
      </c>
      <c r="L1895" s="5">
        <v>1</v>
      </c>
      <c r="M1895" s="5">
        <v>1</v>
      </c>
      <c r="N1895" s="5">
        <v>0</v>
      </c>
      <c r="O1895" s="5">
        <v>650.79</v>
      </c>
      <c r="P1895" s="6">
        <v>0</v>
      </c>
    </row>
    <row r="1896" spans="1:16" ht="23.4" x14ac:dyDescent="0.45">
      <c r="A1896" s="4" t="s">
        <v>1876</v>
      </c>
      <c r="B1896" s="5" t="s">
        <v>18</v>
      </c>
      <c r="C1896" s="5">
        <v>13626.32</v>
      </c>
      <c r="D1896" s="5">
        <v>51</v>
      </c>
      <c r="E1896" s="5">
        <v>0</v>
      </c>
      <c r="F1896" s="5">
        <v>0.76890000000000003</v>
      </c>
      <c r="G1896" s="5">
        <v>0.36209999999999998</v>
      </c>
      <c r="H1896" s="5">
        <v>3</v>
      </c>
      <c r="I1896" s="5">
        <v>500</v>
      </c>
      <c r="J1896" s="5">
        <v>0</v>
      </c>
      <c r="K1896" s="5">
        <v>74</v>
      </c>
      <c r="L1896" s="5">
        <v>3</v>
      </c>
      <c r="M1896" s="5">
        <v>1</v>
      </c>
      <c r="N1896" s="5">
        <v>1</v>
      </c>
      <c r="O1896" s="5">
        <v>717.09</v>
      </c>
      <c r="P1896" s="6">
        <v>0</v>
      </c>
    </row>
    <row r="1897" spans="1:16" ht="23.4" x14ac:dyDescent="0.45">
      <c r="A1897" s="4" t="s">
        <v>1877</v>
      </c>
      <c r="B1897" s="5" t="s">
        <v>9</v>
      </c>
      <c r="C1897" s="5">
        <v>86936.69</v>
      </c>
      <c r="D1897" s="5">
        <v>33</v>
      </c>
      <c r="E1897" s="5">
        <v>0</v>
      </c>
      <c r="F1897" s="5">
        <v>1</v>
      </c>
      <c r="G1897" s="5">
        <v>0.41789999999999999</v>
      </c>
      <c r="H1897" s="5">
        <v>2</v>
      </c>
      <c r="I1897" s="5">
        <v>43717.95</v>
      </c>
      <c r="J1897" s="5">
        <v>37274.36</v>
      </c>
      <c r="K1897" s="5">
        <v>104</v>
      </c>
      <c r="L1897" s="5">
        <v>2</v>
      </c>
      <c r="M1897" s="5">
        <v>2</v>
      </c>
      <c r="N1897" s="5">
        <v>1</v>
      </c>
      <c r="O1897" s="5">
        <v>703.1</v>
      </c>
      <c r="P1897" s="6">
        <v>0</v>
      </c>
    </row>
    <row r="1898" spans="1:16" ht="23.4" x14ac:dyDescent="0.45">
      <c r="A1898" s="4" t="s">
        <v>1878</v>
      </c>
      <c r="B1898" s="5" t="s">
        <v>4</v>
      </c>
      <c r="C1898" s="5">
        <v>129248.97</v>
      </c>
      <c r="D1898" s="5">
        <v>68</v>
      </c>
      <c r="E1898" s="5">
        <v>1</v>
      </c>
      <c r="F1898" s="5">
        <v>0.78159999999999996</v>
      </c>
      <c r="G1898" s="5">
        <v>0.36280000000000001</v>
      </c>
      <c r="H1898" s="5">
        <v>1</v>
      </c>
      <c r="I1898" s="5">
        <v>59643.01</v>
      </c>
      <c r="J1898" s="5">
        <v>49370.28</v>
      </c>
      <c r="K1898" s="5">
        <v>82</v>
      </c>
      <c r="L1898" s="5">
        <v>2</v>
      </c>
      <c r="M1898" s="5">
        <v>3</v>
      </c>
      <c r="N1898" s="5">
        <v>0</v>
      </c>
      <c r="O1898" s="5">
        <v>608.25</v>
      </c>
      <c r="P1898" s="6">
        <v>0</v>
      </c>
    </row>
    <row r="1899" spans="1:16" ht="23.4" x14ac:dyDescent="0.45">
      <c r="A1899" s="4" t="s">
        <v>1879</v>
      </c>
      <c r="B1899" s="5" t="s">
        <v>6</v>
      </c>
      <c r="C1899" s="5">
        <v>67134.84</v>
      </c>
      <c r="D1899" s="5">
        <v>21</v>
      </c>
      <c r="E1899" s="5">
        <v>1</v>
      </c>
      <c r="F1899" s="5">
        <v>0.44850000000000001</v>
      </c>
      <c r="G1899" s="5">
        <v>0.32940000000000003</v>
      </c>
      <c r="H1899" s="5">
        <v>0</v>
      </c>
      <c r="I1899" s="5">
        <v>27602.12</v>
      </c>
      <c r="J1899" s="5">
        <v>22253.52</v>
      </c>
      <c r="K1899" s="5">
        <v>63</v>
      </c>
      <c r="L1899" s="5">
        <v>2</v>
      </c>
      <c r="M1899" s="5">
        <v>2</v>
      </c>
      <c r="N1899" s="5">
        <v>0</v>
      </c>
      <c r="O1899" s="5">
        <v>605.85</v>
      </c>
      <c r="P1899" s="6">
        <v>0</v>
      </c>
    </row>
    <row r="1900" spans="1:16" ht="23.4" x14ac:dyDescent="0.45">
      <c r="A1900" s="4" t="s">
        <v>1880</v>
      </c>
      <c r="B1900" s="5" t="s">
        <v>4</v>
      </c>
      <c r="C1900" s="5">
        <v>40959.089999999997</v>
      </c>
      <c r="D1900" s="5">
        <v>68</v>
      </c>
      <c r="E1900" s="5">
        <v>0</v>
      </c>
      <c r="F1900" s="5">
        <v>0.73440000000000005</v>
      </c>
      <c r="G1900" s="5">
        <v>0.5181</v>
      </c>
      <c r="H1900" s="5">
        <v>3</v>
      </c>
      <c r="I1900" s="5">
        <v>34027.61</v>
      </c>
      <c r="J1900" s="5">
        <v>17095.91</v>
      </c>
      <c r="K1900" s="5">
        <v>41</v>
      </c>
      <c r="L1900" s="5">
        <v>1</v>
      </c>
      <c r="M1900" s="5">
        <v>2</v>
      </c>
      <c r="N1900" s="5">
        <v>1</v>
      </c>
      <c r="O1900" s="5">
        <v>637.04</v>
      </c>
      <c r="P1900" s="6">
        <v>1</v>
      </c>
    </row>
    <row r="1901" spans="1:16" ht="23.4" x14ac:dyDescent="0.45">
      <c r="A1901" s="4" t="s">
        <v>1881</v>
      </c>
      <c r="B1901" s="5" t="s">
        <v>4</v>
      </c>
      <c r="C1901" s="5">
        <v>88888.57</v>
      </c>
      <c r="D1901" s="5">
        <v>59</v>
      </c>
      <c r="E1901" s="5">
        <v>1</v>
      </c>
      <c r="F1901" s="5">
        <v>0.90029999999999999</v>
      </c>
      <c r="G1901" s="5">
        <v>0.50180000000000002</v>
      </c>
      <c r="H1901" s="5">
        <v>4</v>
      </c>
      <c r="I1901" s="5">
        <v>47518.59</v>
      </c>
      <c r="J1901" s="5">
        <v>42046.67</v>
      </c>
      <c r="K1901" s="5">
        <v>77</v>
      </c>
      <c r="L1901" s="5">
        <v>1</v>
      </c>
      <c r="M1901" s="5">
        <v>1</v>
      </c>
      <c r="N1901" s="5">
        <v>0</v>
      </c>
      <c r="O1901" s="5">
        <v>633.65</v>
      </c>
      <c r="P1901" s="6">
        <v>0</v>
      </c>
    </row>
    <row r="1902" spans="1:16" ht="23.4" x14ac:dyDescent="0.45">
      <c r="A1902" s="4" t="s">
        <v>1882</v>
      </c>
      <c r="B1902" s="5" t="s">
        <v>4</v>
      </c>
      <c r="C1902" s="5">
        <v>83566.820000000007</v>
      </c>
      <c r="D1902" s="5">
        <v>68</v>
      </c>
      <c r="E1902" s="5">
        <v>1</v>
      </c>
      <c r="F1902" s="5">
        <v>0.64129999999999998</v>
      </c>
      <c r="G1902" s="5">
        <v>0.13619999999999999</v>
      </c>
      <c r="H1902" s="5">
        <v>0</v>
      </c>
      <c r="I1902" s="5">
        <v>5533.42</v>
      </c>
      <c r="J1902" s="5">
        <v>0</v>
      </c>
      <c r="K1902" s="5">
        <v>126</v>
      </c>
      <c r="L1902" s="5">
        <v>1</v>
      </c>
      <c r="M1902" s="5">
        <v>2</v>
      </c>
      <c r="N1902" s="5">
        <v>2</v>
      </c>
      <c r="O1902" s="5">
        <v>701.02</v>
      </c>
      <c r="P1902" s="6">
        <v>0</v>
      </c>
    </row>
    <row r="1903" spans="1:16" ht="23.4" x14ac:dyDescent="0.45">
      <c r="A1903" s="4" t="s">
        <v>1883</v>
      </c>
      <c r="B1903" s="5" t="s">
        <v>9</v>
      </c>
      <c r="C1903" s="5">
        <v>43856.18</v>
      </c>
      <c r="D1903" s="5">
        <v>58</v>
      </c>
      <c r="E1903" s="5">
        <v>1</v>
      </c>
      <c r="F1903" s="5">
        <v>0.50290000000000001</v>
      </c>
      <c r="G1903" s="5">
        <v>0.25929999999999997</v>
      </c>
      <c r="H1903" s="5">
        <v>0</v>
      </c>
      <c r="I1903" s="5">
        <v>27931.46</v>
      </c>
      <c r="J1903" s="5">
        <v>4185.78</v>
      </c>
      <c r="K1903" s="5">
        <v>109</v>
      </c>
      <c r="L1903" s="5">
        <v>3</v>
      </c>
      <c r="M1903" s="5">
        <v>1</v>
      </c>
      <c r="N1903" s="5">
        <v>0</v>
      </c>
      <c r="O1903" s="5">
        <v>730.86</v>
      </c>
      <c r="P1903" s="6">
        <v>0</v>
      </c>
    </row>
    <row r="1904" spans="1:16" ht="23.4" x14ac:dyDescent="0.45">
      <c r="A1904" s="4" t="s">
        <v>1884</v>
      </c>
      <c r="B1904" s="5" t="s">
        <v>18</v>
      </c>
      <c r="C1904" s="5">
        <v>67047.45</v>
      </c>
      <c r="D1904" s="5">
        <v>36</v>
      </c>
      <c r="E1904" s="5">
        <v>0</v>
      </c>
      <c r="F1904" s="5">
        <v>0.47870000000000001</v>
      </c>
      <c r="G1904" s="5">
        <v>0.54769999999999996</v>
      </c>
      <c r="H1904" s="5">
        <v>7</v>
      </c>
      <c r="I1904" s="5">
        <v>57343.05</v>
      </c>
      <c r="J1904" s="5">
        <v>35031.480000000003</v>
      </c>
      <c r="K1904" s="5">
        <v>99</v>
      </c>
      <c r="L1904" s="5">
        <v>1</v>
      </c>
      <c r="M1904" s="5">
        <v>3</v>
      </c>
      <c r="N1904" s="5">
        <v>2</v>
      </c>
      <c r="O1904" s="5">
        <v>829.14</v>
      </c>
      <c r="P1904" s="6">
        <v>0</v>
      </c>
    </row>
    <row r="1905" spans="1:16" ht="23.4" x14ac:dyDescent="0.45">
      <c r="A1905" s="4" t="s">
        <v>1885</v>
      </c>
      <c r="B1905" s="5" t="s">
        <v>4</v>
      </c>
      <c r="C1905" s="5">
        <v>45286.61</v>
      </c>
      <c r="D1905" s="5">
        <v>66</v>
      </c>
      <c r="E1905" s="5">
        <v>1</v>
      </c>
      <c r="F1905" s="5">
        <v>0.47049999999999997</v>
      </c>
      <c r="G1905" s="5">
        <v>0.72729999999999995</v>
      </c>
      <c r="H1905" s="5">
        <v>1</v>
      </c>
      <c r="I1905" s="5">
        <v>6456.48</v>
      </c>
      <c r="J1905" s="5">
        <v>10094.23</v>
      </c>
      <c r="K1905" s="5">
        <v>154</v>
      </c>
      <c r="L1905" s="5">
        <v>1</v>
      </c>
      <c r="M1905" s="5">
        <v>1</v>
      </c>
      <c r="N1905" s="5">
        <v>3</v>
      </c>
      <c r="O1905" s="5">
        <v>752.51</v>
      </c>
      <c r="P1905" s="6">
        <v>0</v>
      </c>
    </row>
    <row r="1906" spans="1:16" ht="23.4" x14ac:dyDescent="0.45">
      <c r="A1906" s="4" t="s">
        <v>1886</v>
      </c>
      <c r="B1906" s="5" t="s">
        <v>1</v>
      </c>
      <c r="C1906" s="5">
        <v>48779.5</v>
      </c>
      <c r="D1906" s="5">
        <v>39</v>
      </c>
      <c r="E1906" s="5">
        <v>0</v>
      </c>
      <c r="F1906" s="5">
        <v>0.74870000000000003</v>
      </c>
      <c r="G1906" s="5">
        <v>0.21510000000000001</v>
      </c>
      <c r="H1906" s="5">
        <v>2</v>
      </c>
      <c r="I1906" s="5">
        <v>17510.439999999999</v>
      </c>
      <c r="J1906" s="5">
        <v>13466.19</v>
      </c>
      <c r="K1906" s="5">
        <v>132</v>
      </c>
      <c r="L1906" s="5">
        <v>3</v>
      </c>
      <c r="M1906" s="5">
        <v>2</v>
      </c>
      <c r="N1906" s="5">
        <v>0</v>
      </c>
      <c r="O1906" s="5">
        <v>738.16</v>
      </c>
      <c r="P1906" s="6">
        <v>0</v>
      </c>
    </row>
    <row r="1907" spans="1:16" ht="23.4" x14ac:dyDescent="0.45">
      <c r="A1907" s="4" t="s">
        <v>1887</v>
      </c>
      <c r="B1907" s="5" t="s">
        <v>15</v>
      </c>
      <c r="C1907" s="5">
        <v>85782.98</v>
      </c>
      <c r="D1907" s="5">
        <v>23</v>
      </c>
      <c r="E1907" s="5">
        <v>1</v>
      </c>
      <c r="F1907" s="5">
        <v>0.9849</v>
      </c>
      <c r="G1907" s="5">
        <v>0.5655</v>
      </c>
      <c r="H1907" s="5">
        <v>5</v>
      </c>
      <c r="I1907" s="5">
        <v>40096.620000000003</v>
      </c>
      <c r="J1907" s="5">
        <v>33859.79</v>
      </c>
      <c r="K1907" s="5">
        <v>108</v>
      </c>
      <c r="L1907" s="5">
        <v>1</v>
      </c>
      <c r="M1907" s="5">
        <v>2</v>
      </c>
      <c r="N1907" s="5">
        <v>0</v>
      </c>
      <c r="O1907" s="5">
        <v>725.92</v>
      </c>
      <c r="P1907" s="6">
        <v>0</v>
      </c>
    </row>
    <row r="1908" spans="1:16" ht="23.4" x14ac:dyDescent="0.45">
      <c r="A1908" s="4" t="s">
        <v>537</v>
      </c>
      <c r="B1908" s="5" t="s">
        <v>6</v>
      </c>
      <c r="C1908" s="5">
        <v>50041.22</v>
      </c>
      <c r="D1908" s="5">
        <v>50</v>
      </c>
      <c r="E1908" s="5">
        <v>0</v>
      </c>
      <c r="F1908" s="5">
        <v>0.73540000000000005</v>
      </c>
      <c r="G1908" s="5">
        <v>0.76629999999999998</v>
      </c>
      <c r="H1908" s="5">
        <v>1</v>
      </c>
      <c r="I1908" s="5">
        <v>42146.21</v>
      </c>
      <c r="J1908" s="5">
        <v>35963.85</v>
      </c>
      <c r="K1908" s="5">
        <v>135</v>
      </c>
      <c r="L1908" s="5">
        <v>2</v>
      </c>
      <c r="M1908" s="5">
        <v>1</v>
      </c>
      <c r="N1908" s="5">
        <v>1</v>
      </c>
      <c r="O1908" s="5">
        <v>709.62</v>
      </c>
      <c r="P1908" s="6">
        <v>0</v>
      </c>
    </row>
    <row r="1909" spans="1:16" ht="23.4" x14ac:dyDescent="0.45">
      <c r="A1909" s="4" t="s">
        <v>1888</v>
      </c>
      <c r="B1909" s="5" t="s">
        <v>6</v>
      </c>
      <c r="C1909" s="5">
        <v>105396.37</v>
      </c>
      <c r="D1909" s="5">
        <v>46</v>
      </c>
      <c r="E1909" s="5">
        <v>1</v>
      </c>
      <c r="F1909" s="5">
        <v>0.61380000000000001</v>
      </c>
      <c r="G1909" s="5">
        <v>0.41920000000000002</v>
      </c>
      <c r="H1909" s="5">
        <v>3</v>
      </c>
      <c r="I1909" s="5">
        <v>55354.38</v>
      </c>
      <c r="J1909" s="5">
        <v>43278.879999999997</v>
      </c>
      <c r="K1909" s="5">
        <v>111</v>
      </c>
      <c r="L1909" s="5">
        <v>4</v>
      </c>
      <c r="M1909" s="5">
        <v>1</v>
      </c>
      <c r="N1909" s="5">
        <v>0</v>
      </c>
      <c r="O1909" s="5">
        <v>646.94000000000005</v>
      </c>
      <c r="P1909" s="6">
        <v>0</v>
      </c>
    </row>
    <row r="1910" spans="1:16" ht="23.4" x14ac:dyDescent="0.45">
      <c r="A1910" s="4" t="s">
        <v>1889</v>
      </c>
      <c r="B1910" s="5" t="s">
        <v>9</v>
      </c>
      <c r="C1910" s="5">
        <v>93699.99</v>
      </c>
      <c r="D1910" s="5">
        <v>34</v>
      </c>
      <c r="E1910" s="5">
        <v>1</v>
      </c>
      <c r="F1910" s="5">
        <v>0.66020000000000001</v>
      </c>
      <c r="G1910" s="5">
        <v>1</v>
      </c>
      <c r="H1910" s="5">
        <v>9</v>
      </c>
      <c r="I1910" s="5">
        <v>85506.99</v>
      </c>
      <c r="J1910" s="5">
        <v>56923.67</v>
      </c>
      <c r="K1910" s="5">
        <v>174</v>
      </c>
      <c r="L1910" s="5">
        <v>2</v>
      </c>
      <c r="M1910" s="5">
        <v>1</v>
      </c>
      <c r="N1910" s="5">
        <v>1</v>
      </c>
      <c r="O1910" s="5">
        <v>686.85</v>
      </c>
      <c r="P1910" s="6">
        <v>0</v>
      </c>
    </row>
    <row r="1911" spans="1:16" ht="23.4" x14ac:dyDescent="0.45">
      <c r="A1911" s="4" t="s">
        <v>1890</v>
      </c>
      <c r="B1911" s="5" t="s">
        <v>4</v>
      </c>
      <c r="C1911" s="5">
        <v>124992.47</v>
      </c>
      <c r="D1911" s="5">
        <v>58</v>
      </c>
      <c r="E1911" s="5">
        <v>0</v>
      </c>
      <c r="F1911" s="5">
        <v>1</v>
      </c>
      <c r="G1911" s="5">
        <v>0</v>
      </c>
      <c r="H1911" s="5">
        <v>0</v>
      </c>
      <c r="I1911" s="5">
        <v>500</v>
      </c>
      <c r="J1911" s="5">
        <v>14997.46</v>
      </c>
      <c r="K1911" s="5">
        <v>178</v>
      </c>
      <c r="L1911" s="5">
        <v>2</v>
      </c>
      <c r="M1911" s="5">
        <v>1</v>
      </c>
      <c r="N1911" s="5">
        <v>0</v>
      </c>
      <c r="O1911" s="5">
        <v>771.8</v>
      </c>
      <c r="P1911" s="6">
        <v>0</v>
      </c>
    </row>
    <row r="1912" spans="1:16" ht="23.4" x14ac:dyDescent="0.45">
      <c r="A1912" s="4" t="s">
        <v>1891</v>
      </c>
      <c r="B1912" s="5" t="s">
        <v>6</v>
      </c>
      <c r="C1912" s="5">
        <v>65109.22</v>
      </c>
      <c r="D1912" s="5">
        <v>22</v>
      </c>
      <c r="E1912" s="5">
        <v>0</v>
      </c>
      <c r="F1912" s="5">
        <v>1</v>
      </c>
      <c r="G1912" s="5">
        <v>0.25869999999999999</v>
      </c>
      <c r="H1912" s="5">
        <v>4</v>
      </c>
      <c r="I1912" s="5">
        <v>4162.38</v>
      </c>
      <c r="J1912" s="5">
        <v>677.56</v>
      </c>
      <c r="K1912" s="5">
        <v>59</v>
      </c>
      <c r="L1912" s="5">
        <v>3</v>
      </c>
      <c r="M1912" s="5">
        <v>1</v>
      </c>
      <c r="N1912" s="5">
        <v>0</v>
      </c>
      <c r="O1912" s="5">
        <v>788.06</v>
      </c>
      <c r="P1912" s="6">
        <v>0</v>
      </c>
    </row>
    <row r="1913" spans="1:16" ht="23.4" x14ac:dyDescent="0.45">
      <c r="A1913" s="4" t="s">
        <v>1892</v>
      </c>
      <c r="B1913" s="5" t="s">
        <v>4</v>
      </c>
      <c r="C1913" s="5">
        <v>81427.289999999994</v>
      </c>
      <c r="D1913" s="5">
        <v>62</v>
      </c>
      <c r="E1913" s="5">
        <v>1</v>
      </c>
      <c r="F1913" s="5">
        <v>0.65580000000000005</v>
      </c>
      <c r="G1913" s="5">
        <v>0.24329999999999999</v>
      </c>
      <c r="H1913" s="5">
        <v>2</v>
      </c>
      <c r="I1913" s="5">
        <v>51751</v>
      </c>
      <c r="J1913" s="5">
        <v>44135.97</v>
      </c>
      <c r="K1913" s="5">
        <v>103</v>
      </c>
      <c r="L1913" s="5">
        <v>2</v>
      </c>
      <c r="M1913" s="5">
        <v>2</v>
      </c>
      <c r="N1913" s="5">
        <v>2</v>
      </c>
      <c r="O1913" s="5">
        <v>600.45000000000005</v>
      </c>
      <c r="P1913" s="6">
        <v>0</v>
      </c>
    </row>
    <row r="1914" spans="1:16" ht="23.4" x14ac:dyDescent="0.45">
      <c r="A1914" s="4" t="s">
        <v>1893</v>
      </c>
      <c r="B1914" s="5" t="s">
        <v>9</v>
      </c>
      <c r="C1914" s="5">
        <v>103189.99</v>
      </c>
      <c r="D1914" s="5">
        <v>67</v>
      </c>
      <c r="E1914" s="5">
        <v>0</v>
      </c>
      <c r="F1914" s="5">
        <v>0.7369</v>
      </c>
      <c r="G1914" s="5">
        <v>0.47970000000000002</v>
      </c>
      <c r="H1914" s="5">
        <v>3</v>
      </c>
      <c r="I1914" s="5">
        <v>58103.19</v>
      </c>
      <c r="J1914" s="5">
        <v>30741.119999999999</v>
      </c>
      <c r="K1914" s="5">
        <v>22</v>
      </c>
      <c r="L1914" s="5">
        <v>2</v>
      </c>
      <c r="M1914" s="5">
        <v>2</v>
      </c>
      <c r="N1914" s="5">
        <v>1</v>
      </c>
      <c r="O1914" s="5">
        <v>718.93</v>
      </c>
      <c r="P1914" s="6">
        <v>0</v>
      </c>
    </row>
    <row r="1915" spans="1:16" ht="23.4" x14ac:dyDescent="0.45">
      <c r="A1915" s="4" t="s">
        <v>1894</v>
      </c>
      <c r="B1915" s="5" t="s">
        <v>1</v>
      </c>
      <c r="C1915" s="5">
        <v>53934.879999999997</v>
      </c>
      <c r="D1915" s="5">
        <v>23</v>
      </c>
      <c r="E1915" s="5">
        <v>1</v>
      </c>
      <c r="F1915" s="5">
        <v>0.83289999999999997</v>
      </c>
      <c r="G1915" s="5">
        <v>0.71850000000000003</v>
      </c>
      <c r="H1915" s="5">
        <v>6</v>
      </c>
      <c r="I1915" s="5">
        <v>34422.46</v>
      </c>
      <c r="J1915" s="5">
        <v>28024.639999999999</v>
      </c>
      <c r="K1915" s="5">
        <v>145</v>
      </c>
      <c r="L1915" s="5">
        <v>3</v>
      </c>
      <c r="M1915" s="5">
        <v>2</v>
      </c>
      <c r="N1915" s="5">
        <v>0</v>
      </c>
      <c r="O1915" s="5">
        <v>685.94</v>
      </c>
      <c r="P1915" s="6">
        <v>0</v>
      </c>
    </row>
    <row r="1916" spans="1:16" ht="23.4" x14ac:dyDescent="0.45">
      <c r="A1916" s="4" t="s">
        <v>1895</v>
      </c>
      <c r="B1916" s="5" t="s">
        <v>1</v>
      </c>
      <c r="C1916" s="5">
        <v>66506.679999999993</v>
      </c>
      <c r="D1916" s="5">
        <v>37</v>
      </c>
      <c r="E1916" s="5">
        <v>0</v>
      </c>
      <c r="F1916" s="5">
        <v>0.59989999999999999</v>
      </c>
      <c r="G1916" s="5">
        <v>0.3039</v>
      </c>
      <c r="H1916" s="5">
        <v>0</v>
      </c>
      <c r="I1916" s="5">
        <v>14610.28</v>
      </c>
      <c r="J1916" s="5">
        <v>11062.99</v>
      </c>
      <c r="K1916" s="5">
        <v>112</v>
      </c>
      <c r="L1916" s="5">
        <v>2</v>
      </c>
      <c r="M1916" s="5">
        <v>2</v>
      </c>
      <c r="N1916" s="5">
        <v>1</v>
      </c>
      <c r="O1916" s="5">
        <v>588.49</v>
      </c>
      <c r="P1916" s="6">
        <v>0</v>
      </c>
    </row>
    <row r="1917" spans="1:16" ht="23.4" x14ac:dyDescent="0.45">
      <c r="A1917" s="4" t="s">
        <v>1896</v>
      </c>
      <c r="B1917" s="5" t="s">
        <v>18</v>
      </c>
      <c r="C1917" s="5">
        <v>83894.48</v>
      </c>
      <c r="D1917" s="5">
        <v>29</v>
      </c>
      <c r="E1917" s="5">
        <v>0</v>
      </c>
      <c r="F1917" s="5">
        <v>0.60309999999999997</v>
      </c>
      <c r="G1917" s="5">
        <v>0.1646</v>
      </c>
      <c r="H1917" s="5">
        <v>5</v>
      </c>
      <c r="I1917" s="5">
        <v>25778.27</v>
      </c>
      <c r="J1917" s="5">
        <v>23434.16</v>
      </c>
      <c r="K1917" s="5">
        <v>123</v>
      </c>
      <c r="L1917" s="5">
        <v>3</v>
      </c>
      <c r="M1917" s="5">
        <v>3</v>
      </c>
      <c r="N1917" s="5">
        <v>1</v>
      </c>
      <c r="O1917" s="5">
        <v>650.64</v>
      </c>
      <c r="P1917" s="6">
        <v>0</v>
      </c>
    </row>
    <row r="1918" spans="1:16" ht="23.4" x14ac:dyDescent="0.45">
      <c r="A1918" s="4" t="s">
        <v>1897</v>
      </c>
      <c r="B1918" s="5" t="s">
        <v>6</v>
      </c>
      <c r="C1918" s="5">
        <v>158633.74</v>
      </c>
      <c r="D1918" s="5">
        <v>35</v>
      </c>
      <c r="E1918" s="5">
        <v>0</v>
      </c>
      <c r="F1918" s="5">
        <v>0.38250000000000001</v>
      </c>
      <c r="G1918" s="5">
        <v>0.81989999999999996</v>
      </c>
      <c r="H1918" s="5">
        <v>6</v>
      </c>
      <c r="I1918" s="5">
        <v>134142.34</v>
      </c>
      <c r="J1918" s="5">
        <v>74151.58</v>
      </c>
      <c r="K1918" s="5">
        <v>95</v>
      </c>
      <c r="L1918" s="5">
        <v>2</v>
      </c>
      <c r="M1918" s="5">
        <v>3</v>
      </c>
      <c r="N1918" s="5">
        <v>1</v>
      </c>
      <c r="O1918" s="5">
        <v>629.9</v>
      </c>
      <c r="P1918" s="6">
        <v>0</v>
      </c>
    </row>
    <row r="1919" spans="1:16" ht="23.4" x14ac:dyDescent="0.45">
      <c r="A1919" s="4" t="s">
        <v>1898</v>
      </c>
      <c r="B1919" s="5" t="s">
        <v>9</v>
      </c>
      <c r="C1919" s="5">
        <v>84174.54</v>
      </c>
      <c r="D1919" s="5">
        <v>52</v>
      </c>
      <c r="E1919" s="5">
        <v>0</v>
      </c>
      <c r="F1919" s="5">
        <v>0.94640000000000002</v>
      </c>
      <c r="G1919" s="5">
        <v>0.25469999999999998</v>
      </c>
      <c r="H1919" s="5">
        <v>1</v>
      </c>
      <c r="I1919" s="5">
        <v>13011.94</v>
      </c>
      <c r="J1919" s="5">
        <v>16668.63</v>
      </c>
      <c r="K1919" s="5">
        <v>37</v>
      </c>
      <c r="L1919" s="5">
        <v>2</v>
      </c>
      <c r="M1919" s="5">
        <v>1</v>
      </c>
      <c r="N1919" s="5">
        <v>0</v>
      </c>
      <c r="O1919" s="5">
        <v>802.09</v>
      </c>
      <c r="P1919" s="6">
        <v>0</v>
      </c>
    </row>
    <row r="1920" spans="1:16" ht="23.4" x14ac:dyDescent="0.45">
      <c r="A1920" s="4" t="s">
        <v>1899</v>
      </c>
      <c r="B1920" s="5" t="s">
        <v>18</v>
      </c>
      <c r="C1920" s="5">
        <v>163174.26</v>
      </c>
      <c r="D1920" s="5">
        <v>43</v>
      </c>
      <c r="E1920" s="5">
        <v>0</v>
      </c>
      <c r="F1920" s="5">
        <v>0.69730000000000003</v>
      </c>
      <c r="G1920" s="5">
        <v>0.14760000000000001</v>
      </c>
      <c r="H1920" s="5">
        <v>0</v>
      </c>
      <c r="I1920" s="5">
        <v>45890.9</v>
      </c>
      <c r="J1920" s="5">
        <v>40041.65</v>
      </c>
      <c r="K1920" s="5">
        <v>115</v>
      </c>
      <c r="L1920" s="5">
        <v>2</v>
      </c>
      <c r="M1920" s="5">
        <v>2</v>
      </c>
      <c r="N1920" s="5">
        <v>1</v>
      </c>
      <c r="O1920" s="5">
        <v>601.80999999999995</v>
      </c>
      <c r="P1920" s="6">
        <v>0</v>
      </c>
    </row>
    <row r="1921" spans="1:16" ht="23.4" x14ac:dyDescent="0.45">
      <c r="A1921" s="4" t="s">
        <v>1900</v>
      </c>
      <c r="B1921" s="5" t="s">
        <v>1</v>
      </c>
      <c r="C1921" s="5">
        <v>102113.81</v>
      </c>
      <c r="D1921" s="5">
        <v>54</v>
      </c>
      <c r="E1921" s="5">
        <v>0</v>
      </c>
      <c r="F1921" s="5">
        <v>0.21410000000000001</v>
      </c>
      <c r="G1921" s="5">
        <v>0.23300000000000001</v>
      </c>
      <c r="H1921" s="5">
        <v>0</v>
      </c>
      <c r="I1921" s="5">
        <v>29745.11</v>
      </c>
      <c r="J1921" s="5">
        <v>0</v>
      </c>
      <c r="K1921" s="5">
        <v>176</v>
      </c>
      <c r="L1921" s="5">
        <v>2</v>
      </c>
      <c r="M1921" s="5">
        <v>1</v>
      </c>
      <c r="N1921" s="5">
        <v>1</v>
      </c>
      <c r="O1921" s="5">
        <v>620.84</v>
      </c>
      <c r="P1921" s="6">
        <v>0</v>
      </c>
    </row>
    <row r="1922" spans="1:16" ht="23.4" x14ac:dyDescent="0.45">
      <c r="A1922" s="4" t="s">
        <v>1901</v>
      </c>
      <c r="B1922" s="5" t="s">
        <v>18</v>
      </c>
      <c r="C1922" s="5">
        <v>95385.5</v>
      </c>
      <c r="D1922" s="5">
        <v>46</v>
      </c>
      <c r="E1922" s="5">
        <v>0</v>
      </c>
      <c r="F1922" s="5">
        <v>0.5837</v>
      </c>
      <c r="G1922" s="5">
        <v>0.46929999999999999</v>
      </c>
      <c r="H1922" s="5">
        <v>4</v>
      </c>
      <c r="I1922" s="5">
        <v>30479.41</v>
      </c>
      <c r="J1922" s="5">
        <v>23184.07</v>
      </c>
      <c r="K1922" s="5">
        <v>137</v>
      </c>
      <c r="L1922" s="5">
        <v>3</v>
      </c>
      <c r="M1922" s="5">
        <v>2</v>
      </c>
      <c r="N1922" s="5">
        <v>1</v>
      </c>
      <c r="O1922" s="5">
        <v>657.6</v>
      </c>
      <c r="P1922" s="6">
        <v>0</v>
      </c>
    </row>
    <row r="1923" spans="1:16" ht="23.4" x14ac:dyDescent="0.45">
      <c r="A1923" s="4" t="s">
        <v>1902</v>
      </c>
      <c r="B1923" s="5" t="s">
        <v>18</v>
      </c>
      <c r="C1923" s="5">
        <v>44675.35</v>
      </c>
      <c r="D1923" s="5">
        <v>46</v>
      </c>
      <c r="E1923" s="5">
        <v>1</v>
      </c>
      <c r="F1923" s="5">
        <v>0.87690000000000001</v>
      </c>
      <c r="G1923" s="5">
        <v>0.38540000000000002</v>
      </c>
      <c r="H1923" s="5">
        <v>4</v>
      </c>
      <c r="I1923" s="5">
        <v>48101.29</v>
      </c>
      <c r="J1923" s="5">
        <v>22597.86</v>
      </c>
      <c r="K1923" s="5">
        <v>143</v>
      </c>
      <c r="L1923" s="5">
        <v>4</v>
      </c>
      <c r="M1923" s="5">
        <v>1</v>
      </c>
      <c r="N1923" s="5">
        <v>0</v>
      </c>
      <c r="O1923" s="5">
        <v>648.55999999999995</v>
      </c>
      <c r="P1923" s="6">
        <v>0</v>
      </c>
    </row>
    <row r="1924" spans="1:16" ht="23.4" x14ac:dyDescent="0.45">
      <c r="A1924" s="4" t="s">
        <v>1903</v>
      </c>
      <c r="B1924" s="5" t="s">
        <v>18</v>
      </c>
      <c r="C1924" s="5">
        <v>110855.74</v>
      </c>
      <c r="D1924" s="5">
        <v>27</v>
      </c>
      <c r="E1924" s="5">
        <v>0</v>
      </c>
      <c r="F1924" s="5">
        <v>0.45889999999999997</v>
      </c>
      <c r="G1924" s="5">
        <v>0.55049999999999999</v>
      </c>
      <c r="H1924" s="5">
        <v>5</v>
      </c>
      <c r="I1924" s="5">
        <v>44430.47</v>
      </c>
      <c r="J1924" s="5">
        <v>27237.86</v>
      </c>
      <c r="K1924" s="5">
        <v>117</v>
      </c>
      <c r="L1924" s="5">
        <v>1</v>
      </c>
      <c r="M1924" s="5">
        <v>2</v>
      </c>
      <c r="N1924" s="5">
        <v>1</v>
      </c>
      <c r="O1924" s="5">
        <v>639.28</v>
      </c>
      <c r="P1924" s="6">
        <v>0</v>
      </c>
    </row>
    <row r="1925" spans="1:16" ht="23.4" x14ac:dyDescent="0.45">
      <c r="A1925" s="4" t="s">
        <v>1904</v>
      </c>
      <c r="B1925" s="5" t="s">
        <v>1</v>
      </c>
      <c r="C1925" s="5">
        <v>144397.26999999999</v>
      </c>
      <c r="D1925" s="5">
        <v>56</v>
      </c>
      <c r="E1925" s="5">
        <v>0</v>
      </c>
      <c r="F1925" s="5">
        <v>0.47560000000000002</v>
      </c>
      <c r="G1925" s="5">
        <v>0.70109999999999995</v>
      </c>
      <c r="H1925" s="5">
        <v>4</v>
      </c>
      <c r="I1925" s="5">
        <v>101807.41</v>
      </c>
      <c r="J1925" s="5">
        <v>71405.67</v>
      </c>
      <c r="K1925" s="5">
        <v>80</v>
      </c>
      <c r="L1925" s="5">
        <v>1</v>
      </c>
      <c r="M1925" s="5">
        <v>1</v>
      </c>
      <c r="N1925" s="5">
        <v>2</v>
      </c>
      <c r="O1925" s="5">
        <v>692.51</v>
      </c>
      <c r="P1925" s="6">
        <v>0</v>
      </c>
    </row>
    <row r="1926" spans="1:16" ht="23.4" x14ac:dyDescent="0.45">
      <c r="A1926" s="4" t="s">
        <v>1905</v>
      </c>
      <c r="B1926" s="5" t="s">
        <v>4</v>
      </c>
      <c r="C1926" s="5">
        <v>62655.19</v>
      </c>
      <c r="D1926" s="5">
        <v>33</v>
      </c>
      <c r="E1926" s="5">
        <v>1</v>
      </c>
      <c r="F1926" s="5">
        <v>0.92220000000000002</v>
      </c>
      <c r="G1926" s="5">
        <v>0</v>
      </c>
      <c r="H1926" s="5">
        <v>0</v>
      </c>
      <c r="I1926" s="5">
        <v>24177.599999999999</v>
      </c>
      <c r="J1926" s="5">
        <v>33993.42</v>
      </c>
      <c r="K1926" s="5">
        <v>96</v>
      </c>
      <c r="L1926" s="5">
        <v>3</v>
      </c>
      <c r="M1926" s="5">
        <v>1</v>
      </c>
      <c r="N1926" s="5">
        <v>0</v>
      </c>
      <c r="O1926" s="5">
        <v>736.64</v>
      </c>
      <c r="P1926" s="6">
        <v>0</v>
      </c>
    </row>
    <row r="1927" spans="1:16" ht="23.4" x14ac:dyDescent="0.45">
      <c r="A1927" s="4" t="s">
        <v>1906</v>
      </c>
      <c r="B1927" s="5" t="s">
        <v>9</v>
      </c>
      <c r="C1927" s="5">
        <v>86224.04</v>
      </c>
      <c r="D1927" s="5">
        <v>40</v>
      </c>
      <c r="E1927" s="5">
        <v>1</v>
      </c>
      <c r="F1927" s="5">
        <v>0.64400000000000002</v>
      </c>
      <c r="G1927" s="5">
        <v>0.38869999999999999</v>
      </c>
      <c r="H1927" s="5">
        <v>4</v>
      </c>
      <c r="I1927" s="5">
        <v>23349.35</v>
      </c>
      <c r="J1927" s="5">
        <v>27616.43</v>
      </c>
      <c r="K1927" s="5">
        <v>53</v>
      </c>
      <c r="L1927" s="5">
        <v>1</v>
      </c>
      <c r="M1927" s="5">
        <v>2</v>
      </c>
      <c r="N1927" s="5">
        <v>1</v>
      </c>
      <c r="O1927" s="5">
        <v>722.03</v>
      </c>
      <c r="P1927" s="6">
        <v>0</v>
      </c>
    </row>
    <row r="1928" spans="1:16" ht="23.4" x14ac:dyDescent="0.45">
      <c r="A1928" s="4" t="s">
        <v>1907</v>
      </c>
      <c r="B1928" s="5" t="s">
        <v>6</v>
      </c>
      <c r="C1928" s="5">
        <v>9195.73</v>
      </c>
      <c r="D1928" s="5">
        <v>52</v>
      </c>
      <c r="E1928" s="5">
        <v>0</v>
      </c>
      <c r="F1928" s="5">
        <v>0.82369999999999999</v>
      </c>
      <c r="G1928" s="5">
        <v>0.23669999999999999</v>
      </c>
      <c r="H1928" s="5">
        <v>3</v>
      </c>
      <c r="I1928" s="5">
        <v>12570.01</v>
      </c>
      <c r="J1928" s="5">
        <v>10962.52</v>
      </c>
      <c r="K1928" s="5">
        <v>10</v>
      </c>
      <c r="L1928" s="5">
        <v>3</v>
      </c>
      <c r="M1928" s="5">
        <v>2</v>
      </c>
      <c r="N1928" s="5">
        <v>0</v>
      </c>
      <c r="O1928" s="5">
        <v>828.55</v>
      </c>
      <c r="P1928" s="6">
        <v>0</v>
      </c>
    </row>
    <row r="1929" spans="1:16" ht="23.4" x14ac:dyDescent="0.45">
      <c r="A1929" s="4" t="s">
        <v>1908</v>
      </c>
      <c r="B1929" s="5" t="s">
        <v>18</v>
      </c>
      <c r="C1929" s="5">
        <v>144951.51</v>
      </c>
      <c r="D1929" s="5">
        <v>21</v>
      </c>
      <c r="E1929" s="5">
        <v>1</v>
      </c>
      <c r="F1929" s="5">
        <v>0.91910000000000003</v>
      </c>
      <c r="G1929" s="5">
        <v>0.5161</v>
      </c>
      <c r="H1929" s="5">
        <v>3</v>
      </c>
      <c r="I1929" s="5">
        <v>71310.009999999995</v>
      </c>
      <c r="J1929" s="5">
        <v>53094.35</v>
      </c>
      <c r="K1929" s="5">
        <v>11</v>
      </c>
      <c r="L1929" s="5">
        <v>2</v>
      </c>
      <c r="M1929" s="5">
        <v>2</v>
      </c>
      <c r="N1929" s="5">
        <v>0</v>
      </c>
      <c r="O1929" s="5">
        <v>796.15</v>
      </c>
      <c r="P1929" s="6">
        <v>0</v>
      </c>
    </row>
    <row r="1930" spans="1:16" ht="23.4" x14ac:dyDescent="0.45">
      <c r="A1930" s="4" t="s">
        <v>1909</v>
      </c>
      <c r="B1930" s="5" t="s">
        <v>9</v>
      </c>
      <c r="C1930" s="5">
        <v>136089.70000000001</v>
      </c>
      <c r="D1930" s="5">
        <v>47</v>
      </c>
      <c r="E1930" s="5">
        <v>1</v>
      </c>
      <c r="F1930" s="5">
        <v>1</v>
      </c>
      <c r="G1930" s="5">
        <v>3.32E-2</v>
      </c>
      <c r="H1930" s="5">
        <v>0</v>
      </c>
      <c r="I1930" s="5">
        <v>2740.86</v>
      </c>
      <c r="J1930" s="5">
        <v>1131.9000000000001</v>
      </c>
      <c r="K1930" s="5">
        <v>49</v>
      </c>
      <c r="L1930" s="5">
        <v>3</v>
      </c>
      <c r="M1930" s="5">
        <v>1</v>
      </c>
      <c r="N1930" s="5">
        <v>3</v>
      </c>
      <c r="O1930" s="5">
        <v>759.63</v>
      </c>
      <c r="P1930" s="6">
        <v>0</v>
      </c>
    </row>
    <row r="1931" spans="1:16" ht="23.4" x14ac:dyDescent="0.45">
      <c r="A1931" s="4" t="s">
        <v>1910</v>
      </c>
      <c r="B1931" s="5" t="s">
        <v>1</v>
      </c>
      <c r="C1931" s="5">
        <v>83101.75</v>
      </c>
      <c r="D1931" s="5">
        <v>37</v>
      </c>
      <c r="E1931" s="5">
        <v>0</v>
      </c>
      <c r="F1931" s="5">
        <v>0.79590000000000005</v>
      </c>
      <c r="G1931" s="5">
        <v>0</v>
      </c>
      <c r="H1931" s="5">
        <v>0</v>
      </c>
      <c r="I1931" s="5">
        <v>500</v>
      </c>
      <c r="J1931" s="5">
        <v>0</v>
      </c>
      <c r="K1931" s="5">
        <v>121</v>
      </c>
      <c r="L1931" s="5">
        <v>2</v>
      </c>
      <c r="M1931" s="5">
        <v>1</v>
      </c>
      <c r="N1931" s="5">
        <v>1</v>
      </c>
      <c r="O1931" s="5">
        <v>850</v>
      </c>
      <c r="P1931" s="6">
        <v>0</v>
      </c>
    </row>
    <row r="1932" spans="1:16" ht="23.4" x14ac:dyDescent="0.45">
      <c r="A1932" s="4" t="s">
        <v>1911</v>
      </c>
      <c r="B1932" s="5" t="s">
        <v>15</v>
      </c>
      <c r="C1932" s="5">
        <v>159520.25</v>
      </c>
      <c r="D1932" s="5">
        <v>41</v>
      </c>
      <c r="E1932" s="5">
        <v>0</v>
      </c>
      <c r="F1932" s="5">
        <v>0.68859999999999999</v>
      </c>
      <c r="G1932" s="5">
        <v>0</v>
      </c>
      <c r="H1932" s="5">
        <v>1</v>
      </c>
      <c r="I1932" s="5">
        <v>18005.28</v>
      </c>
      <c r="J1932" s="5">
        <v>18428.29</v>
      </c>
      <c r="K1932" s="5">
        <v>76</v>
      </c>
      <c r="L1932" s="5">
        <v>1</v>
      </c>
      <c r="M1932" s="5">
        <v>3</v>
      </c>
      <c r="N1932" s="5">
        <v>3</v>
      </c>
      <c r="O1932" s="5">
        <v>691.29</v>
      </c>
      <c r="P1932" s="6">
        <v>0</v>
      </c>
    </row>
    <row r="1933" spans="1:16" ht="23.4" x14ac:dyDescent="0.45">
      <c r="A1933" s="4" t="s">
        <v>1912</v>
      </c>
      <c r="B1933" s="5" t="s">
        <v>15</v>
      </c>
      <c r="C1933" s="5">
        <v>124085.46</v>
      </c>
      <c r="D1933" s="5">
        <v>52</v>
      </c>
      <c r="E1933" s="5">
        <v>0</v>
      </c>
      <c r="F1933" s="5">
        <v>0.6885</v>
      </c>
      <c r="G1933" s="5">
        <v>0.79879999999999995</v>
      </c>
      <c r="H1933" s="5">
        <v>2</v>
      </c>
      <c r="I1933" s="5">
        <v>94485.52</v>
      </c>
      <c r="J1933" s="5">
        <v>66804.72</v>
      </c>
      <c r="K1933" s="5">
        <v>70</v>
      </c>
      <c r="L1933" s="5">
        <v>3</v>
      </c>
      <c r="M1933" s="5">
        <v>1</v>
      </c>
      <c r="N1933" s="5">
        <v>0</v>
      </c>
      <c r="O1933" s="5">
        <v>752.23</v>
      </c>
      <c r="P1933" s="6">
        <v>0</v>
      </c>
    </row>
    <row r="1934" spans="1:16" ht="23.4" x14ac:dyDescent="0.45">
      <c r="A1934" s="4" t="s">
        <v>1913</v>
      </c>
      <c r="B1934" s="5" t="s">
        <v>1</v>
      </c>
      <c r="C1934" s="5">
        <v>55098.12</v>
      </c>
      <c r="D1934" s="5">
        <v>56</v>
      </c>
      <c r="E1934" s="5">
        <v>0</v>
      </c>
      <c r="F1934" s="5">
        <v>0.84419999999999995</v>
      </c>
      <c r="G1934" s="5">
        <v>0.7641</v>
      </c>
      <c r="H1934" s="5">
        <v>4</v>
      </c>
      <c r="I1934" s="5">
        <v>12110.17</v>
      </c>
      <c r="J1934" s="5">
        <v>17879.62</v>
      </c>
      <c r="K1934" s="5">
        <v>137</v>
      </c>
      <c r="L1934" s="5">
        <v>1</v>
      </c>
      <c r="M1934" s="5">
        <v>2</v>
      </c>
      <c r="N1934" s="5">
        <v>0</v>
      </c>
      <c r="O1934" s="5">
        <v>706.24</v>
      </c>
      <c r="P1934" s="6">
        <v>0</v>
      </c>
    </row>
    <row r="1935" spans="1:16" ht="23.4" x14ac:dyDescent="0.45">
      <c r="A1935" s="4" t="s">
        <v>1914</v>
      </c>
      <c r="B1935" s="5" t="s">
        <v>15</v>
      </c>
      <c r="C1935" s="5">
        <v>125779.07</v>
      </c>
      <c r="D1935" s="5">
        <v>35</v>
      </c>
      <c r="E1935" s="5">
        <v>0</v>
      </c>
      <c r="F1935" s="5">
        <v>0.4582</v>
      </c>
      <c r="G1935" s="5">
        <v>0</v>
      </c>
      <c r="H1935" s="5">
        <v>0</v>
      </c>
      <c r="I1935" s="5">
        <v>500</v>
      </c>
      <c r="J1935" s="5">
        <v>0</v>
      </c>
      <c r="K1935" s="5">
        <v>132</v>
      </c>
      <c r="L1935" s="5">
        <v>1</v>
      </c>
      <c r="M1935" s="5">
        <v>3</v>
      </c>
      <c r="N1935" s="5">
        <v>2</v>
      </c>
      <c r="O1935" s="5">
        <v>619.09</v>
      </c>
      <c r="P1935" s="6">
        <v>0</v>
      </c>
    </row>
    <row r="1936" spans="1:16" ht="23.4" x14ac:dyDescent="0.45">
      <c r="A1936" s="4" t="s">
        <v>1915</v>
      </c>
      <c r="B1936" s="5" t="s">
        <v>6</v>
      </c>
      <c r="C1936" s="5">
        <v>90665.84</v>
      </c>
      <c r="D1936" s="5">
        <v>63</v>
      </c>
      <c r="E1936" s="5">
        <v>1</v>
      </c>
      <c r="F1936" s="5">
        <v>0.74870000000000003</v>
      </c>
      <c r="G1936" s="5">
        <v>0.50639999999999996</v>
      </c>
      <c r="H1936" s="5">
        <v>1</v>
      </c>
      <c r="I1936" s="5">
        <v>44497.82</v>
      </c>
      <c r="J1936" s="5">
        <v>31007.46</v>
      </c>
      <c r="K1936" s="5">
        <v>136</v>
      </c>
      <c r="L1936" s="5">
        <v>3</v>
      </c>
      <c r="M1936" s="5">
        <v>1</v>
      </c>
      <c r="N1936" s="5">
        <v>0</v>
      </c>
      <c r="O1936" s="5">
        <v>745.15</v>
      </c>
      <c r="P1936" s="6">
        <v>0</v>
      </c>
    </row>
    <row r="1937" spans="1:16" ht="23.4" x14ac:dyDescent="0.45">
      <c r="A1937" s="4" t="s">
        <v>1916</v>
      </c>
      <c r="B1937" s="5" t="s">
        <v>15</v>
      </c>
      <c r="C1937" s="5">
        <v>59247.45</v>
      </c>
      <c r="D1937" s="5">
        <v>56</v>
      </c>
      <c r="E1937" s="5">
        <v>1</v>
      </c>
      <c r="F1937" s="5">
        <v>0.77410000000000001</v>
      </c>
      <c r="G1937" s="5">
        <v>0.86070000000000002</v>
      </c>
      <c r="H1937" s="5">
        <v>5</v>
      </c>
      <c r="I1937" s="5">
        <v>62211.24</v>
      </c>
      <c r="J1937" s="5">
        <v>52535.92</v>
      </c>
      <c r="K1937" s="5">
        <v>158</v>
      </c>
      <c r="L1937" s="5">
        <v>2</v>
      </c>
      <c r="M1937" s="5">
        <v>2</v>
      </c>
      <c r="N1937" s="5">
        <v>0</v>
      </c>
      <c r="O1937" s="5">
        <v>664.22</v>
      </c>
      <c r="P1937" s="6">
        <v>1</v>
      </c>
    </row>
    <row r="1938" spans="1:16" ht="23.4" x14ac:dyDescent="0.45">
      <c r="A1938" s="4" t="s">
        <v>1227</v>
      </c>
      <c r="B1938" s="5" t="s">
        <v>15</v>
      </c>
      <c r="C1938" s="5">
        <v>83763.64</v>
      </c>
      <c r="D1938" s="5">
        <v>24</v>
      </c>
      <c r="E1938" s="5">
        <v>0</v>
      </c>
      <c r="F1938" s="5">
        <v>0.53149999999999997</v>
      </c>
      <c r="G1938" s="5">
        <v>0.14319999999999999</v>
      </c>
      <c r="H1938" s="5">
        <v>4</v>
      </c>
      <c r="I1938" s="5">
        <v>500</v>
      </c>
      <c r="J1938" s="5">
        <v>0</v>
      </c>
      <c r="K1938" s="5">
        <v>108</v>
      </c>
      <c r="L1938" s="5">
        <v>2</v>
      </c>
      <c r="M1938" s="5">
        <v>2</v>
      </c>
      <c r="N1938" s="5">
        <v>0</v>
      </c>
      <c r="O1938" s="5">
        <v>655.34</v>
      </c>
      <c r="P1938" s="6">
        <v>0</v>
      </c>
    </row>
    <row r="1939" spans="1:16" ht="23.4" x14ac:dyDescent="0.45">
      <c r="A1939" s="4" t="s">
        <v>1917</v>
      </c>
      <c r="B1939" s="5" t="s">
        <v>9</v>
      </c>
      <c r="C1939" s="5">
        <v>99546.89</v>
      </c>
      <c r="D1939" s="5">
        <v>69</v>
      </c>
      <c r="E1939" s="5">
        <v>0</v>
      </c>
      <c r="F1939" s="5">
        <v>0.5948</v>
      </c>
      <c r="G1939" s="5">
        <v>0.3</v>
      </c>
      <c r="H1939" s="5">
        <v>4</v>
      </c>
      <c r="I1939" s="5">
        <v>34627.89</v>
      </c>
      <c r="J1939" s="5">
        <v>23953.95</v>
      </c>
      <c r="K1939" s="5">
        <v>42</v>
      </c>
      <c r="L1939" s="5">
        <v>3</v>
      </c>
      <c r="M1939" s="5">
        <v>2</v>
      </c>
      <c r="N1939" s="5">
        <v>0</v>
      </c>
      <c r="O1939" s="5">
        <v>794.63</v>
      </c>
      <c r="P1939" s="6">
        <v>0</v>
      </c>
    </row>
    <row r="1940" spans="1:16" ht="23.4" x14ac:dyDescent="0.45">
      <c r="A1940" s="4" t="s">
        <v>1918</v>
      </c>
      <c r="B1940" s="5" t="s">
        <v>9</v>
      </c>
      <c r="C1940" s="5">
        <v>54267.839999999997</v>
      </c>
      <c r="D1940" s="5">
        <v>64</v>
      </c>
      <c r="E1940" s="5">
        <v>1</v>
      </c>
      <c r="F1940" s="5">
        <v>0.9325</v>
      </c>
      <c r="G1940" s="5">
        <v>0.72119999999999995</v>
      </c>
      <c r="H1940" s="5">
        <v>4</v>
      </c>
      <c r="I1940" s="5">
        <v>54584.01</v>
      </c>
      <c r="J1940" s="5">
        <v>43689.84</v>
      </c>
      <c r="K1940" s="5">
        <v>91</v>
      </c>
      <c r="L1940" s="5">
        <v>2</v>
      </c>
      <c r="M1940" s="5">
        <v>1</v>
      </c>
      <c r="N1940" s="5">
        <v>0</v>
      </c>
      <c r="O1940" s="5">
        <v>663.39</v>
      </c>
      <c r="P1940" s="6">
        <v>0</v>
      </c>
    </row>
    <row r="1941" spans="1:16" ht="23.4" x14ac:dyDescent="0.45">
      <c r="A1941" s="4" t="s">
        <v>1919</v>
      </c>
      <c r="B1941" s="5" t="s">
        <v>9</v>
      </c>
      <c r="C1941" s="5">
        <v>28400.880000000001</v>
      </c>
      <c r="D1941" s="5">
        <v>40</v>
      </c>
      <c r="E1941" s="5">
        <v>0</v>
      </c>
      <c r="F1941" s="5">
        <v>0.74319999999999997</v>
      </c>
      <c r="G1941" s="5">
        <v>0.39739999999999998</v>
      </c>
      <c r="H1941" s="5">
        <v>4</v>
      </c>
      <c r="I1941" s="5">
        <v>28984.02</v>
      </c>
      <c r="J1941" s="5">
        <v>17438.46</v>
      </c>
      <c r="K1941" s="5">
        <v>22</v>
      </c>
      <c r="L1941" s="5">
        <v>1</v>
      </c>
      <c r="M1941" s="5">
        <v>1</v>
      </c>
      <c r="N1941" s="5">
        <v>0</v>
      </c>
      <c r="O1941" s="5">
        <v>758.35</v>
      </c>
      <c r="P1941" s="6">
        <v>0</v>
      </c>
    </row>
    <row r="1942" spans="1:16" ht="23.4" x14ac:dyDescent="0.45">
      <c r="A1942" s="4" t="s">
        <v>1920</v>
      </c>
      <c r="B1942" s="5" t="s">
        <v>4</v>
      </c>
      <c r="C1942" s="5">
        <v>74650.080000000002</v>
      </c>
      <c r="D1942" s="5">
        <v>35</v>
      </c>
      <c r="E1942" s="5">
        <v>0</v>
      </c>
      <c r="F1942" s="5">
        <v>0.57150000000000001</v>
      </c>
      <c r="G1942" s="5">
        <v>0.40129999999999999</v>
      </c>
      <c r="H1942" s="5">
        <v>0</v>
      </c>
      <c r="I1942" s="5">
        <v>36611.550000000003</v>
      </c>
      <c r="J1942" s="5">
        <v>16785.96</v>
      </c>
      <c r="K1942" s="5">
        <v>26</v>
      </c>
      <c r="L1942" s="5">
        <v>3</v>
      </c>
      <c r="M1942" s="5">
        <v>2</v>
      </c>
      <c r="N1942" s="5">
        <v>0</v>
      </c>
      <c r="O1942" s="5">
        <v>741.45</v>
      </c>
      <c r="P1942" s="6">
        <v>0</v>
      </c>
    </row>
    <row r="1943" spans="1:16" ht="23.4" x14ac:dyDescent="0.45">
      <c r="A1943" s="4" t="s">
        <v>1921</v>
      </c>
      <c r="B1943" s="5" t="s">
        <v>9</v>
      </c>
      <c r="C1943" s="5">
        <v>141294.96</v>
      </c>
      <c r="D1943" s="5">
        <v>38</v>
      </c>
      <c r="E1943" s="5">
        <v>1</v>
      </c>
      <c r="F1943" s="5">
        <v>0.82079999999999997</v>
      </c>
      <c r="G1943" s="5">
        <v>0.39410000000000001</v>
      </c>
      <c r="H1943" s="5">
        <v>0</v>
      </c>
      <c r="I1943" s="5">
        <v>79966.850000000006</v>
      </c>
      <c r="J1943" s="5">
        <v>60100.14</v>
      </c>
      <c r="K1943" s="5">
        <v>117</v>
      </c>
      <c r="L1943" s="5">
        <v>3</v>
      </c>
      <c r="M1943" s="5">
        <v>1</v>
      </c>
      <c r="N1943" s="5">
        <v>0</v>
      </c>
      <c r="O1943" s="5">
        <v>685.87</v>
      </c>
      <c r="P1943" s="6">
        <v>0</v>
      </c>
    </row>
    <row r="1944" spans="1:16" ht="23.4" x14ac:dyDescent="0.45">
      <c r="A1944" s="4" t="s">
        <v>1922</v>
      </c>
      <c r="B1944" s="5" t="s">
        <v>1</v>
      </c>
      <c r="C1944" s="5">
        <v>101172.47</v>
      </c>
      <c r="D1944" s="5">
        <v>44</v>
      </c>
      <c r="E1944" s="5">
        <v>0</v>
      </c>
      <c r="F1944" s="5">
        <v>0.74160000000000004</v>
      </c>
      <c r="G1944" s="5">
        <v>9.35E-2</v>
      </c>
      <c r="H1944" s="5">
        <v>1</v>
      </c>
      <c r="I1944" s="5">
        <v>500</v>
      </c>
      <c r="J1944" s="5">
        <v>0</v>
      </c>
      <c r="K1944" s="5">
        <v>95</v>
      </c>
      <c r="L1944" s="5">
        <v>1</v>
      </c>
      <c r="M1944" s="5">
        <v>3</v>
      </c>
      <c r="N1944" s="5">
        <v>0</v>
      </c>
      <c r="O1944" s="5">
        <v>738.33</v>
      </c>
      <c r="P1944" s="6">
        <v>0</v>
      </c>
    </row>
    <row r="1945" spans="1:16" ht="23.4" x14ac:dyDescent="0.45">
      <c r="A1945" s="4" t="s">
        <v>1923</v>
      </c>
      <c r="B1945" s="5" t="s">
        <v>15</v>
      </c>
      <c r="C1945" s="5">
        <v>2000</v>
      </c>
      <c r="D1945" s="5">
        <v>61</v>
      </c>
      <c r="E1945" s="5">
        <v>1</v>
      </c>
      <c r="F1945" s="5">
        <v>0.82699999999999996</v>
      </c>
      <c r="G1945" s="5">
        <v>0.4884</v>
      </c>
      <c r="H1945" s="5">
        <v>5</v>
      </c>
      <c r="I1945" s="5">
        <v>10461.51</v>
      </c>
      <c r="J1945" s="5">
        <v>13207.13</v>
      </c>
      <c r="K1945" s="5">
        <v>97</v>
      </c>
      <c r="L1945" s="5">
        <v>1</v>
      </c>
      <c r="M1945" s="5">
        <v>2</v>
      </c>
      <c r="N1945" s="5">
        <v>1</v>
      </c>
      <c r="O1945" s="5">
        <v>680.61</v>
      </c>
      <c r="P1945" s="6">
        <v>0</v>
      </c>
    </row>
    <row r="1946" spans="1:16" ht="23.4" x14ac:dyDescent="0.45">
      <c r="A1946" s="4" t="s">
        <v>1924</v>
      </c>
      <c r="B1946" s="5" t="s">
        <v>15</v>
      </c>
      <c r="C1946" s="5">
        <v>131549.21</v>
      </c>
      <c r="D1946" s="5">
        <v>51</v>
      </c>
      <c r="E1946" s="5">
        <v>1</v>
      </c>
      <c r="F1946" s="5">
        <v>0.60419999999999996</v>
      </c>
      <c r="G1946" s="5">
        <v>0.5877</v>
      </c>
      <c r="H1946" s="5">
        <v>7</v>
      </c>
      <c r="I1946" s="5">
        <v>68663.31</v>
      </c>
      <c r="J1946" s="5">
        <v>46756.47</v>
      </c>
      <c r="K1946" s="5">
        <v>119</v>
      </c>
      <c r="L1946" s="5">
        <v>1</v>
      </c>
      <c r="M1946" s="5">
        <v>1</v>
      </c>
      <c r="N1946" s="5">
        <v>2</v>
      </c>
      <c r="O1946" s="5">
        <v>725.95</v>
      </c>
      <c r="P1946" s="6">
        <v>0</v>
      </c>
    </row>
    <row r="1947" spans="1:16" ht="23.4" x14ac:dyDescent="0.45">
      <c r="A1947" s="4" t="s">
        <v>1925</v>
      </c>
      <c r="B1947" s="5" t="s">
        <v>4</v>
      </c>
      <c r="C1947" s="5">
        <v>34947.96</v>
      </c>
      <c r="D1947" s="5">
        <v>44</v>
      </c>
      <c r="E1947" s="5">
        <v>1</v>
      </c>
      <c r="F1947" s="5">
        <v>1</v>
      </c>
      <c r="G1947" s="5">
        <v>0.309</v>
      </c>
      <c r="H1947" s="5">
        <v>2</v>
      </c>
      <c r="I1947" s="5">
        <v>500</v>
      </c>
      <c r="J1947" s="5">
        <v>828.12</v>
      </c>
      <c r="K1947" s="5">
        <v>31</v>
      </c>
      <c r="L1947" s="5">
        <v>1</v>
      </c>
      <c r="M1947" s="5">
        <v>1</v>
      </c>
      <c r="N1947" s="5">
        <v>1</v>
      </c>
      <c r="O1947" s="5">
        <v>699.11</v>
      </c>
      <c r="P1947" s="6">
        <v>0</v>
      </c>
    </row>
    <row r="1948" spans="1:16" ht="23.4" x14ac:dyDescent="0.45">
      <c r="A1948" s="4" t="s">
        <v>1926</v>
      </c>
      <c r="B1948" s="5" t="s">
        <v>18</v>
      </c>
      <c r="C1948" s="5">
        <v>11467.22</v>
      </c>
      <c r="D1948" s="5">
        <v>49</v>
      </c>
      <c r="E1948" s="5">
        <v>1</v>
      </c>
      <c r="F1948" s="5">
        <v>0.67549999999999999</v>
      </c>
      <c r="G1948" s="5">
        <v>0.36709999999999998</v>
      </c>
      <c r="H1948" s="5">
        <v>3</v>
      </c>
      <c r="I1948" s="5">
        <v>500</v>
      </c>
      <c r="J1948" s="5">
        <v>0</v>
      </c>
      <c r="K1948" s="5">
        <v>152</v>
      </c>
      <c r="L1948" s="5">
        <v>1</v>
      </c>
      <c r="M1948" s="5">
        <v>2</v>
      </c>
      <c r="N1948" s="5">
        <v>0</v>
      </c>
      <c r="O1948" s="5">
        <v>816.43</v>
      </c>
      <c r="P1948" s="6">
        <v>0</v>
      </c>
    </row>
    <row r="1949" spans="1:16" ht="23.4" x14ac:dyDescent="0.45">
      <c r="A1949" s="4" t="s">
        <v>1927</v>
      </c>
      <c r="B1949" s="5" t="s">
        <v>1</v>
      </c>
      <c r="C1949" s="5">
        <v>100969.48</v>
      </c>
      <c r="D1949" s="5">
        <v>59</v>
      </c>
      <c r="E1949" s="5">
        <v>1</v>
      </c>
      <c r="F1949" s="5">
        <v>0.65969999999999995</v>
      </c>
      <c r="G1949" s="5">
        <v>0.4839</v>
      </c>
      <c r="H1949" s="5">
        <v>3</v>
      </c>
      <c r="I1949" s="5">
        <v>13189.55</v>
      </c>
      <c r="J1949" s="5">
        <v>7990.3</v>
      </c>
      <c r="K1949" s="5">
        <v>90</v>
      </c>
      <c r="L1949" s="5">
        <v>2</v>
      </c>
      <c r="M1949" s="5">
        <v>2</v>
      </c>
      <c r="N1949" s="5">
        <v>1</v>
      </c>
      <c r="O1949" s="5">
        <v>704.76</v>
      </c>
      <c r="P1949" s="6">
        <v>0</v>
      </c>
    </row>
    <row r="1950" spans="1:16" ht="23.4" x14ac:dyDescent="0.45">
      <c r="A1950" s="4" t="s">
        <v>1928</v>
      </c>
      <c r="B1950" s="5" t="s">
        <v>18</v>
      </c>
      <c r="C1950" s="5">
        <v>137836.76999999999</v>
      </c>
      <c r="D1950" s="5">
        <v>67</v>
      </c>
      <c r="E1950" s="5">
        <v>0</v>
      </c>
      <c r="F1950" s="5">
        <v>0.91269999999999996</v>
      </c>
      <c r="G1950" s="5">
        <v>0.2432</v>
      </c>
      <c r="H1950" s="5">
        <v>2</v>
      </c>
      <c r="I1950" s="5">
        <v>45615.97</v>
      </c>
      <c r="J1950" s="5">
        <v>16570.240000000002</v>
      </c>
      <c r="K1950" s="5">
        <v>61</v>
      </c>
      <c r="L1950" s="5">
        <v>1</v>
      </c>
      <c r="M1950" s="5">
        <v>1</v>
      </c>
      <c r="N1950" s="5">
        <v>1</v>
      </c>
      <c r="O1950" s="5">
        <v>804.68</v>
      </c>
      <c r="P1950" s="6">
        <v>0</v>
      </c>
    </row>
    <row r="1951" spans="1:16" ht="23.4" x14ac:dyDescent="0.45">
      <c r="A1951" s="4" t="s">
        <v>1929</v>
      </c>
      <c r="B1951" s="5" t="s">
        <v>4</v>
      </c>
      <c r="C1951" s="5">
        <v>63264.09</v>
      </c>
      <c r="D1951" s="5">
        <v>53</v>
      </c>
      <c r="E1951" s="5">
        <v>1</v>
      </c>
      <c r="F1951" s="5">
        <v>0.43869999999999998</v>
      </c>
      <c r="G1951" s="5">
        <v>0.88619999999999999</v>
      </c>
      <c r="H1951" s="5">
        <v>3</v>
      </c>
      <c r="I1951" s="5">
        <v>37889.379999999997</v>
      </c>
      <c r="J1951" s="5">
        <v>28994.37</v>
      </c>
      <c r="K1951" s="5">
        <v>68</v>
      </c>
      <c r="L1951" s="5">
        <v>2</v>
      </c>
      <c r="M1951" s="5">
        <v>1</v>
      </c>
      <c r="N1951" s="5">
        <v>2</v>
      </c>
      <c r="O1951" s="5">
        <v>652</v>
      </c>
      <c r="P1951" s="6">
        <v>0</v>
      </c>
    </row>
    <row r="1952" spans="1:16" ht="23.4" x14ac:dyDescent="0.45">
      <c r="A1952" s="4" t="s">
        <v>1930</v>
      </c>
      <c r="B1952" s="5" t="s">
        <v>6</v>
      </c>
      <c r="C1952" s="5">
        <v>122420.85</v>
      </c>
      <c r="D1952" s="5">
        <v>27</v>
      </c>
      <c r="E1952" s="5">
        <v>1</v>
      </c>
      <c r="F1952" s="5">
        <v>0.9859</v>
      </c>
      <c r="G1952" s="5">
        <v>0.40310000000000001</v>
      </c>
      <c r="H1952" s="5">
        <v>4</v>
      </c>
      <c r="I1952" s="5">
        <v>40011.54</v>
      </c>
      <c r="J1952" s="5">
        <v>37664.080000000002</v>
      </c>
      <c r="K1952" s="5">
        <v>102</v>
      </c>
      <c r="L1952" s="5">
        <v>2</v>
      </c>
      <c r="M1952" s="5">
        <v>2</v>
      </c>
      <c r="N1952" s="5">
        <v>0</v>
      </c>
      <c r="O1952" s="5">
        <v>726.19</v>
      </c>
      <c r="P1952" s="6">
        <v>0</v>
      </c>
    </row>
    <row r="1953" spans="1:16" ht="23.4" x14ac:dyDescent="0.45">
      <c r="A1953" s="4" t="s">
        <v>1931</v>
      </c>
      <c r="B1953" s="5" t="s">
        <v>9</v>
      </c>
      <c r="C1953" s="5">
        <v>53280.72</v>
      </c>
      <c r="D1953" s="5">
        <v>39</v>
      </c>
      <c r="E1953" s="5">
        <v>1</v>
      </c>
      <c r="F1953" s="5">
        <v>0.60929999999999995</v>
      </c>
      <c r="G1953" s="5">
        <v>0.28120000000000001</v>
      </c>
      <c r="H1953" s="5">
        <v>5</v>
      </c>
      <c r="I1953" s="5">
        <v>29890.36</v>
      </c>
      <c r="J1953" s="5">
        <v>21199.03</v>
      </c>
      <c r="K1953" s="5">
        <v>117</v>
      </c>
      <c r="L1953" s="5">
        <v>3</v>
      </c>
      <c r="M1953" s="5">
        <v>1</v>
      </c>
      <c r="N1953" s="5">
        <v>2</v>
      </c>
      <c r="O1953" s="5">
        <v>749.03</v>
      </c>
      <c r="P1953" s="6">
        <v>0</v>
      </c>
    </row>
    <row r="1954" spans="1:16" ht="23.4" x14ac:dyDescent="0.45">
      <c r="A1954" s="4" t="s">
        <v>1932</v>
      </c>
      <c r="B1954" s="5" t="s">
        <v>9</v>
      </c>
      <c r="C1954" s="5">
        <v>153617.04999999999</v>
      </c>
      <c r="D1954" s="5">
        <v>31</v>
      </c>
      <c r="E1954" s="5">
        <v>0</v>
      </c>
      <c r="F1954" s="5">
        <v>0.76910000000000001</v>
      </c>
      <c r="G1954" s="5">
        <v>0.23019999999999999</v>
      </c>
      <c r="H1954" s="5">
        <v>0</v>
      </c>
      <c r="I1954" s="5">
        <v>12896.04</v>
      </c>
      <c r="J1954" s="5">
        <v>10361.48</v>
      </c>
      <c r="K1954" s="5">
        <v>33</v>
      </c>
      <c r="L1954" s="5">
        <v>1</v>
      </c>
      <c r="M1954" s="5">
        <v>1</v>
      </c>
      <c r="N1954" s="5">
        <v>1</v>
      </c>
      <c r="O1954" s="5">
        <v>791.29</v>
      </c>
      <c r="P1954" s="6">
        <v>0</v>
      </c>
    </row>
    <row r="1955" spans="1:16" ht="23.4" x14ac:dyDescent="0.45">
      <c r="A1955" s="4" t="s">
        <v>1933</v>
      </c>
      <c r="B1955" s="5" t="s">
        <v>6</v>
      </c>
      <c r="C1955" s="5">
        <v>134406.62</v>
      </c>
      <c r="D1955" s="5">
        <v>29</v>
      </c>
      <c r="E1955" s="5">
        <v>0</v>
      </c>
      <c r="F1955" s="5">
        <v>0.43120000000000003</v>
      </c>
      <c r="G1955" s="5">
        <v>0.67859999999999998</v>
      </c>
      <c r="H1955" s="5">
        <v>4</v>
      </c>
      <c r="I1955" s="5">
        <v>95830.66</v>
      </c>
      <c r="J1955" s="5">
        <v>39789.94</v>
      </c>
      <c r="K1955" s="5">
        <v>136</v>
      </c>
      <c r="L1955" s="5">
        <v>1</v>
      </c>
      <c r="M1955" s="5">
        <v>1</v>
      </c>
      <c r="N1955" s="5">
        <v>1</v>
      </c>
      <c r="O1955" s="5">
        <v>682.68</v>
      </c>
      <c r="P1955" s="6">
        <v>1</v>
      </c>
    </row>
    <row r="1956" spans="1:16" ht="23.4" x14ac:dyDescent="0.45">
      <c r="A1956" s="4" t="s">
        <v>1934</v>
      </c>
      <c r="B1956" s="5" t="s">
        <v>18</v>
      </c>
      <c r="C1956" s="5">
        <v>140256.75</v>
      </c>
      <c r="D1956" s="5">
        <v>35</v>
      </c>
      <c r="E1956" s="5">
        <v>0</v>
      </c>
      <c r="F1956" s="5">
        <v>0.7782</v>
      </c>
      <c r="G1956" s="5">
        <v>0.46200000000000002</v>
      </c>
      <c r="H1956" s="5">
        <v>2</v>
      </c>
      <c r="I1956" s="5">
        <v>80274.320000000007</v>
      </c>
      <c r="J1956" s="5">
        <v>62932.51</v>
      </c>
      <c r="K1956" s="5">
        <v>107</v>
      </c>
      <c r="L1956" s="5">
        <v>2</v>
      </c>
      <c r="M1956" s="5">
        <v>1</v>
      </c>
      <c r="N1956" s="5">
        <v>0</v>
      </c>
      <c r="O1956" s="5">
        <v>719.8</v>
      </c>
      <c r="P1956" s="6">
        <v>0</v>
      </c>
    </row>
    <row r="1957" spans="1:16" ht="23.4" x14ac:dyDescent="0.45">
      <c r="A1957" s="4" t="s">
        <v>1935</v>
      </c>
      <c r="B1957" s="5" t="s">
        <v>15</v>
      </c>
      <c r="C1957" s="5">
        <v>138976.01999999999</v>
      </c>
      <c r="D1957" s="5">
        <v>28</v>
      </c>
      <c r="E1957" s="5">
        <v>0</v>
      </c>
      <c r="F1957" s="5">
        <v>0.72699999999999998</v>
      </c>
      <c r="G1957" s="5">
        <v>0.16669999999999999</v>
      </c>
      <c r="H1957" s="5">
        <v>0</v>
      </c>
      <c r="I1957" s="5">
        <v>14154.37</v>
      </c>
      <c r="J1957" s="5">
        <v>1162.94</v>
      </c>
      <c r="K1957" s="5">
        <v>80</v>
      </c>
      <c r="L1957" s="5">
        <v>1</v>
      </c>
      <c r="M1957" s="5">
        <v>2</v>
      </c>
      <c r="N1957" s="5">
        <v>1</v>
      </c>
      <c r="O1957" s="5">
        <v>729.07</v>
      </c>
      <c r="P1957" s="6">
        <v>0</v>
      </c>
    </row>
    <row r="1958" spans="1:16" ht="23.4" x14ac:dyDescent="0.45">
      <c r="A1958" s="4" t="s">
        <v>1936</v>
      </c>
      <c r="B1958" s="5" t="s">
        <v>18</v>
      </c>
      <c r="C1958" s="5">
        <v>69196.740000000005</v>
      </c>
      <c r="D1958" s="5">
        <v>37</v>
      </c>
      <c r="E1958" s="5">
        <v>1</v>
      </c>
      <c r="F1958" s="5">
        <v>0.79459999999999997</v>
      </c>
      <c r="G1958" s="5">
        <v>0.38779999999999998</v>
      </c>
      <c r="H1958" s="5">
        <v>3</v>
      </c>
      <c r="I1958" s="5">
        <v>30221.69</v>
      </c>
      <c r="J1958" s="5">
        <v>17030.39</v>
      </c>
      <c r="K1958" s="5">
        <v>39</v>
      </c>
      <c r="L1958" s="5">
        <v>3</v>
      </c>
      <c r="M1958" s="5">
        <v>1</v>
      </c>
      <c r="N1958" s="5">
        <v>2</v>
      </c>
      <c r="O1958" s="5">
        <v>716.96</v>
      </c>
      <c r="P1958" s="6">
        <v>0</v>
      </c>
    </row>
    <row r="1959" spans="1:16" ht="23.4" x14ac:dyDescent="0.45">
      <c r="A1959" s="4" t="s">
        <v>1937</v>
      </c>
      <c r="B1959" s="5" t="s">
        <v>4</v>
      </c>
      <c r="C1959" s="5">
        <v>142516.66</v>
      </c>
      <c r="D1959" s="5">
        <v>34</v>
      </c>
      <c r="E1959" s="5">
        <v>1</v>
      </c>
      <c r="F1959" s="5">
        <v>0.69430000000000003</v>
      </c>
      <c r="G1959" s="5">
        <v>0.18490000000000001</v>
      </c>
      <c r="H1959" s="5">
        <v>1</v>
      </c>
      <c r="I1959" s="5">
        <v>30511.45</v>
      </c>
      <c r="J1959" s="5">
        <v>12836.1</v>
      </c>
      <c r="K1959" s="5">
        <v>121</v>
      </c>
      <c r="L1959" s="5">
        <v>3</v>
      </c>
      <c r="M1959" s="5">
        <v>1</v>
      </c>
      <c r="N1959" s="5">
        <v>1</v>
      </c>
      <c r="O1959" s="5">
        <v>678.86</v>
      </c>
      <c r="P1959" s="6">
        <v>0</v>
      </c>
    </row>
    <row r="1960" spans="1:16" ht="23.4" x14ac:dyDescent="0.45">
      <c r="A1960" s="4" t="s">
        <v>1938</v>
      </c>
      <c r="B1960" s="5" t="s">
        <v>15</v>
      </c>
      <c r="C1960" s="5">
        <v>168298.97</v>
      </c>
      <c r="D1960" s="5">
        <v>34</v>
      </c>
      <c r="E1960" s="5">
        <v>1</v>
      </c>
      <c r="F1960" s="5">
        <v>0.71860000000000002</v>
      </c>
      <c r="G1960" s="5">
        <v>0.34499999999999997</v>
      </c>
      <c r="H1960" s="5">
        <v>5</v>
      </c>
      <c r="I1960" s="5">
        <v>44634.49</v>
      </c>
      <c r="J1960" s="5">
        <v>32558.25</v>
      </c>
      <c r="K1960" s="5">
        <v>166</v>
      </c>
      <c r="L1960" s="5">
        <v>1</v>
      </c>
      <c r="M1960" s="5">
        <v>2</v>
      </c>
      <c r="N1960" s="5">
        <v>0</v>
      </c>
      <c r="O1960" s="5">
        <v>726.73</v>
      </c>
      <c r="P1960" s="6">
        <v>0</v>
      </c>
    </row>
    <row r="1961" spans="1:16" ht="23.4" x14ac:dyDescent="0.45">
      <c r="A1961" s="4" t="s">
        <v>1939</v>
      </c>
      <c r="B1961" s="5" t="s">
        <v>6</v>
      </c>
      <c r="C1961" s="5">
        <v>35449.26</v>
      </c>
      <c r="D1961" s="5">
        <v>25</v>
      </c>
      <c r="E1961" s="5">
        <v>0</v>
      </c>
      <c r="F1961" s="5">
        <v>0.98809999999999998</v>
      </c>
      <c r="G1961" s="5">
        <v>9.69E-2</v>
      </c>
      <c r="H1961" s="5">
        <v>0</v>
      </c>
      <c r="I1961" s="5">
        <v>500</v>
      </c>
      <c r="J1961" s="5">
        <v>14983.77</v>
      </c>
      <c r="K1961" s="5">
        <v>86</v>
      </c>
      <c r="L1961" s="5">
        <v>1</v>
      </c>
      <c r="M1961" s="5">
        <v>1</v>
      </c>
      <c r="N1961" s="5">
        <v>0</v>
      </c>
      <c r="O1961" s="5">
        <v>813.71</v>
      </c>
      <c r="P1961" s="6">
        <v>0</v>
      </c>
    </row>
    <row r="1962" spans="1:16" ht="23.4" x14ac:dyDescent="0.45">
      <c r="A1962" s="4" t="s">
        <v>1940</v>
      </c>
      <c r="B1962" s="5" t="s">
        <v>1</v>
      </c>
      <c r="C1962" s="5">
        <v>80518.100000000006</v>
      </c>
      <c r="D1962" s="5">
        <v>27</v>
      </c>
      <c r="E1962" s="5">
        <v>1</v>
      </c>
      <c r="F1962" s="5">
        <v>0.80549999999999999</v>
      </c>
      <c r="G1962" s="5">
        <v>0.43440000000000001</v>
      </c>
      <c r="H1962" s="5">
        <v>6</v>
      </c>
      <c r="I1962" s="5">
        <v>48001.66</v>
      </c>
      <c r="J1962" s="5">
        <v>47126.99</v>
      </c>
      <c r="K1962" s="5">
        <v>50</v>
      </c>
      <c r="L1962" s="5">
        <v>1</v>
      </c>
      <c r="M1962" s="5">
        <v>2</v>
      </c>
      <c r="N1962" s="5">
        <v>0</v>
      </c>
      <c r="O1962" s="5">
        <v>697.3</v>
      </c>
      <c r="P1962" s="6">
        <v>0</v>
      </c>
    </row>
    <row r="1963" spans="1:16" ht="23.4" x14ac:dyDescent="0.45">
      <c r="A1963" s="4" t="s">
        <v>1941</v>
      </c>
      <c r="B1963" s="5" t="s">
        <v>15</v>
      </c>
      <c r="C1963" s="5">
        <v>2000</v>
      </c>
      <c r="D1963" s="5">
        <v>54</v>
      </c>
      <c r="E1963" s="5">
        <v>1</v>
      </c>
      <c r="F1963" s="5">
        <v>0.95130000000000003</v>
      </c>
      <c r="G1963" s="5">
        <v>0.70079999999999998</v>
      </c>
      <c r="H1963" s="5">
        <v>2</v>
      </c>
      <c r="I1963" s="5">
        <v>9640.06</v>
      </c>
      <c r="J1963" s="5">
        <v>17442.59</v>
      </c>
      <c r="K1963" s="5">
        <v>179</v>
      </c>
      <c r="L1963" s="5">
        <v>2</v>
      </c>
      <c r="M1963" s="5">
        <v>1</v>
      </c>
      <c r="N1963" s="5">
        <v>2</v>
      </c>
      <c r="O1963" s="5">
        <v>712.32</v>
      </c>
      <c r="P1963" s="6">
        <v>0</v>
      </c>
    </row>
    <row r="1964" spans="1:16" ht="23.4" x14ac:dyDescent="0.45">
      <c r="A1964" s="4" t="s">
        <v>1942</v>
      </c>
      <c r="B1964" s="5" t="s">
        <v>18</v>
      </c>
      <c r="C1964" s="5">
        <v>91235.58</v>
      </c>
      <c r="D1964" s="5">
        <v>21</v>
      </c>
      <c r="E1964" s="5">
        <v>1</v>
      </c>
      <c r="F1964" s="5">
        <v>0.89559999999999995</v>
      </c>
      <c r="G1964" s="5">
        <v>0.1081</v>
      </c>
      <c r="H1964" s="5">
        <v>2</v>
      </c>
      <c r="I1964" s="5">
        <v>4003.88</v>
      </c>
      <c r="J1964" s="5">
        <v>0</v>
      </c>
      <c r="K1964" s="5">
        <v>115</v>
      </c>
      <c r="L1964" s="5">
        <v>2</v>
      </c>
      <c r="M1964" s="5">
        <v>1</v>
      </c>
      <c r="N1964" s="5">
        <v>0</v>
      </c>
      <c r="O1964" s="5">
        <v>780.61</v>
      </c>
      <c r="P1964" s="6">
        <v>0</v>
      </c>
    </row>
    <row r="1965" spans="1:16" ht="23.4" x14ac:dyDescent="0.45">
      <c r="A1965" s="4" t="s">
        <v>1943</v>
      </c>
      <c r="B1965" s="5" t="s">
        <v>15</v>
      </c>
      <c r="C1965" s="5">
        <v>115194.06</v>
      </c>
      <c r="D1965" s="5">
        <v>70</v>
      </c>
      <c r="E1965" s="5">
        <v>1</v>
      </c>
      <c r="F1965" s="5">
        <v>0.91539999999999999</v>
      </c>
      <c r="G1965" s="5">
        <v>0.48820000000000002</v>
      </c>
      <c r="H1965" s="5">
        <v>4</v>
      </c>
      <c r="I1965" s="5">
        <v>56642.37</v>
      </c>
      <c r="J1965" s="5">
        <v>43948.86</v>
      </c>
      <c r="K1965" s="5">
        <v>13</v>
      </c>
      <c r="L1965" s="5">
        <v>3</v>
      </c>
      <c r="M1965" s="5">
        <v>2</v>
      </c>
      <c r="N1965" s="5">
        <v>2</v>
      </c>
      <c r="O1965" s="5">
        <v>797.64</v>
      </c>
      <c r="P1965" s="6">
        <v>0</v>
      </c>
    </row>
    <row r="1966" spans="1:16" ht="23.4" x14ac:dyDescent="0.45">
      <c r="A1966" s="4" t="s">
        <v>1944</v>
      </c>
      <c r="B1966" s="5" t="s">
        <v>9</v>
      </c>
      <c r="C1966" s="5">
        <v>111144.93</v>
      </c>
      <c r="D1966" s="5">
        <v>54</v>
      </c>
      <c r="E1966" s="5">
        <v>1</v>
      </c>
      <c r="F1966" s="5">
        <v>0.90069999999999995</v>
      </c>
      <c r="G1966" s="5">
        <v>0.10630000000000001</v>
      </c>
      <c r="H1966" s="5">
        <v>3</v>
      </c>
      <c r="I1966" s="5">
        <v>26482.91</v>
      </c>
      <c r="J1966" s="5">
        <v>12985.09</v>
      </c>
      <c r="K1966" s="5">
        <v>26</v>
      </c>
      <c r="L1966" s="5">
        <v>2</v>
      </c>
      <c r="M1966" s="5">
        <v>2</v>
      </c>
      <c r="N1966" s="5">
        <v>0</v>
      </c>
      <c r="O1966" s="5">
        <v>746.16</v>
      </c>
      <c r="P1966" s="6">
        <v>0</v>
      </c>
    </row>
    <row r="1967" spans="1:16" ht="23.4" x14ac:dyDescent="0.45">
      <c r="A1967" s="4" t="s">
        <v>1945</v>
      </c>
      <c r="B1967" s="5" t="s">
        <v>6</v>
      </c>
      <c r="C1967" s="5">
        <v>132688.06</v>
      </c>
      <c r="D1967" s="5">
        <v>30</v>
      </c>
      <c r="E1967" s="5">
        <v>0</v>
      </c>
      <c r="F1967" s="5">
        <v>0.56359999999999999</v>
      </c>
      <c r="G1967" s="5">
        <v>0.2462</v>
      </c>
      <c r="H1967" s="5">
        <v>1</v>
      </c>
      <c r="I1967" s="5">
        <v>37407.11</v>
      </c>
      <c r="J1967" s="5">
        <v>26701.42</v>
      </c>
      <c r="K1967" s="5">
        <v>26</v>
      </c>
      <c r="L1967" s="5">
        <v>1</v>
      </c>
      <c r="M1967" s="5">
        <v>1</v>
      </c>
      <c r="N1967" s="5">
        <v>1</v>
      </c>
      <c r="O1967" s="5">
        <v>756.29</v>
      </c>
      <c r="P1967" s="6">
        <v>0</v>
      </c>
    </row>
    <row r="1968" spans="1:16" ht="23.4" x14ac:dyDescent="0.45">
      <c r="A1968" s="4" t="s">
        <v>1946</v>
      </c>
      <c r="B1968" s="5" t="s">
        <v>15</v>
      </c>
      <c r="C1968" s="5">
        <v>91749.6</v>
      </c>
      <c r="D1968" s="5">
        <v>47</v>
      </c>
      <c r="E1968" s="5">
        <v>0</v>
      </c>
      <c r="F1968" s="5">
        <v>0.46429999999999999</v>
      </c>
      <c r="G1968" s="5">
        <v>0.40029999999999999</v>
      </c>
      <c r="H1968" s="5">
        <v>0</v>
      </c>
      <c r="I1968" s="5">
        <v>37558.660000000003</v>
      </c>
      <c r="J1968" s="5">
        <v>29469.18</v>
      </c>
      <c r="K1968" s="5">
        <v>33</v>
      </c>
      <c r="L1968" s="5">
        <v>1</v>
      </c>
      <c r="M1968" s="5">
        <v>1</v>
      </c>
      <c r="N1968" s="5">
        <v>2</v>
      </c>
      <c r="O1968" s="5">
        <v>731.07</v>
      </c>
      <c r="P1968" s="6">
        <v>0</v>
      </c>
    </row>
    <row r="1969" spans="1:16" ht="23.4" x14ac:dyDescent="0.45">
      <c r="A1969" s="4" t="s">
        <v>1947</v>
      </c>
      <c r="B1969" s="5" t="s">
        <v>15</v>
      </c>
      <c r="C1969" s="5">
        <v>67617.83</v>
      </c>
      <c r="D1969" s="5">
        <v>22</v>
      </c>
      <c r="E1969" s="5">
        <v>1</v>
      </c>
      <c r="F1969" s="5">
        <v>0.53769999999999996</v>
      </c>
      <c r="G1969" s="5">
        <v>0.61</v>
      </c>
      <c r="H1969" s="5">
        <v>2</v>
      </c>
      <c r="I1969" s="5">
        <v>43781.98</v>
      </c>
      <c r="J1969" s="5">
        <v>32468.34</v>
      </c>
      <c r="K1969" s="5">
        <v>79</v>
      </c>
      <c r="L1969" s="5">
        <v>3</v>
      </c>
      <c r="M1969" s="5">
        <v>1</v>
      </c>
      <c r="N1969" s="5">
        <v>1</v>
      </c>
      <c r="O1969" s="5">
        <v>605.47</v>
      </c>
      <c r="P1969" s="6">
        <v>0</v>
      </c>
    </row>
    <row r="1970" spans="1:16" ht="23.4" x14ac:dyDescent="0.45">
      <c r="A1970" s="4" t="s">
        <v>1948</v>
      </c>
      <c r="B1970" s="5" t="s">
        <v>6</v>
      </c>
      <c r="C1970" s="5">
        <v>49891.76</v>
      </c>
      <c r="D1970" s="5">
        <v>39</v>
      </c>
      <c r="E1970" s="5">
        <v>1</v>
      </c>
      <c r="F1970" s="5">
        <v>0.43669999999999998</v>
      </c>
      <c r="G1970" s="5">
        <v>8.3000000000000004E-2</v>
      </c>
      <c r="H1970" s="5">
        <v>0</v>
      </c>
      <c r="I1970" s="5">
        <v>500</v>
      </c>
      <c r="J1970" s="5">
        <v>13623.81</v>
      </c>
      <c r="K1970" s="5">
        <v>103</v>
      </c>
      <c r="L1970" s="5">
        <v>1</v>
      </c>
      <c r="M1970" s="5">
        <v>1</v>
      </c>
      <c r="N1970" s="5">
        <v>1</v>
      </c>
      <c r="O1970" s="5">
        <v>843.34</v>
      </c>
      <c r="P1970" s="6">
        <v>0</v>
      </c>
    </row>
    <row r="1971" spans="1:16" ht="23.4" x14ac:dyDescent="0.45">
      <c r="A1971" s="4" t="s">
        <v>1949</v>
      </c>
      <c r="B1971" s="5" t="s">
        <v>9</v>
      </c>
      <c r="C1971" s="5">
        <v>90590.05</v>
      </c>
      <c r="D1971" s="5">
        <v>50</v>
      </c>
      <c r="E1971" s="5">
        <v>0</v>
      </c>
      <c r="F1971" s="5">
        <v>0.622</v>
      </c>
      <c r="G1971" s="5">
        <v>0.45669999999999999</v>
      </c>
      <c r="H1971" s="5">
        <v>2</v>
      </c>
      <c r="I1971" s="5">
        <v>61462.62</v>
      </c>
      <c r="J1971" s="5">
        <v>43981</v>
      </c>
      <c r="K1971" s="5">
        <v>136</v>
      </c>
      <c r="L1971" s="5">
        <v>1</v>
      </c>
      <c r="M1971" s="5">
        <v>2</v>
      </c>
      <c r="N1971" s="5">
        <v>3</v>
      </c>
      <c r="O1971" s="5">
        <v>711.14</v>
      </c>
      <c r="P1971" s="6">
        <v>0</v>
      </c>
    </row>
    <row r="1972" spans="1:16" ht="23.4" x14ac:dyDescent="0.45">
      <c r="A1972" s="4" t="s">
        <v>1950</v>
      </c>
      <c r="B1972" s="5" t="s">
        <v>6</v>
      </c>
      <c r="C1972" s="5">
        <v>117074.48</v>
      </c>
      <c r="D1972" s="5">
        <v>37</v>
      </c>
      <c r="E1972" s="5">
        <v>1</v>
      </c>
      <c r="F1972" s="5">
        <v>1</v>
      </c>
      <c r="G1972" s="5">
        <v>0</v>
      </c>
      <c r="H1972" s="5">
        <v>1</v>
      </c>
      <c r="I1972" s="5">
        <v>500</v>
      </c>
      <c r="J1972" s="5">
        <v>5425.65</v>
      </c>
      <c r="K1972" s="5">
        <v>150</v>
      </c>
      <c r="L1972" s="5">
        <v>2</v>
      </c>
      <c r="M1972" s="5">
        <v>2</v>
      </c>
      <c r="N1972" s="5">
        <v>1</v>
      </c>
      <c r="O1972" s="5">
        <v>827.86</v>
      </c>
      <c r="P1972" s="6">
        <v>0</v>
      </c>
    </row>
    <row r="1973" spans="1:16" ht="23.4" x14ac:dyDescent="0.45">
      <c r="A1973" s="4" t="s">
        <v>1951</v>
      </c>
      <c r="B1973" s="5" t="s">
        <v>9</v>
      </c>
      <c r="C1973" s="5">
        <v>95994.71</v>
      </c>
      <c r="D1973" s="5">
        <v>35</v>
      </c>
      <c r="E1973" s="5">
        <v>0</v>
      </c>
      <c r="F1973" s="5">
        <v>0.86150000000000004</v>
      </c>
      <c r="G1973" s="5">
        <v>0.40379999999999999</v>
      </c>
      <c r="H1973" s="5">
        <v>3</v>
      </c>
      <c r="I1973" s="5">
        <v>61090.85</v>
      </c>
      <c r="J1973" s="5">
        <v>50538.86</v>
      </c>
      <c r="K1973" s="5">
        <v>64</v>
      </c>
      <c r="L1973" s="5">
        <v>2</v>
      </c>
      <c r="M1973" s="5">
        <v>1</v>
      </c>
      <c r="N1973" s="5">
        <v>0</v>
      </c>
      <c r="O1973" s="5">
        <v>700.42</v>
      </c>
      <c r="P1973" s="6">
        <v>0</v>
      </c>
    </row>
    <row r="1974" spans="1:16" ht="23.4" x14ac:dyDescent="0.45">
      <c r="A1974" s="4" t="s">
        <v>1952</v>
      </c>
      <c r="B1974" s="5" t="s">
        <v>9</v>
      </c>
      <c r="C1974" s="5">
        <v>89496.82</v>
      </c>
      <c r="D1974" s="5">
        <v>66</v>
      </c>
      <c r="E1974" s="5">
        <v>0</v>
      </c>
      <c r="F1974" s="5">
        <v>0.58809999999999996</v>
      </c>
      <c r="G1974" s="5">
        <v>0.73460000000000003</v>
      </c>
      <c r="H1974" s="5">
        <v>4</v>
      </c>
      <c r="I1974" s="5">
        <v>60941.15</v>
      </c>
      <c r="J1974" s="5">
        <v>34598.32</v>
      </c>
      <c r="K1974" s="5">
        <v>20</v>
      </c>
      <c r="L1974" s="5">
        <v>2</v>
      </c>
      <c r="M1974" s="5">
        <v>2</v>
      </c>
      <c r="N1974" s="5">
        <v>0</v>
      </c>
      <c r="O1974" s="5">
        <v>707.04</v>
      </c>
      <c r="P1974" s="6">
        <v>0</v>
      </c>
    </row>
    <row r="1975" spans="1:16" ht="23.4" x14ac:dyDescent="0.45">
      <c r="A1975" s="4" t="s">
        <v>1953</v>
      </c>
      <c r="B1975" s="5" t="s">
        <v>15</v>
      </c>
      <c r="C1975" s="5">
        <v>99553.91</v>
      </c>
      <c r="D1975" s="5">
        <v>64</v>
      </c>
      <c r="E1975" s="5">
        <v>1</v>
      </c>
      <c r="F1975" s="5">
        <v>0.75449999999999995</v>
      </c>
      <c r="G1975" s="5">
        <v>0.4879</v>
      </c>
      <c r="H1975" s="5">
        <v>2</v>
      </c>
      <c r="I1975" s="5">
        <v>46116.78</v>
      </c>
      <c r="J1975" s="5">
        <v>25892.54</v>
      </c>
      <c r="K1975" s="5">
        <v>37</v>
      </c>
      <c r="L1975" s="5">
        <v>2</v>
      </c>
      <c r="M1975" s="5">
        <v>1</v>
      </c>
      <c r="N1975" s="5">
        <v>1</v>
      </c>
      <c r="O1975" s="5">
        <v>697.35</v>
      </c>
      <c r="P1975" s="6">
        <v>0</v>
      </c>
    </row>
    <row r="1976" spans="1:16" ht="23.4" x14ac:dyDescent="0.45">
      <c r="A1976" s="4" t="s">
        <v>1954</v>
      </c>
      <c r="B1976" s="5" t="s">
        <v>18</v>
      </c>
      <c r="C1976" s="5">
        <v>2000</v>
      </c>
      <c r="D1976" s="5">
        <v>46</v>
      </c>
      <c r="E1976" s="5">
        <v>0</v>
      </c>
      <c r="F1976" s="5">
        <v>0.39979999999999999</v>
      </c>
      <c r="G1976" s="5">
        <v>0.1197</v>
      </c>
      <c r="H1976" s="5">
        <v>0</v>
      </c>
      <c r="I1976" s="5">
        <v>500</v>
      </c>
      <c r="J1976" s="5">
        <v>1753.28</v>
      </c>
      <c r="K1976" s="5">
        <v>140</v>
      </c>
      <c r="L1976" s="5">
        <v>2</v>
      </c>
      <c r="M1976" s="5">
        <v>2</v>
      </c>
      <c r="N1976" s="5">
        <v>1</v>
      </c>
      <c r="O1976" s="5">
        <v>625.32000000000005</v>
      </c>
      <c r="P1976" s="6">
        <v>0</v>
      </c>
    </row>
    <row r="1977" spans="1:16" ht="23.4" x14ac:dyDescent="0.45">
      <c r="A1977" s="4" t="s">
        <v>1955</v>
      </c>
      <c r="B1977" s="5" t="s">
        <v>4</v>
      </c>
      <c r="C1977" s="5">
        <v>19277.86</v>
      </c>
      <c r="D1977" s="5">
        <v>39</v>
      </c>
      <c r="E1977" s="5">
        <v>0</v>
      </c>
      <c r="F1977" s="5">
        <v>0.50980000000000003</v>
      </c>
      <c r="G1977" s="5">
        <v>0.2661</v>
      </c>
      <c r="H1977" s="5">
        <v>0</v>
      </c>
      <c r="I1977" s="5">
        <v>500</v>
      </c>
      <c r="J1977" s="5">
        <v>4196.0200000000004</v>
      </c>
      <c r="K1977" s="5">
        <v>131</v>
      </c>
      <c r="L1977" s="5">
        <v>1</v>
      </c>
      <c r="M1977" s="5">
        <v>1</v>
      </c>
      <c r="N1977" s="5">
        <v>2</v>
      </c>
      <c r="O1977" s="5">
        <v>676.11</v>
      </c>
      <c r="P1977" s="6">
        <v>0</v>
      </c>
    </row>
    <row r="1978" spans="1:16" ht="23.4" x14ac:dyDescent="0.45">
      <c r="A1978" s="4" t="s">
        <v>1956</v>
      </c>
      <c r="B1978" s="5" t="s">
        <v>9</v>
      </c>
      <c r="C1978" s="5">
        <v>132089.39000000001</v>
      </c>
      <c r="D1978" s="5">
        <v>68</v>
      </c>
      <c r="E1978" s="5">
        <v>1</v>
      </c>
      <c r="F1978" s="5">
        <v>0.68569999999999998</v>
      </c>
      <c r="G1978" s="5">
        <v>0.68769999999999998</v>
      </c>
      <c r="H1978" s="5">
        <v>6</v>
      </c>
      <c r="I1978" s="5">
        <v>65474.239999999998</v>
      </c>
      <c r="J1978" s="5">
        <v>21949.439999999999</v>
      </c>
      <c r="K1978" s="5">
        <v>8</v>
      </c>
      <c r="L1978" s="5">
        <v>2</v>
      </c>
      <c r="M1978" s="5">
        <v>1</v>
      </c>
      <c r="N1978" s="5">
        <v>1</v>
      </c>
      <c r="O1978" s="5">
        <v>617.11</v>
      </c>
      <c r="P1978" s="6">
        <v>0</v>
      </c>
    </row>
    <row r="1979" spans="1:16" ht="23.4" x14ac:dyDescent="0.45">
      <c r="A1979" s="4" t="s">
        <v>1957</v>
      </c>
      <c r="B1979" s="5" t="s">
        <v>1</v>
      </c>
      <c r="C1979" s="5">
        <v>2000</v>
      </c>
      <c r="D1979" s="5">
        <v>47</v>
      </c>
      <c r="E1979" s="5">
        <v>0</v>
      </c>
      <c r="F1979" s="5">
        <v>0.75749999999999995</v>
      </c>
      <c r="G1979" s="5">
        <v>0.31480000000000002</v>
      </c>
      <c r="H1979" s="5">
        <v>0</v>
      </c>
      <c r="I1979" s="5">
        <v>16045.04</v>
      </c>
      <c r="J1979" s="5">
        <v>15654.51</v>
      </c>
      <c r="K1979" s="5">
        <v>99</v>
      </c>
      <c r="L1979" s="5">
        <v>3</v>
      </c>
      <c r="M1979" s="5">
        <v>1</v>
      </c>
      <c r="N1979" s="5">
        <v>0</v>
      </c>
      <c r="O1979" s="5">
        <v>773.8</v>
      </c>
      <c r="P1979" s="6">
        <v>0</v>
      </c>
    </row>
    <row r="1980" spans="1:16" ht="23.4" x14ac:dyDescent="0.45">
      <c r="A1980" s="4" t="s">
        <v>1958</v>
      </c>
      <c r="B1980" s="5" t="s">
        <v>9</v>
      </c>
      <c r="C1980" s="5">
        <v>49751.43</v>
      </c>
      <c r="D1980" s="5">
        <v>40</v>
      </c>
      <c r="E1980" s="5">
        <v>1</v>
      </c>
      <c r="F1980" s="5">
        <v>0.80669999999999997</v>
      </c>
      <c r="G1980" s="5">
        <v>0.2641</v>
      </c>
      <c r="H1980" s="5">
        <v>1</v>
      </c>
      <c r="I1980" s="5">
        <v>28431.97</v>
      </c>
      <c r="J1980" s="5">
        <v>15644.06</v>
      </c>
      <c r="K1980" s="5">
        <v>28</v>
      </c>
      <c r="L1980" s="5">
        <v>2</v>
      </c>
      <c r="M1980" s="5">
        <v>2</v>
      </c>
      <c r="N1980" s="5">
        <v>1</v>
      </c>
      <c r="O1980" s="5">
        <v>696.06</v>
      </c>
      <c r="P1980" s="6">
        <v>0</v>
      </c>
    </row>
    <row r="1981" spans="1:16" ht="23.4" x14ac:dyDescent="0.45">
      <c r="A1981" s="4" t="s">
        <v>1959</v>
      </c>
      <c r="B1981" s="5" t="s">
        <v>15</v>
      </c>
      <c r="C1981" s="5">
        <v>34166.19</v>
      </c>
      <c r="D1981" s="5">
        <v>58</v>
      </c>
      <c r="E1981" s="5">
        <v>0</v>
      </c>
      <c r="F1981" s="5">
        <v>0.93210000000000004</v>
      </c>
      <c r="G1981" s="5">
        <v>0.50149999999999995</v>
      </c>
      <c r="H1981" s="5">
        <v>6</v>
      </c>
      <c r="I1981" s="5">
        <v>9654.0499999999993</v>
      </c>
      <c r="J1981" s="5">
        <v>11576.6</v>
      </c>
      <c r="K1981" s="5">
        <v>9</v>
      </c>
      <c r="L1981" s="5">
        <v>2</v>
      </c>
      <c r="M1981" s="5">
        <v>1</v>
      </c>
      <c r="N1981" s="5">
        <v>1</v>
      </c>
      <c r="O1981" s="5">
        <v>748.55</v>
      </c>
      <c r="P1981" s="6">
        <v>0</v>
      </c>
    </row>
    <row r="1982" spans="1:16" ht="23.4" x14ac:dyDescent="0.45">
      <c r="A1982" s="4" t="s">
        <v>1960</v>
      </c>
      <c r="B1982" s="5" t="s">
        <v>4</v>
      </c>
      <c r="C1982" s="5">
        <v>78753.539999999994</v>
      </c>
      <c r="D1982" s="5">
        <v>45</v>
      </c>
      <c r="E1982" s="5">
        <v>0</v>
      </c>
      <c r="F1982" s="5">
        <v>0.58789999999999998</v>
      </c>
      <c r="G1982" s="5">
        <v>0.52639999999999998</v>
      </c>
      <c r="H1982" s="5">
        <v>9</v>
      </c>
      <c r="I1982" s="5">
        <v>53007.38</v>
      </c>
      <c r="J1982" s="5">
        <v>50603.05</v>
      </c>
      <c r="K1982" s="5">
        <v>67</v>
      </c>
      <c r="L1982" s="5">
        <v>1</v>
      </c>
      <c r="M1982" s="5">
        <v>2</v>
      </c>
      <c r="N1982" s="5">
        <v>1</v>
      </c>
      <c r="O1982" s="5">
        <v>676.61</v>
      </c>
      <c r="P1982" s="6">
        <v>0</v>
      </c>
    </row>
    <row r="1983" spans="1:16" ht="23.4" x14ac:dyDescent="0.45">
      <c r="A1983" s="4" t="s">
        <v>1961</v>
      </c>
      <c r="B1983" s="5" t="s">
        <v>4</v>
      </c>
      <c r="C1983" s="5">
        <v>102217.46</v>
      </c>
      <c r="D1983" s="5">
        <v>40</v>
      </c>
      <c r="E1983" s="5">
        <v>1</v>
      </c>
      <c r="F1983" s="5">
        <v>0.55859999999999999</v>
      </c>
      <c r="G1983" s="5">
        <v>0</v>
      </c>
      <c r="H1983" s="5">
        <v>1</v>
      </c>
      <c r="I1983" s="5">
        <v>22390.45</v>
      </c>
      <c r="J1983" s="5">
        <v>3254.66</v>
      </c>
      <c r="K1983" s="5">
        <v>101</v>
      </c>
      <c r="L1983" s="5">
        <v>2</v>
      </c>
      <c r="M1983" s="5">
        <v>1</v>
      </c>
      <c r="N1983" s="5">
        <v>0</v>
      </c>
      <c r="O1983" s="5">
        <v>657.64</v>
      </c>
      <c r="P1983" s="6">
        <v>0</v>
      </c>
    </row>
    <row r="1984" spans="1:16" ht="23.4" x14ac:dyDescent="0.45">
      <c r="A1984" s="4" t="s">
        <v>1962</v>
      </c>
      <c r="B1984" s="5" t="s">
        <v>6</v>
      </c>
      <c r="C1984" s="5">
        <v>158608.82999999999</v>
      </c>
      <c r="D1984" s="5">
        <v>36</v>
      </c>
      <c r="E1984" s="5">
        <v>0</v>
      </c>
      <c r="F1984" s="5">
        <v>0.4894</v>
      </c>
      <c r="G1984" s="5">
        <v>0.16270000000000001</v>
      </c>
      <c r="H1984" s="5">
        <v>0</v>
      </c>
      <c r="I1984" s="5">
        <v>500</v>
      </c>
      <c r="J1984" s="5">
        <v>0</v>
      </c>
      <c r="K1984" s="5">
        <v>45</v>
      </c>
      <c r="L1984" s="5">
        <v>2</v>
      </c>
      <c r="M1984" s="5">
        <v>1</v>
      </c>
      <c r="N1984" s="5">
        <v>1</v>
      </c>
      <c r="O1984" s="5">
        <v>668.11</v>
      </c>
      <c r="P1984" s="6">
        <v>0</v>
      </c>
    </row>
    <row r="1985" spans="1:16" ht="23.4" x14ac:dyDescent="0.45">
      <c r="A1985" s="4" t="s">
        <v>1963</v>
      </c>
      <c r="B1985" s="5" t="s">
        <v>4</v>
      </c>
      <c r="C1985" s="5">
        <v>74203.08</v>
      </c>
      <c r="D1985" s="5">
        <v>70</v>
      </c>
      <c r="E1985" s="5">
        <v>1</v>
      </c>
      <c r="F1985" s="5">
        <v>0.87749999999999995</v>
      </c>
      <c r="G1985" s="5">
        <v>0.34460000000000002</v>
      </c>
      <c r="H1985" s="5">
        <v>1</v>
      </c>
      <c r="I1985" s="5">
        <v>30117.360000000001</v>
      </c>
      <c r="J1985" s="5">
        <v>28850.43</v>
      </c>
      <c r="K1985" s="5">
        <v>53</v>
      </c>
      <c r="L1985" s="5">
        <v>1</v>
      </c>
      <c r="M1985" s="5">
        <v>2</v>
      </c>
      <c r="N1985" s="5">
        <v>0</v>
      </c>
      <c r="O1985" s="5">
        <v>647.13</v>
      </c>
      <c r="P1985" s="6">
        <v>0</v>
      </c>
    </row>
    <row r="1986" spans="1:16" ht="23.4" x14ac:dyDescent="0.45">
      <c r="A1986" s="4" t="s">
        <v>1964</v>
      </c>
      <c r="B1986" s="5" t="s">
        <v>18</v>
      </c>
      <c r="C1986" s="5">
        <v>198924.88</v>
      </c>
      <c r="D1986" s="5">
        <v>37</v>
      </c>
      <c r="E1986" s="5">
        <v>0</v>
      </c>
      <c r="F1986" s="5">
        <v>0.64329999999999998</v>
      </c>
      <c r="G1986" s="5">
        <v>0.64790000000000003</v>
      </c>
      <c r="H1986" s="5">
        <v>0</v>
      </c>
      <c r="I1986" s="5">
        <v>154957.51</v>
      </c>
      <c r="J1986" s="5">
        <v>91492.2</v>
      </c>
      <c r="K1986" s="5">
        <v>33</v>
      </c>
      <c r="L1986" s="5">
        <v>3</v>
      </c>
      <c r="M1986" s="5">
        <v>3</v>
      </c>
      <c r="N1986" s="5">
        <v>1</v>
      </c>
      <c r="O1986" s="5">
        <v>661.63</v>
      </c>
      <c r="P1986" s="6">
        <v>0</v>
      </c>
    </row>
    <row r="1987" spans="1:16" ht="23.4" x14ac:dyDescent="0.45">
      <c r="A1987" s="4" t="s">
        <v>1965</v>
      </c>
      <c r="B1987" s="5" t="s">
        <v>18</v>
      </c>
      <c r="C1987" s="5">
        <v>96923.67</v>
      </c>
      <c r="D1987" s="5">
        <v>46</v>
      </c>
      <c r="E1987" s="5">
        <v>0</v>
      </c>
      <c r="F1987" s="5">
        <v>0.72829999999999995</v>
      </c>
      <c r="G1987" s="5">
        <v>0.73580000000000001</v>
      </c>
      <c r="H1987" s="5">
        <v>4</v>
      </c>
      <c r="I1987" s="5">
        <v>76605.789999999994</v>
      </c>
      <c r="J1987" s="5">
        <v>56559.06</v>
      </c>
      <c r="K1987" s="5">
        <v>70</v>
      </c>
      <c r="L1987" s="5">
        <v>1</v>
      </c>
      <c r="M1987" s="5">
        <v>1</v>
      </c>
      <c r="N1987" s="5">
        <v>0</v>
      </c>
      <c r="O1987" s="5">
        <v>778.21</v>
      </c>
      <c r="P1987" s="6">
        <v>0</v>
      </c>
    </row>
    <row r="1988" spans="1:16" ht="23.4" x14ac:dyDescent="0.45">
      <c r="A1988" s="4" t="s">
        <v>1966</v>
      </c>
      <c r="B1988" s="5" t="s">
        <v>1</v>
      </c>
      <c r="C1988" s="5">
        <v>85262.76</v>
      </c>
      <c r="D1988" s="5">
        <v>70</v>
      </c>
      <c r="E1988" s="5">
        <v>0</v>
      </c>
      <c r="F1988" s="5">
        <v>0.68410000000000004</v>
      </c>
      <c r="G1988" s="5">
        <v>0.50619999999999998</v>
      </c>
      <c r="H1988" s="5">
        <v>0</v>
      </c>
      <c r="I1988" s="5">
        <v>18871.77</v>
      </c>
      <c r="J1988" s="5">
        <v>10966.84</v>
      </c>
      <c r="K1988" s="5">
        <v>165</v>
      </c>
      <c r="L1988" s="5">
        <v>1</v>
      </c>
      <c r="M1988" s="5">
        <v>2</v>
      </c>
      <c r="N1988" s="5">
        <v>1</v>
      </c>
      <c r="O1988" s="5">
        <v>648.95000000000005</v>
      </c>
      <c r="P1988" s="6">
        <v>0</v>
      </c>
    </row>
    <row r="1989" spans="1:16" ht="23.4" x14ac:dyDescent="0.45">
      <c r="A1989" s="4" t="s">
        <v>1967</v>
      </c>
      <c r="B1989" s="5" t="s">
        <v>1</v>
      </c>
      <c r="C1989" s="5">
        <v>177350.37</v>
      </c>
      <c r="D1989" s="5">
        <v>50</v>
      </c>
      <c r="E1989" s="5">
        <v>1</v>
      </c>
      <c r="F1989" s="5">
        <v>0.80620000000000003</v>
      </c>
      <c r="G1989" s="5">
        <v>0.55169999999999997</v>
      </c>
      <c r="H1989" s="5">
        <v>3</v>
      </c>
      <c r="I1989" s="5">
        <v>78726.37</v>
      </c>
      <c r="J1989" s="5">
        <v>56827.040000000001</v>
      </c>
      <c r="K1989" s="5">
        <v>51</v>
      </c>
      <c r="L1989" s="5">
        <v>2</v>
      </c>
      <c r="M1989" s="5">
        <v>1</v>
      </c>
      <c r="N1989" s="5">
        <v>1</v>
      </c>
      <c r="O1989" s="5">
        <v>620.79</v>
      </c>
      <c r="P1989" s="6">
        <v>0</v>
      </c>
    </row>
    <row r="1990" spans="1:16" ht="23.4" x14ac:dyDescent="0.45">
      <c r="A1990" s="4" t="s">
        <v>1968</v>
      </c>
      <c r="B1990" s="5" t="s">
        <v>6</v>
      </c>
      <c r="C1990" s="5">
        <v>38496.050000000003</v>
      </c>
      <c r="D1990" s="5">
        <v>26</v>
      </c>
      <c r="E1990" s="5">
        <v>0</v>
      </c>
      <c r="F1990" s="5">
        <v>1</v>
      </c>
      <c r="G1990" s="5">
        <v>0.14030000000000001</v>
      </c>
      <c r="H1990" s="5">
        <v>2</v>
      </c>
      <c r="I1990" s="5">
        <v>14717.48</v>
      </c>
      <c r="J1990" s="5">
        <v>13981.41</v>
      </c>
      <c r="K1990" s="5">
        <v>165</v>
      </c>
      <c r="L1990" s="5">
        <v>2</v>
      </c>
      <c r="M1990" s="5">
        <v>3</v>
      </c>
      <c r="N1990" s="5">
        <v>1</v>
      </c>
      <c r="O1990" s="5">
        <v>726.62</v>
      </c>
      <c r="P1990" s="6">
        <v>0</v>
      </c>
    </row>
    <row r="1991" spans="1:16" ht="23.4" x14ac:dyDescent="0.45">
      <c r="A1991" s="4" t="s">
        <v>759</v>
      </c>
      <c r="B1991" s="5" t="s">
        <v>6</v>
      </c>
      <c r="C1991" s="5">
        <v>93320.639999999999</v>
      </c>
      <c r="D1991" s="5">
        <v>35</v>
      </c>
      <c r="E1991" s="5">
        <v>0</v>
      </c>
      <c r="F1991" s="5">
        <v>0.55400000000000005</v>
      </c>
      <c r="G1991" s="5">
        <v>0</v>
      </c>
      <c r="H1991" s="5">
        <v>0</v>
      </c>
      <c r="I1991" s="5">
        <v>500</v>
      </c>
      <c r="J1991" s="5">
        <v>3612.71</v>
      </c>
      <c r="K1991" s="5">
        <v>49</v>
      </c>
      <c r="L1991" s="5">
        <v>2</v>
      </c>
      <c r="M1991" s="5">
        <v>3</v>
      </c>
      <c r="N1991" s="5">
        <v>0</v>
      </c>
      <c r="O1991" s="5">
        <v>743.74</v>
      </c>
      <c r="P1991" s="6">
        <v>0</v>
      </c>
    </row>
    <row r="1992" spans="1:16" ht="23.4" x14ac:dyDescent="0.45">
      <c r="A1992" s="4" t="s">
        <v>1969</v>
      </c>
      <c r="B1992" s="5" t="s">
        <v>18</v>
      </c>
      <c r="C1992" s="5">
        <v>152582.72</v>
      </c>
      <c r="D1992" s="5">
        <v>35</v>
      </c>
      <c r="E1992" s="5">
        <v>0</v>
      </c>
      <c r="F1992" s="5">
        <v>0.43740000000000001</v>
      </c>
      <c r="G1992" s="5">
        <v>0.43309999999999998</v>
      </c>
      <c r="H1992" s="5">
        <v>2</v>
      </c>
      <c r="I1992" s="5">
        <v>60894.96</v>
      </c>
      <c r="J1992" s="5">
        <v>29681.25</v>
      </c>
      <c r="K1992" s="5">
        <v>66</v>
      </c>
      <c r="L1992" s="5">
        <v>2</v>
      </c>
      <c r="M1992" s="5">
        <v>1</v>
      </c>
      <c r="N1992" s="5">
        <v>0</v>
      </c>
      <c r="O1992" s="5">
        <v>689.21</v>
      </c>
      <c r="P1992" s="6">
        <v>0</v>
      </c>
    </row>
    <row r="1993" spans="1:16" ht="23.4" x14ac:dyDescent="0.45">
      <c r="A1993" s="4" t="s">
        <v>1970</v>
      </c>
      <c r="B1993" s="5" t="s">
        <v>6</v>
      </c>
      <c r="C1993" s="5">
        <v>76997.77</v>
      </c>
      <c r="D1993" s="5">
        <v>39</v>
      </c>
      <c r="E1993" s="5">
        <v>0</v>
      </c>
      <c r="F1993" s="5">
        <v>0.68059999999999998</v>
      </c>
      <c r="G1993" s="5">
        <v>0.60829999999999995</v>
      </c>
      <c r="H1993" s="5">
        <v>8</v>
      </c>
      <c r="I1993" s="5">
        <v>41510.660000000003</v>
      </c>
      <c r="J1993" s="5">
        <v>26357.45</v>
      </c>
      <c r="K1993" s="5">
        <v>177</v>
      </c>
      <c r="L1993" s="5">
        <v>1</v>
      </c>
      <c r="M1993" s="5">
        <v>2</v>
      </c>
      <c r="N1993" s="5">
        <v>0</v>
      </c>
      <c r="O1993" s="5">
        <v>771.52</v>
      </c>
      <c r="P1993" s="6">
        <v>0</v>
      </c>
    </row>
    <row r="1994" spans="1:16" ht="23.4" x14ac:dyDescent="0.45">
      <c r="A1994" s="4" t="s">
        <v>1971</v>
      </c>
      <c r="B1994" s="5" t="s">
        <v>15</v>
      </c>
      <c r="C1994" s="5">
        <v>43038.12</v>
      </c>
      <c r="D1994" s="5">
        <v>40</v>
      </c>
      <c r="E1994" s="5">
        <v>1</v>
      </c>
      <c r="F1994" s="5">
        <v>0.9284</v>
      </c>
      <c r="G1994" s="5">
        <v>0.18429999999999999</v>
      </c>
      <c r="H1994" s="5">
        <v>2</v>
      </c>
      <c r="I1994" s="5">
        <v>13089.82</v>
      </c>
      <c r="J1994" s="5">
        <v>7946.94</v>
      </c>
      <c r="K1994" s="5">
        <v>177</v>
      </c>
      <c r="L1994" s="5">
        <v>2</v>
      </c>
      <c r="M1994" s="5">
        <v>1</v>
      </c>
      <c r="N1994" s="5">
        <v>0</v>
      </c>
      <c r="O1994" s="5">
        <v>652.94000000000005</v>
      </c>
      <c r="P1994" s="6">
        <v>1</v>
      </c>
    </row>
    <row r="1995" spans="1:16" ht="23.4" x14ac:dyDescent="0.45">
      <c r="A1995" s="4" t="s">
        <v>1972</v>
      </c>
      <c r="B1995" s="5" t="s">
        <v>4</v>
      </c>
      <c r="C1995" s="5">
        <v>206566.41</v>
      </c>
      <c r="D1995" s="5">
        <v>57</v>
      </c>
      <c r="E1995" s="5">
        <v>0</v>
      </c>
      <c r="F1995" s="5">
        <v>0.66249999999999998</v>
      </c>
      <c r="G1995" s="5">
        <v>0.60970000000000002</v>
      </c>
      <c r="H1995" s="5">
        <v>2</v>
      </c>
      <c r="I1995" s="5">
        <v>142735.17000000001</v>
      </c>
      <c r="J1995" s="5">
        <v>92781.32</v>
      </c>
      <c r="K1995" s="5">
        <v>55</v>
      </c>
      <c r="L1995" s="5">
        <v>2</v>
      </c>
      <c r="M1995" s="5">
        <v>1</v>
      </c>
      <c r="N1995" s="5">
        <v>2</v>
      </c>
      <c r="O1995" s="5">
        <v>665.66</v>
      </c>
      <c r="P1995" s="6">
        <v>0</v>
      </c>
    </row>
    <row r="1996" spans="1:16" ht="23.4" x14ac:dyDescent="0.45">
      <c r="A1996" s="4" t="s">
        <v>1973</v>
      </c>
      <c r="B1996" s="5" t="s">
        <v>9</v>
      </c>
      <c r="C1996" s="5">
        <v>162377.54999999999</v>
      </c>
      <c r="D1996" s="5">
        <v>64</v>
      </c>
      <c r="E1996" s="5">
        <v>1</v>
      </c>
      <c r="F1996" s="5">
        <v>0.18440000000000001</v>
      </c>
      <c r="G1996" s="5">
        <v>0.34339999999999998</v>
      </c>
      <c r="H1996" s="5">
        <v>2</v>
      </c>
      <c r="I1996" s="5">
        <v>63686.83</v>
      </c>
      <c r="J1996" s="5">
        <v>27459.51</v>
      </c>
      <c r="K1996" s="5">
        <v>25</v>
      </c>
      <c r="L1996" s="5">
        <v>2</v>
      </c>
      <c r="M1996" s="5">
        <v>2</v>
      </c>
      <c r="N1996" s="5">
        <v>0</v>
      </c>
      <c r="O1996" s="5">
        <v>611.94000000000005</v>
      </c>
      <c r="P1996" s="6">
        <v>0</v>
      </c>
    </row>
    <row r="1997" spans="1:16" ht="23.4" x14ac:dyDescent="0.45">
      <c r="A1997" s="4" t="s">
        <v>1974</v>
      </c>
      <c r="B1997" s="5" t="s">
        <v>9</v>
      </c>
      <c r="C1997" s="5">
        <v>59178.14</v>
      </c>
      <c r="D1997" s="5">
        <v>38</v>
      </c>
      <c r="E1997" s="5">
        <v>0</v>
      </c>
      <c r="F1997" s="5">
        <v>0.81</v>
      </c>
      <c r="G1997" s="5">
        <v>0.69820000000000004</v>
      </c>
      <c r="H1997" s="5">
        <v>5</v>
      </c>
      <c r="I1997" s="5">
        <v>41066.81</v>
      </c>
      <c r="J1997" s="5">
        <v>35467.68</v>
      </c>
      <c r="K1997" s="5">
        <v>103</v>
      </c>
      <c r="L1997" s="5">
        <v>2</v>
      </c>
      <c r="M1997" s="5">
        <v>1</v>
      </c>
      <c r="N1997" s="5">
        <v>1</v>
      </c>
      <c r="O1997" s="5">
        <v>679.38</v>
      </c>
      <c r="P1997" s="6">
        <v>0</v>
      </c>
    </row>
    <row r="1998" spans="1:16" ht="23.4" x14ac:dyDescent="0.45">
      <c r="A1998" s="4" t="s">
        <v>1975</v>
      </c>
      <c r="B1998" s="5" t="s">
        <v>9</v>
      </c>
      <c r="C1998" s="5">
        <v>27069.73</v>
      </c>
      <c r="D1998" s="5">
        <v>57</v>
      </c>
      <c r="E1998" s="5">
        <v>0</v>
      </c>
      <c r="F1998" s="5">
        <v>0.49690000000000001</v>
      </c>
      <c r="G1998" s="5">
        <v>0.29609999999999997</v>
      </c>
      <c r="H1998" s="5">
        <v>3</v>
      </c>
      <c r="I1998" s="5">
        <v>500</v>
      </c>
      <c r="J1998" s="5">
        <v>7222.56</v>
      </c>
      <c r="K1998" s="5">
        <v>29</v>
      </c>
      <c r="L1998" s="5">
        <v>3</v>
      </c>
      <c r="M1998" s="5">
        <v>2</v>
      </c>
      <c r="N1998" s="5">
        <v>1</v>
      </c>
      <c r="O1998" s="5">
        <v>688.26</v>
      </c>
      <c r="P1998" s="6">
        <v>1</v>
      </c>
    </row>
    <row r="1999" spans="1:16" ht="23.4" x14ac:dyDescent="0.45">
      <c r="A1999" s="4" t="s">
        <v>1044</v>
      </c>
      <c r="B1999" s="5" t="s">
        <v>6</v>
      </c>
      <c r="C1999" s="5">
        <v>28369.25</v>
      </c>
      <c r="D1999" s="5">
        <v>60</v>
      </c>
      <c r="E1999" s="5">
        <v>1</v>
      </c>
      <c r="F1999" s="5">
        <v>0.79349999999999998</v>
      </c>
      <c r="G1999" s="5">
        <v>0</v>
      </c>
      <c r="H1999" s="5">
        <v>0</v>
      </c>
      <c r="I1999" s="5">
        <v>11436.16</v>
      </c>
      <c r="J1999" s="5">
        <v>5114.95</v>
      </c>
      <c r="K1999" s="5">
        <v>6</v>
      </c>
      <c r="L1999" s="5">
        <v>2</v>
      </c>
      <c r="M1999" s="5">
        <v>2</v>
      </c>
      <c r="N1999" s="5">
        <v>1</v>
      </c>
      <c r="O1999" s="5">
        <v>720.26</v>
      </c>
      <c r="P1999" s="6">
        <v>0</v>
      </c>
    </row>
    <row r="2000" spans="1:16" ht="23.4" x14ac:dyDescent="0.45">
      <c r="A2000" s="4" t="s">
        <v>1976</v>
      </c>
      <c r="B2000" s="5" t="s">
        <v>15</v>
      </c>
      <c r="C2000" s="5">
        <v>64494.77</v>
      </c>
      <c r="D2000" s="5">
        <v>40</v>
      </c>
      <c r="E2000" s="5">
        <v>0</v>
      </c>
      <c r="F2000" s="5">
        <v>0.77180000000000004</v>
      </c>
      <c r="G2000" s="5">
        <v>0.25800000000000001</v>
      </c>
      <c r="H2000" s="5">
        <v>0</v>
      </c>
      <c r="I2000" s="5">
        <v>18021.560000000001</v>
      </c>
      <c r="J2000" s="5">
        <v>18626.53</v>
      </c>
      <c r="K2000" s="5">
        <v>59</v>
      </c>
      <c r="L2000" s="5">
        <v>2</v>
      </c>
      <c r="M2000" s="5">
        <v>1</v>
      </c>
      <c r="N2000" s="5">
        <v>3</v>
      </c>
      <c r="O2000" s="5">
        <v>658.66</v>
      </c>
      <c r="P2000" s="6">
        <v>0</v>
      </c>
    </row>
    <row r="2001" spans="1:16" ht="23.4" x14ac:dyDescent="0.45">
      <c r="A2001" s="8" t="s">
        <v>1977</v>
      </c>
      <c r="B2001" s="9" t="s">
        <v>9</v>
      </c>
      <c r="C2001" s="9">
        <v>81923.27</v>
      </c>
      <c r="D2001" s="9">
        <v>67</v>
      </c>
      <c r="E2001" s="9">
        <v>1</v>
      </c>
      <c r="F2001" s="9">
        <v>0.90780000000000005</v>
      </c>
      <c r="G2001" s="9">
        <v>0.46200000000000002</v>
      </c>
      <c r="H2001" s="9">
        <v>4</v>
      </c>
      <c r="I2001" s="9">
        <v>12248.87</v>
      </c>
      <c r="J2001" s="9">
        <v>12071.6</v>
      </c>
      <c r="K2001" s="9">
        <v>149</v>
      </c>
      <c r="L2001" s="9">
        <v>1</v>
      </c>
      <c r="M2001" s="9">
        <v>3</v>
      </c>
      <c r="N2001" s="9">
        <v>2</v>
      </c>
      <c r="O2001" s="9">
        <v>762.53</v>
      </c>
      <c r="P2001" s="10">
        <v>0</v>
      </c>
    </row>
  </sheetData>
  <conditionalFormatting sqref="C2:C2001">
    <cfRule type="iconSet" priority="1">
      <iconSet>
        <cfvo type="percent" val="0"/>
        <cfvo type="percent" val="33"/>
        <cfvo type="percent" val="67"/>
      </iconSet>
    </cfRule>
    <cfRule type="dataBar" priority="2">
      <dataBar>
        <cfvo type="min"/>
        <cfvo type="max"/>
        <color rgb="FFD6007B"/>
      </dataBar>
      <extLst>
        <ext xmlns:x14="http://schemas.microsoft.com/office/spreadsheetml/2009/9/main" uri="{B025F937-C7B1-47D3-B67F-A62EFF666E3E}">
          <x14:id>{B8E4CF17-29AB-40F6-A28A-9E75BC48139B}</x14:id>
        </ext>
      </extLst>
    </cfRule>
  </conditionalFormatting>
  <conditionalFormatting sqref="D2:D2001">
    <cfRule type="cellIs" dxfId="12" priority="14" operator="between">
      <formula>40</formula>
      <formula>50</formula>
    </cfRule>
    <cfRule type="cellIs" dxfId="11" priority="15" operator="lessThan">
      <formula>35</formula>
    </cfRule>
    <cfRule type="cellIs" dxfId="10" priority="16" operator="greaterThan">
      <formula>50</formula>
    </cfRule>
  </conditionalFormatting>
  <conditionalFormatting sqref="E2:E2001">
    <cfRule type="cellIs" dxfId="9" priority="13" operator="equal">
      <formula>1</formula>
    </cfRule>
  </conditionalFormatting>
  <conditionalFormatting sqref="F2:F2001">
    <cfRule type="colorScale" priority="3">
      <colorScale>
        <cfvo type="min"/>
        <cfvo type="percentile" val="50"/>
        <cfvo type="max"/>
        <color rgb="FF5A8AC6"/>
        <color rgb="FFFCFCFF"/>
        <color rgb="FFF8696B"/>
      </colorScale>
    </cfRule>
  </conditionalFormatting>
  <conditionalFormatting sqref="G2:G2001">
    <cfRule type="top10" dxfId="8" priority="4" bottom="1" rank="10"/>
    <cfRule type="top10" dxfId="7" priority="5" percent="1" bottom="1" rank="10"/>
  </conditionalFormatting>
  <conditionalFormatting sqref="I2:I2001">
    <cfRule type="top10" dxfId="6" priority="8" percent="1" bottom="1" rank="10"/>
    <cfRule type="top10" dxfId="5" priority="9" bottom="1" rank="10"/>
    <cfRule type="top10" dxfId="4" priority="10" rank="10"/>
    <cfRule type="top10" dxfId="3" priority="11" percent="1" bottom="1" rank="10"/>
    <cfRule type="top10" dxfId="2" priority="12" percent="1" rank="10"/>
  </conditionalFormatting>
  <conditionalFormatting sqref="J2:J2001">
    <cfRule type="aboveAverage" dxfId="1" priority="6" aboveAverage="0"/>
    <cfRule type="aboveAverage" dxfId="0" priority="7"/>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8E4CF17-29AB-40F6-A28A-9E75BC48139B}">
            <x14:dataBar minLength="0" maxLength="100" border="1" negativeBarBorderColorSameAsPositive="0">
              <x14:cfvo type="autoMin"/>
              <x14:cfvo type="autoMax"/>
              <x14:borderColor rgb="FFD6007B"/>
              <x14:negativeFillColor rgb="FFFF0000"/>
              <x14:negativeBorderColor rgb="FFFF0000"/>
              <x14:axisColor rgb="FF000000"/>
            </x14:dataBar>
          </x14:cfRule>
          <xm:sqref>C2:C2001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EADF-9F1F-45A1-B2F5-625ABEE83AD4}">
  <dimension ref="A3:K64"/>
  <sheetViews>
    <sheetView topLeftCell="C1" workbookViewId="0">
      <selection activeCell="K14" sqref="K14"/>
    </sheetView>
  </sheetViews>
  <sheetFormatPr defaultRowHeight="14.4" x14ac:dyDescent="0.3"/>
  <cols>
    <col min="1" max="1" width="17.109375" bestFit="1" customWidth="1"/>
    <col min="2" max="2" width="23.77734375" bestFit="1" customWidth="1"/>
    <col min="4" max="4" width="12.109375" bestFit="1" customWidth="1"/>
    <col min="5" max="5" width="30.5546875" bestFit="1" customWidth="1"/>
    <col min="7" max="7" width="18" bestFit="1" customWidth="1"/>
    <col min="8" max="8" width="21.88671875" bestFit="1" customWidth="1"/>
    <col min="10" max="10" width="23" bestFit="1" customWidth="1"/>
    <col min="11" max="11" width="18.33203125" bestFit="1" customWidth="1"/>
    <col min="12" max="12" width="7" bestFit="1" customWidth="1"/>
    <col min="13" max="13" width="6" bestFit="1" customWidth="1"/>
    <col min="14" max="31" width="7" bestFit="1" customWidth="1"/>
    <col min="32" max="32" width="6" bestFit="1" customWidth="1"/>
    <col min="33" max="40" width="7" bestFit="1" customWidth="1"/>
    <col min="41" max="41" width="6" bestFit="1" customWidth="1"/>
    <col min="42" max="45" width="7" bestFit="1" customWidth="1"/>
    <col min="46" max="46" width="6" bestFit="1" customWidth="1"/>
    <col min="47" max="49" width="7" bestFit="1" customWidth="1"/>
    <col min="50" max="50" width="6" bestFit="1" customWidth="1"/>
    <col min="51" max="72" width="7" bestFit="1" customWidth="1"/>
    <col min="73" max="73" width="6" bestFit="1" customWidth="1"/>
    <col min="74" max="76" width="7" bestFit="1" customWidth="1"/>
    <col min="77" max="77" width="6" bestFit="1" customWidth="1"/>
    <col min="78" max="81" width="7" bestFit="1" customWidth="1"/>
    <col min="82" max="83" width="6" bestFit="1" customWidth="1"/>
    <col min="84" max="92" width="7" bestFit="1" customWidth="1"/>
    <col min="93" max="93" width="6" bestFit="1" customWidth="1"/>
    <col min="94" max="106" width="7" bestFit="1" customWidth="1"/>
    <col min="107" max="107" width="6" bestFit="1" customWidth="1"/>
    <col min="108" max="116" width="7" bestFit="1" customWidth="1"/>
    <col min="117" max="117" width="6" bestFit="1" customWidth="1"/>
    <col min="118" max="123" width="7" bestFit="1" customWidth="1"/>
    <col min="124" max="124" width="6" bestFit="1" customWidth="1"/>
    <col min="125" max="129" width="7" bestFit="1" customWidth="1"/>
    <col min="130" max="130" width="4" bestFit="1" customWidth="1"/>
    <col min="131" max="150" width="7" bestFit="1" customWidth="1"/>
    <col min="151" max="151" width="6" bestFit="1" customWidth="1"/>
    <col min="152" max="157" width="7" bestFit="1" customWidth="1"/>
    <col min="158" max="158" width="4" bestFit="1" customWidth="1"/>
    <col min="159" max="162" width="7" bestFit="1" customWidth="1"/>
    <col min="163" max="163" width="6" bestFit="1" customWidth="1"/>
    <col min="164" max="171" width="7" bestFit="1" customWidth="1"/>
    <col min="172" max="172" width="6" bestFit="1" customWidth="1"/>
    <col min="173" max="179" width="7" bestFit="1" customWidth="1"/>
    <col min="180" max="181" width="6" bestFit="1" customWidth="1"/>
    <col min="182" max="190" width="7" bestFit="1" customWidth="1"/>
    <col min="191" max="191" width="6" bestFit="1" customWidth="1"/>
    <col min="192" max="196" width="7" bestFit="1" customWidth="1"/>
    <col min="197" max="197" width="4" bestFit="1" customWidth="1"/>
    <col min="198" max="202" width="7" bestFit="1" customWidth="1"/>
    <col min="203" max="203" width="6" bestFit="1" customWidth="1"/>
    <col min="204" max="238" width="7" bestFit="1" customWidth="1"/>
    <col min="239" max="239" width="6" bestFit="1" customWidth="1"/>
    <col min="240" max="249" width="7" bestFit="1" customWidth="1"/>
    <col min="250" max="250" width="6" bestFit="1" customWidth="1"/>
    <col min="251" max="259" width="7" bestFit="1" customWidth="1"/>
    <col min="260" max="260" width="6" bestFit="1" customWidth="1"/>
    <col min="261" max="266" width="7" bestFit="1" customWidth="1"/>
    <col min="267" max="267" width="4" bestFit="1" customWidth="1"/>
    <col min="268" max="272" width="7" bestFit="1" customWidth="1"/>
    <col min="273" max="273" width="6" bestFit="1" customWidth="1"/>
    <col min="274" max="274" width="7" bestFit="1" customWidth="1"/>
    <col min="275" max="275" width="6" bestFit="1" customWidth="1"/>
    <col min="276" max="287" width="7" bestFit="1" customWidth="1"/>
    <col min="288" max="288" width="6" bestFit="1" customWidth="1"/>
    <col min="289" max="294" width="7" bestFit="1" customWidth="1"/>
    <col min="295" max="295" width="4" bestFit="1" customWidth="1"/>
    <col min="296" max="297" width="7" bestFit="1" customWidth="1"/>
    <col min="298" max="298" width="6" bestFit="1" customWidth="1"/>
    <col min="299" max="300" width="7" bestFit="1" customWidth="1"/>
    <col min="301" max="301" width="6" bestFit="1" customWidth="1"/>
    <col min="302" max="302" width="7" bestFit="1" customWidth="1"/>
    <col min="303" max="303" width="6" bestFit="1" customWidth="1"/>
    <col min="304" max="315" width="7" bestFit="1" customWidth="1"/>
    <col min="316" max="316" width="6" bestFit="1" customWidth="1"/>
    <col min="317" max="319" width="7" bestFit="1" customWidth="1"/>
    <col min="320" max="320" width="6" bestFit="1" customWidth="1"/>
    <col min="321" max="331" width="7" bestFit="1" customWidth="1"/>
    <col min="332" max="332" width="6" bestFit="1" customWidth="1"/>
    <col min="333" max="335" width="7" bestFit="1" customWidth="1"/>
    <col min="336" max="336" width="6" bestFit="1" customWidth="1"/>
    <col min="337" max="358" width="7" bestFit="1" customWidth="1"/>
    <col min="359" max="359" width="6" bestFit="1" customWidth="1"/>
    <col min="360" max="360" width="7" bestFit="1" customWidth="1"/>
    <col min="361" max="361" width="6" bestFit="1" customWidth="1"/>
    <col min="362" max="366" width="7" bestFit="1" customWidth="1"/>
    <col min="367" max="367" width="6" bestFit="1" customWidth="1"/>
    <col min="368" max="378" width="7" bestFit="1" customWidth="1"/>
    <col min="379" max="379" width="6" bestFit="1" customWidth="1"/>
    <col min="380" max="380" width="7" bestFit="1" customWidth="1"/>
    <col min="381" max="381" width="4" bestFit="1" customWidth="1"/>
    <col min="382" max="388" width="7" bestFit="1" customWidth="1"/>
    <col min="389" max="389" width="6" bestFit="1" customWidth="1"/>
    <col min="390" max="392" width="7" bestFit="1" customWidth="1"/>
    <col min="393" max="394" width="6" bestFit="1" customWidth="1"/>
    <col min="395" max="398" width="7" bestFit="1" customWidth="1"/>
    <col min="399" max="400" width="6" bestFit="1" customWidth="1"/>
    <col min="401" max="401" width="7" bestFit="1" customWidth="1"/>
    <col min="402" max="402" width="6" bestFit="1" customWidth="1"/>
    <col min="403" max="407" width="7" bestFit="1" customWidth="1"/>
    <col min="408" max="408" width="6" bestFit="1" customWidth="1"/>
    <col min="409" max="409" width="7" bestFit="1" customWidth="1"/>
    <col min="410" max="410" width="6" bestFit="1" customWidth="1"/>
    <col min="411" max="413" width="7" bestFit="1" customWidth="1"/>
    <col min="414" max="414" width="6" bestFit="1" customWidth="1"/>
    <col min="415" max="416" width="7" bestFit="1" customWidth="1"/>
    <col min="417" max="417" width="6" bestFit="1" customWidth="1"/>
    <col min="418" max="420" width="7" bestFit="1" customWidth="1"/>
    <col min="421" max="421" width="6" bestFit="1" customWidth="1"/>
    <col min="422" max="446" width="7" bestFit="1" customWidth="1"/>
    <col min="447" max="447" width="4" bestFit="1" customWidth="1"/>
    <col min="448" max="457" width="7" bestFit="1" customWidth="1"/>
    <col min="458" max="458" width="6" bestFit="1" customWidth="1"/>
    <col min="459" max="465" width="7" bestFit="1" customWidth="1"/>
    <col min="466" max="466" width="4" bestFit="1" customWidth="1"/>
    <col min="467" max="498" width="7" bestFit="1" customWidth="1"/>
    <col min="499" max="499" width="6" bestFit="1" customWidth="1"/>
    <col min="500" max="500" width="7" bestFit="1" customWidth="1"/>
    <col min="501" max="501" width="6" bestFit="1" customWidth="1"/>
    <col min="502" max="502" width="4" bestFit="1" customWidth="1"/>
    <col min="503" max="514" width="7" bestFit="1" customWidth="1"/>
    <col min="515" max="515" width="6" bestFit="1" customWidth="1"/>
    <col min="516" max="517" width="7" bestFit="1" customWidth="1"/>
    <col min="518" max="518" width="6" bestFit="1" customWidth="1"/>
    <col min="519" max="531" width="7" bestFit="1" customWidth="1"/>
    <col min="532" max="532" width="6" bestFit="1" customWidth="1"/>
    <col min="533" max="536" width="7" bestFit="1" customWidth="1"/>
    <col min="537" max="538" width="6" bestFit="1" customWidth="1"/>
    <col min="539" max="539" width="7" bestFit="1" customWidth="1"/>
    <col min="540" max="540" width="4" bestFit="1" customWidth="1"/>
    <col min="541" max="544" width="7" bestFit="1" customWidth="1"/>
    <col min="545" max="545" width="6" bestFit="1" customWidth="1"/>
    <col min="546" max="550" width="7" bestFit="1" customWidth="1"/>
    <col min="551" max="551" width="6" bestFit="1" customWidth="1"/>
    <col min="552" max="559" width="7" bestFit="1" customWidth="1"/>
    <col min="560" max="560" width="6" bestFit="1" customWidth="1"/>
    <col min="561" max="576" width="7" bestFit="1" customWidth="1"/>
    <col min="577" max="577" width="6" bestFit="1" customWidth="1"/>
    <col min="578" max="579" width="7" bestFit="1" customWidth="1"/>
    <col min="580" max="580" width="6" bestFit="1" customWidth="1"/>
    <col min="581" max="614" width="7" bestFit="1" customWidth="1"/>
    <col min="615" max="615" width="6" bestFit="1" customWidth="1"/>
    <col min="616" max="622" width="7" bestFit="1" customWidth="1"/>
    <col min="623" max="623" width="6" bestFit="1" customWidth="1"/>
    <col min="624" max="631" width="7" bestFit="1" customWidth="1"/>
    <col min="632" max="632" width="6" bestFit="1" customWidth="1"/>
    <col min="633" max="635" width="7" bestFit="1" customWidth="1"/>
    <col min="636" max="636" width="6" bestFit="1" customWidth="1"/>
    <col min="637" max="640" width="7" bestFit="1" customWidth="1"/>
    <col min="641" max="641" width="6" bestFit="1" customWidth="1"/>
    <col min="642" max="642" width="7" bestFit="1" customWidth="1"/>
    <col min="643" max="643" width="6" bestFit="1" customWidth="1"/>
    <col min="644" max="651" width="7" bestFit="1" customWidth="1"/>
    <col min="652" max="652" width="6" bestFit="1" customWidth="1"/>
    <col min="653" max="660" width="7" bestFit="1" customWidth="1"/>
    <col min="661" max="661" width="6" bestFit="1" customWidth="1"/>
    <col min="662" max="688" width="7" bestFit="1" customWidth="1"/>
    <col min="689" max="689" width="4" bestFit="1" customWidth="1"/>
    <col min="690" max="705" width="7" bestFit="1" customWidth="1"/>
    <col min="706" max="706" width="6" bestFit="1" customWidth="1"/>
    <col min="707" max="710" width="7" bestFit="1" customWidth="1"/>
    <col min="711" max="711" width="6" bestFit="1" customWidth="1"/>
    <col min="712" max="721" width="7" bestFit="1" customWidth="1"/>
    <col min="722" max="723" width="6" bestFit="1" customWidth="1"/>
    <col min="724" max="768" width="7" bestFit="1" customWidth="1"/>
    <col min="769" max="769" width="6" bestFit="1" customWidth="1"/>
    <col min="770" max="781" width="7" bestFit="1" customWidth="1"/>
    <col min="782" max="782" width="6" bestFit="1" customWidth="1"/>
    <col min="783" max="787" width="7" bestFit="1" customWidth="1"/>
    <col min="788" max="788" width="6" bestFit="1" customWidth="1"/>
    <col min="789" max="812" width="7" bestFit="1" customWidth="1"/>
    <col min="813" max="813" width="6" bestFit="1" customWidth="1"/>
    <col min="814" max="820" width="7" bestFit="1" customWidth="1"/>
    <col min="821" max="821" width="6" bestFit="1" customWidth="1"/>
    <col min="822" max="822" width="7" bestFit="1" customWidth="1"/>
    <col min="823" max="823" width="6" bestFit="1" customWidth="1"/>
    <col min="824" max="857" width="7" bestFit="1" customWidth="1"/>
    <col min="858" max="858" width="4" bestFit="1" customWidth="1"/>
    <col min="859" max="859" width="7" bestFit="1" customWidth="1"/>
    <col min="860" max="860" width="6" bestFit="1" customWidth="1"/>
    <col min="861" max="872" width="7" bestFit="1" customWidth="1"/>
    <col min="873" max="873" width="6" bestFit="1" customWidth="1"/>
    <col min="874" max="879" width="7" bestFit="1" customWidth="1"/>
    <col min="880" max="880" width="6" bestFit="1" customWidth="1"/>
    <col min="881" max="884" width="7" bestFit="1" customWidth="1"/>
    <col min="885" max="885" width="6" bestFit="1" customWidth="1"/>
    <col min="886" max="903" width="7" bestFit="1" customWidth="1"/>
    <col min="904" max="904" width="6" bestFit="1" customWidth="1"/>
    <col min="905" max="907" width="7" bestFit="1" customWidth="1"/>
    <col min="908" max="908" width="6" bestFit="1" customWidth="1"/>
    <col min="909" max="910" width="7" bestFit="1" customWidth="1"/>
    <col min="911" max="911" width="4" bestFit="1" customWidth="1"/>
    <col min="912" max="916" width="7" bestFit="1" customWidth="1"/>
    <col min="917" max="918" width="6" bestFit="1" customWidth="1"/>
    <col min="919" max="932" width="7" bestFit="1" customWidth="1"/>
    <col min="933" max="933" width="6" bestFit="1" customWidth="1"/>
    <col min="934" max="935" width="7" bestFit="1" customWidth="1"/>
    <col min="936" max="936" width="6" bestFit="1" customWidth="1"/>
    <col min="937" max="950" width="7" bestFit="1" customWidth="1"/>
    <col min="951" max="951" width="4" bestFit="1" customWidth="1"/>
    <col min="952" max="957" width="7" bestFit="1" customWidth="1"/>
    <col min="958" max="958" width="6" bestFit="1" customWidth="1"/>
    <col min="959" max="959" width="7" bestFit="1" customWidth="1"/>
    <col min="960" max="960" width="6" bestFit="1" customWidth="1"/>
    <col min="961" max="971" width="7" bestFit="1" customWidth="1"/>
    <col min="972" max="973" width="6" bestFit="1" customWidth="1"/>
    <col min="974" max="981" width="7" bestFit="1" customWidth="1"/>
    <col min="982" max="982" width="6" bestFit="1" customWidth="1"/>
    <col min="983" max="995" width="7" bestFit="1" customWidth="1"/>
    <col min="996" max="996" width="6" bestFit="1" customWidth="1"/>
    <col min="997" max="1000" width="7" bestFit="1" customWidth="1"/>
    <col min="1001" max="1001" width="6" bestFit="1" customWidth="1"/>
    <col min="1002" max="1013" width="7" bestFit="1" customWidth="1"/>
    <col min="1014" max="1014" width="6" bestFit="1" customWidth="1"/>
    <col min="1015" max="1029" width="7" bestFit="1" customWidth="1"/>
    <col min="1030" max="1030" width="4" bestFit="1" customWidth="1"/>
    <col min="1031" max="1033" width="7" bestFit="1" customWidth="1"/>
    <col min="1034" max="1034" width="6" bestFit="1" customWidth="1"/>
    <col min="1035" max="1036" width="7" bestFit="1" customWidth="1"/>
    <col min="1037" max="1037" width="6" bestFit="1" customWidth="1"/>
    <col min="1038" max="1054" width="7" bestFit="1" customWidth="1"/>
    <col min="1055" max="1055" width="6" bestFit="1" customWidth="1"/>
    <col min="1056" max="1072" width="7" bestFit="1" customWidth="1"/>
    <col min="1073" max="1073" width="6" bestFit="1" customWidth="1"/>
    <col min="1074" max="1090" width="7" bestFit="1" customWidth="1"/>
    <col min="1091" max="1091" width="4" bestFit="1" customWidth="1"/>
    <col min="1092" max="1105" width="7" bestFit="1" customWidth="1"/>
    <col min="1106" max="1106" width="6" bestFit="1" customWidth="1"/>
    <col min="1107" max="1108" width="7" bestFit="1" customWidth="1"/>
    <col min="1109" max="1109" width="4" bestFit="1" customWidth="1"/>
    <col min="1110" max="1116" width="7" bestFit="1" customWidth="1"/>
    <col min="1117" max="1117" width="6" bestFit="1" customWidth="1"/>
    <col min="1118" max="1135" width="7" bestFit="1" customWidth="1"/>
    <col min="1136" max="1136" width="6" bestFit="1" customWidth="1"/>
    <col min="1137" max="1146" width="7" bestFit="1" customWidth="1"/>
    <col min="1147" max="1147" width="6" bestFit="1" customWidth="1"/>
    <col min="1148" max="1152" width="7" bestFit="1" customWidth="1"/>
    <col min="1153" max="1153" width="6" bestFit="1" customWidth="1"/>
    <col min="1154" max="1159" width="7" bestFit="1" customWidth="1"/>
    <col min="1160" max="1160" width="6" bestFit="1" customWidth="1"/>
    <col min="1161" max="1169" width="7" bestFit="1" customWidth="1"/>
    <col min="1170" max="1170" width="6" bestFit="1" customWidth="1"/>
    <col min="1171" max="1181" width="7" bestFit="1" customWidth="1"/>
    <col min="1182" max="1182" width="6" bestFit="1" customWidth="1"/>
    <col min="1183" max="1188" width="7" bestFit="1" customWidth="1"/>
    <col min="1189" max="1189" width="6" bestFit="1" customWidth="1"/>
    <col min="1190" max="1195" width="7" bestFit="1" customWidth="1"/>
    <col min="1196" max="1196" width="6" bestFit="1" customWidth="1"/>
    <col min="1197" max="1246" width="7" bestFit="1" customWidth="1"/>
    <col min="1247" max="1247" width="6" bestFit="1" customWidth="1"/>
    <col min="1248" max="1260" width="7" bestFit="1" customWidth="1"/>
    <col min="1261" max="1261" width="6" bestFit="1" customWidth="1"/>
    <col min="1262" max="1270" width="7" bestFit="1" customWidth="1"/>
    <col min="1271" max="1271" width="6" bestFit="1" customWidth="1"/>
    <col min="1272" max="1273" width="7" bestFit="1" customWidth="1"/>
    <col min="1274" max="1274" width="6" bestFit="1" customWidth="1"/>
    <col min="1275" max="1285" width="7" bestFit="1" customWidth="1"/>
    <col min="1286" max="1286" width="6" bestFit="1" customWidth="1"/>
    <col min="1287" max="1308" width="7" bestFit="1" customWidth="1"/>
    <col min="1309" max="1309" width="6" bestFit="1" customWidth="1"/>
    <col min="1310" max="1312" width="7" bestFit="1" customWidth="1"/>
    <col min="1313" max="1314" width="6" bestFit="1" customWidth="1"/>
    <col min="1315" max="1316" width="7" bestFit="1" customWidth="1"/>
    <col min="1317" max="1317" width="6" bestFit="1" customWidth="1"/>
    <col min="1318" max="1319" width="7" bestFit="1" customWidth="1"/>
    <col min="1320" max="1320" width="6" bestFit="1" customWidth="1"/>
    <col min="1321" max="1327" width="7" bestFit="1" customWidth="1"/>
    <col min="1328" max="1328" width="6" bestFit="1" customWidth="1"/>
    <col min="1329" max="1329" width="7" bestFit="1" customWidth="1"/>
    <col min="1330" max="1330" width="6" bestFit="1" customWidth="1"/>
    <col min="1331" max="1337" width="7" bestFit="1" customWidth="1"/>
    <col min="1338" max="1338" width="6" bestFit="1" customWidth="1"/>
    <col min="1339" max="1339" width="7" bestFit="1" customWidth="1"/>
    <col min="1340" max="1340" width="6" bestFit="1" customWidth="1"/>
    <col min="1341" max="1364" width="7" bestFit="1" customWidth="1"/>
    <col min="1365" max="1365" width="6" bestFit="1" customWidth="1"/>
    <col min="1366" max="1382" width="7" bestFit="1" customWidth="1"/>
    <col min="1383" max="1383" width="4" bestFit="1" customWidth="1"/>
    <col min="1384" max="1384" width="6" bestFit="1" customWidth="1"/>
    <col min="1385" max="1385" width="7" bestFit="1" customWidth="1"/>
    <col min="1386" max="1386" width="6" bestFit="1" customWidth="1"/>
    <col min="1387" max="1392" width="7" bestFit="1" customWidth="1"/>
    <col min="1393" max="1393" width="4" bestFit="1" customWidth="1"/>
    <col min="1394" max="1415" width="7" bestFit="1" customWidth="1"/>
    <col min="1416" max="1416" width="4" bestFit="1" customWidth="1"/>
    <col min="1417" max="1417" width="7" bestFit="1" customWidth="1"/>
    <col min="1418" max="1418" width="6" bestFit="1" customWidth="1"/>
    <col min="1419" max="1423" width="7" bestFit="1" customWidth="1"/>
    <col min="1424" max="1424" width="4" bestFit="1" customWidth="1"/>
    <col min="1425" max="1480" width="7" bestFit="1" customWidth="1"/>
    <col min="1481" max="1481" width="6" bestFit="1" customWidth="1"/>
    <col min="1482" max="1498" width="7" bestFit="1" customWidth="1"/>
    <col min="1499" max="1500" width="6" bestFit="1" customWidth="1"/>
    <col min="1501" max="1503" width="7" bestFit="1" customWidth="1"/>
    <col min="1504" max="1504" width="6" bestFit="1" customWidth="1"/>
    <col min="1505" max="1515" width="7" bestFit="1" customWidth="1"/>
    <col min="1516" max="1516" width="6" bestFit="1" customWidth="1"/>
    <col min="1517" max="1523" width="7" bestFit="1" customWidth="1"/>
    <col min="1524" max="1524" width="6" bestFit="1" customWidth="1"/>
    <col min="1525" max="1528" width="7" bestFit="1" customWidth="1"/>
    <col min="1529" max="1529" width="6" bestFit="1" customWidth="1"/>
    <col min="1530" max="1535" width="7" bestFit="1" customWidth="1"/>
    <col min="1536" max="1536" width="4" bestFit="1" customWidth="1"/>
    <col min="1537" max="1539" width="7" bestFit="1" customWidth="1"/>
    <col min="1540" max="1540" width="6" bestFit="1" customWidth="1"/>
    <col min="1541" max="1567" width="7" bestFit="1" customWidth="1"/>
    <col min="1568" max="1568" width="6" bestFit="1" customWidth="1"/>
    <col min="1569" max="1571" width="7" bestFit="1" customWidth="1"/>
    <col min="1572" max="1572" width="6" bestFit="1" customWidth="1"/>
    <col min="1573" max="1576" width="7" bestFit="1" customWidth="1"/>
    <col min="1577" max="1577" width="4" bestFit="1" customWidth="1"/>
    <col min="1578" max="1584" width="7" bestFit="1" customWidth="1"/>
    <col min="1585" max="1585" width="6" bestFit="1" customWidth="1"/>
    <col min="1586" max="1588" width="7" bestFit="1" customWidth="1"/>
    <col min="1589" max="1589" width="6" bestFit="1" customWidth="1"/>
    <col min="1590" max="1599" width="7" bestFit="1" customWidth="1"/>
    <col min="1600" max="1600" width="6" bestFit="1" customWidth="1"/>
    <col min="1601" max="1616" width="7" bestFit="1" customWidth="1"/>
    <col min="1617" max="1617" width="6" bestFit="1" customWidth="1"/>
    <col min="1618" max="1632" width="7" bestFit="1" customWidth="1"/>
    <col min="1633" max="1633" width="6" bestFit="1" customWidth="1"/>
    <col min="1634" max="1636" width="7" bestFit="1" customWidth="1"/>
    <col min="1637" max="1637" width="6" bestFit="1" customWidth="1"/>
    <col min="1638" max="1643" width="7" bestFit="1" customWidth="1"/>
    <col min="1644" max="1644" width="6" bestFit="1" customWidth="1"/>
    <col min="1645" max="1645" width="7" bestFit="1" customWidth="1"/>
    <col min="1646" max="1646" width="6" bestFit="1" customWidth="1"/>
    <col min="1647" max="1647" width="7" bestFit="1" customWidth="1"/>
    <col min="1648" max="1648" width="6" bestFit="1" customWidth="1"/>
    <col min="1649" max="1654" width="7" bestFit="1" customWidth="1"/>
    <col min="1655" max="1655" width="6" bestFit="1" customWidth="1"/>
    <col min="1656" max="1657" width="7" bestFit="1" customWidth="1"/>
    <col min="1658" max="1658" width="4" bestFit="1" customWidth="1"/>
    <col min="1659" max="1667" width="7" bestFit="1" customWidth="1"/>
    <col min="1668" max="1668" width="6" bestFit="1" customWidth="1"/>
    <col min="1669" max="1669" width="7" bestFit="1" customWidth="1"/>
    <col min="1670" max="1670" width="6" bestFit="1" customWidth="1"/>
    <col min="1671" max="1679" width="7" bestFit="1" customWidth="1"/>
    <col min="1680" max="1680" width="6" bestFit="1" customWidth="1"/>
    <col min="1681" max="1689" width="7" bestFit="1" customWidth="1"/>
    <col min="1690" max="1690" width="6" bestFit="1" customWidth="1"/>
    <col min="1691" max="1698" width="7" bestFit="1" customWidth="1"/>
    <col min="1699" max="1699" width="4" bestFit="1" customWidth="1"/>
    <col min="1700" max="1714" width="7" bestFit="1" customWidth="1"/>
    <col min="1715" max="1715" width="6" bestFit="1" customWidth="1"/>
    <col min="1716" max="1724" width="7" bestFit="1" customWidth="1"/>
    <col min="1725" max="1725" width="6" bestFit="1" customWidth="1"/>
    <col min="1726" max="1728" width="7" bestFit="1" customWidth="1"/>
    <col min="1729" max="1729" width="4" bestFit="1" customWidth="1"/>
    <col min="1730" max="1744" width="7" bestFit="1" customWidth="1"/>
    <col min="1745" max="1745" width="6" bestFit="1" customWidth="1"/>
    <col min="1746" max="1764" width="7" bestFit="1" customWidth="1"/>
    <col min="1765" max="1765" width="6" bestFit="1" customWidth="1"/>
    <col min="1766" max="1767" width="7" bestFit="1" customWidth="1"/>
    <col min="1768" max="1768" width="6" bestFit="1" customWidth="1"/>
    <col min="1769" max="1769" width="7" bestFit="1" customWidth="1"/>
    <col min="1770" max="1770" width="4" bestFit="1" customWidth="1"/>
    <col min="1771" max="1779" width="7" bestFit="1" customWidth="1"/>
    <col min="1780" max="1780" width="6" bestFit="1" customWidth="1"/>
    <col min="1781" max="1792" width="7" bestFit="1" customWidth="1"/>
    <col min="1793" max="1793" width="6" bestFit="1" customWidth="1"/>
    <col min="1794" max="1804" width="7" bestFit="1" customWidth="1"/>
    <col min="1805" max="1805" width="4" bestFit="1" customWidth="1"/>
    <col min="1806" max="1813" width="7" bestFit="1" customWidth="1"/>
    <col min="1814" max="1814" width="6" bestFit="1" customWidth="1"/>
    <col min="1815" max="1831" width="7" bestFit="1" customWidth="1"/>
    <col min="1832" max="1832" width="6" bestFit="1" customWidth="1"/>
    <col min="1833" max="1849" width="7" bestFit="1" customWidth="1"/>
    <col min="1850" max="1850" width="6" bestFit="1" customWidth="1"/>
    <col min="1851" max="1887" width="7" bestFit="1" customWidth="1"/>
    <col min="1888" max="1888" width="6" bestFit="1" customWidth="1"/>
    <col min="1889" max="1899" width="7" bestFit="1" customWidth="1"/>
    <col min="1900" max="1900" width="4" bestFit="1" customWidth="1"/>
    <col min="1901" max="1901" width="10.77734375" bestFit="1" customWidth="1"/>
  </cols>
  <sheetData>
    <row r="3" spans="1:11" x14ac:dyDescent="0.3">
      <c r="A3" s="11" t="s">
        <v>1994</v>
      </c>
      <c r="B3" t="s">
        <v>1996</v>
      </c>
      <c r="D3" s="11" t="s">
        <v>1994</v>
      </c>
      <c r="E3" t="s">
        <v>1997</v>
      </c>
      <c r="G3" s="11" t="s">
        <v>1994</v>
      </c>
      <c r="H3" t="s">
        <v>1998</v>
      </c>
      <c r="J3" s="11" t="s">
        <v>1994</v>
      </c>
      <c r="K3" t="s">
        <v>1999</v>
      </c>
    </row>
    <row r="4" spans="1:11" x14ac:dyDescent="0.3">
      <c r="A4" s="12" t="s">
        <v>18</v>
      </c>
      <c r="B4">
        <v>703.93540462427745</v>
      </c>
      <c r="D4" s="12" t="s">
        <v>18</v>
      </c>
      <c r="E4">
        <v>31515136.019999996</v>
      </c>
      <c r="G4" s="12">
        <v>1</v>
      </c>
      <c r="H4">
        <v>0.40748402366863884</v>
      </c>
      <c r="J4" s="12">
        <v>1</v>
      </c>
      <c r="K4">
        <v>724</v>
      </c>
    </row>
    <row r="5" spans="1:11" x14ac:dyDescent="0.3">
      <c r="A5" s="12" t="s">
        <v>15</v>
      </c>
      <c r="B5">
        <v>699.60393442622967</v>
      </c>
      <c r="D5" s="12" t="s">
        <v>15</v>
      </c>
      <c r="E5">
        <v>26121545.669999994</v>
      </c>
      <c r="G5" s="12">
        <v>2</v>
      </c>
      <c r="H5">
        <v>0.39161715006305131</v>
      </c>
      <c r="J5" s="12">
        <v>2</v>
      </c>
      <c r="K5">
        <v>777</v>
      </c>
    </row>
    <row r="6" spans="1:11" x14ac:dyDescent="0.3">
      <c r="A6" s="12" t="s">
        <v>4</v>
      </c>
      <c r="B6">
        <v>697.34906626506006</v>
      </c>
      <c r="D6" s="12" t="s">
        <v>4</v>
      </c>
      <c r="E6">
        <v>29048488.249999989</v>
      </c>
      <c r="G6" s="12">
        <v>3</v>
      </c>
      <c r="H6">
        <v>0.39917823834196919</v>
      </c>
      <c r="J6" s="12">
        <v>3</v>
      </c>
      <c r="K6">
        <v>398</v>
      </c>
    </row>
    <row r="7" spans="1:11" x14ac:dyDescent="0.3">
      <c r="A7" s="12" t="s">
        <v>6</v>
      </c>
      <c r="B7">
        <v>705.19068376068378</v>
      </c>
      <c r="D7" s="12" t="s">
        <v>6</v>
      </c>
      <c r="E7">
        <v>31703936.760000009</v>
      </c>
      <c r="G7" s="12" t="s">
        <v>1995</v>
      </c>
      <c r="H7">
        <v>0.40039129999999978</v>
      </c>
      <c r="J7" s="12">
        <v>4</v>
      </c>
      <c r="K7">
        <v>101</v>
      </c>
    </row>
    <row r="8" spans="1:11" x14ac:dyDescent="0.3">
      <c r="A8" s="12" t="s">
        <v>1</v>
      </c>
      <c r="B8">
        <v>699.92692537313485</v>
      </c>
      <c r="D8" s="12" t="s">
        <v>1</v>
      </c>
      <c r="E8">
        <v>30615469.169999994</v>
      </c>
      <c r="J8" s="12" t="s">
        <v>1995</v>
      </c>
      <c r="K8">
        <v>2000</v>
      </c>
    </row>
    <row r="9" spans="1:11" x14ac:dyDescent="0.3">
      <c r="A9" s="12" t="s">
        <v>9</v>
      </c>
      <c r="B9">
        <v>697.21087613293037</v>
      </c>
      <c r="D9" s="12" t="s">
        <v>9</v>
      </c>
      <c r="E9">
        <v>29922550.849999998</v>
      </c>
    </row>
    <row r="10" spans="1:11" x14ac:dyDescent="0.3">
      <c r="A10" s="12" t="s">
        <v>1995</v>
      </c>
      <c r="B10">
        <v>700.61749500000087</v>
      </c>
      <c r="D10" s="12" t="s">
        <v>1995</v>
      </c>
      <c r="E10">
        <v>178927126.71999997</v>
      </c>
    </row>
    <row r="13" spans="1:11" x14ac:dyDescent="0.3">
      <c r="A13" s="11" t="s">
        <v>1994</v>
      </c>
      <c r="B13" t="s">
        <v>2000</v>
      </c>
      <c r="D13" s="11" t="s">
        <v>1994</v>
      </c>
      <c r="E13" t="s">
        <v>2001</v>
      </c>
      <c r="G13" s="11" t="s">
        <v>1994</v>
      </c>
      <c r="H13" t="s">
        <v>1996</v>
      </c>
    </row>
    <row r="14" spans="1:11" x14ac:dyDescent="0.3">
      <c r="A14" s="12" t="s">
        <v>18</v>
      </c>
      <c r="B14">
        <v>0.6820494219653187</v>
      </c>
      <c r="D14" s="12">
        <v>21</v>
      </c>
      <c r="E14">
        <v>2.21875</v>
      </c>
      <c r="G14" s="12">
        <v>0</v>
      </c>
      <c r="H14">
        <v>701.38604651162791</v>
      </c>
    </row>
    <row r="15" spans="1:11" x14ac:dyDescent="0.3">
      <c r="A15" s="12" t="s">
        <v>15</v>
      </c>
      <c r="B15">
        <v>0.70991836065573788</v>
      </c>
      <c r="D15" s="12">
        <v>22</v>
      </c>
      <c r="E15">
        <v>2.5249999999999999</v>
      </c>
      <c r="G15" s="12">
        <v>1</v>
      </c>
      <c r="H15">
        <v>699.00912043301764</v>
      </c>
    </row>
    <row r="16" spans="1:11" x14ac:dyDescent="0.3">
      <c r="A16" s="12" t="s">
        <v>4</v>
      </c>
      <c r="B16">
        <v>0.70449337349397567</v>
      </c>
      <c r="D16" s="12">
        <v>23</v>
      </c>
      <c r="E16">
        <v>2.4358974358974357</v>
      </c>
      <c r="G16" s="12">
        <v>2</v>
      </c>
      <c r="H16">
        <v>704.16672185430423</v>
      </c>
    </row>
    <row r="17" spans="1:11" x14ac:dyDescent="0.3">
      <c r="A17" s="12" t="s">
        <v>6</v>
      </c>
      <c r="B17">
        <v>0.70319800569800539</v>
      </c>
      <c r="D17" s="12">
        <v>24</v>
      </c>
      <c r="E17">
        <v>2.8823529411764706</v>
      </c>
      <c r="G17" s="12">
        <v>3</v>
      </c>
      <c r="H17">
        <v>695.1202020202021</v>
      </c>
    </row>
    <row r="18" spans="1:11" x14ac:dyDescent="0.3">
      <c r="A18" s="12" t="s">
        <v>1</v>
      </c>
      <c r="B18">
        <v>0.68508029850746255</v>
      </c>
      <c r="D18" s="12">
        <v>25</v>
      </c>
      <c r="E18">
        <v>2.3333333333333335</v>
      </c>
      <c r="G18" s="12" t="s">
        <v>1995</v>
      </c>
      <c r="H18">
        <v>700.61749500000076</v>
      </c>
    </row>
    <row r="19" spans="1:11" x14ac:dyDescent="0.3">
      <c r="A19" s="12" t="s">
        <v>9</v>
      </c>
      <c r="B19">
        <v>0.68632054380664642</v>
      </c>
      <c r="D19" s="12">
        <v>26</v>
      </c>
      <c r="E19">
        <v>2.2857142857142856</v>
      </c>
    </row>
    <row r="20" spans="1:11" x14ac:dyDescent="0.3">
      <c r="A20" s="12" t="s">
        <v>1995</v>
      </c>
      <c r="B20">
        <v>0.69495125000000058</v>
      </c>
      <c r="D20" s="12">
        <v>27</v>
      </c>
      <c r="E20">
        <v>3.2765957446808511</v>
      </c>
    </row>
    <row r="21" spans="1:11" x14ac:dyDescent="0.3">
      <c r="D21" s="12">
        <v>28</v>
      </c>
      <c r="E21">
        <v>2.847826086956522</v>
      </c>
    </row>
    <row r="22" spans="1:11" x14ac:dyDescent="0.3">
      <c r="D22" s="12">
        <v>29</v>
      </c>
      <c r="E22">
        <v>2.9777777777777779</v>
      </c>
    </row>
    <row r="23" spans="1:11" x14ac:dyDescent="0.3">
      <c r="D23" s="12">
        <v>30</v>
      </c>
      <c r="E23">
        <v>2.6</v>
      </c>
      <c r="G23" s="11" t="s">
        <v>1994</v>
      </c>
      <c r="H23" t="s">
        <v>2002</v>
      </c>
      <c r="J23" s="11" t="s">
        <v>1994</v>
      </c>
      <c r="K23" t="s">
        <v>2045</v>
      </c>
    </row>
    <row r="24" spans="1:11" x14ac:dyDescent="0.3">
      <c r="D24" s="12">
        <v>31</v>
      </c>
      <c r="E24">
        <v>2.3714285714285714</v>
      </c>
      <c r="G24" s="12">
        <v>0</v>
      </c>
      <c r="H24">
        <v>92.237597911227155</v>
      </c>
      <c r="J24" s="12">
        <v>0</v>
      </c>
      <c r="K24" s="37">
        <v>79020</v>
      </c>
    </row>
    <row r="25" spans="1:11" x14ac:dyDescent="0.3">
      <c r="D25" s="12">
        <v>32</v>
      </c>
      <c r="E25">
        <v>2.5897435897435899</v>
      </c>
      <c r="G25" s="12">
        <v>1</v>
      </c>
      <c r="H25">
        <v>94.270588235294113</v>
      </c>
      <c r="J25" s="12">
        <v>1</v>
      </c>
      <c r="K25" s="37">
        <v>69186</v>
      </c>
    </row>
    <row r="26" spans="1:11" x14ac:dyDescent="0.3">
      <c r="D26" s="12">
        <v>33</v>
      </c>
      <c r="E26">
        <v>2.2888888888888888</v>
      </c>
      <c r="G26" s="12" t="s">
        <v>1995</v>
      </c>
      <c r="H26">
        <v>92.323999999999998</v>
      </c>
      <c r="J26" s="12">
        <v>2</v>
      </c>
      <c r="K26" s="37">
        <v>28340</v>
      </c>
    </row>
    <row r="27" spans="1:11" x14ac:dyDescent="0.3">
      <c r="D27" s="12">
        <v>34</v>
      </c>
      <c r="E27">
        <v>3.074074074074074</v>
      </c>
      <c r="J27" s="12">
        <v>3</v>
      </c>
      <c r="K27" s="37">
        <v>8102</v>
      </c>
    </row>
    <row r="28" spans="1:11" x14ac:dyDescent="0.3">
      <c r="D28" s="12">
        <v>35</v>
      </c>
      <c r="E28">
        <v>2.3255813953488373</v>
      </c>
      <c r="J28" s="12" t="s">
        <v>1995</v>
      </c>
      <c r="K28" s="37">
        <v>184648</v>
      </c>
    </row>
    <row r="29" spans="1:11" x14ac:dyDescent="0.3">
      <c r="D29" s="12">
        <v>36</v>
      </c>
      <c r="E29">
        <v>2.3142857142857145</v>
      </c>
    </row>
    <row r="30" spans="1:11" x14ac:dyDescent="0.3">
      <c r="D30" s="12">
        <v>37</v>
      </c>
      <c r="E30">
        <v>2.5862068965517242</v>
      </c>
      <c r="G30" s="11" t="s">
        <v>1994</v>
      </c>
      <c r="H30" t="s">
        <v>2048</v>
      </c>
      <c r="J30" t="s">
        <v>2047</v>
      </c>
      <c r="K30" t="s">
        <v>2046</v>
      </c>
    </row>
    <row r="31" spans="1:11" x14ac:dyDescent="0.3">
      <c r="D31" s="12">
        <v>38</v>
      </c>
      <c r="E31">
        <v>2.4255319148936172</v>
      </c>
      <c r="G31" s="12" t="s">
        <v>18</v>
      </c>
      <c r="H31" s="37">
        <v>235.98910000000001</v>
      </c>
      <c r="J31" s="37">
        <v>3876</v>
      </c>
      <c r="K31" s="37">
        <v>1401234.9899999995</v>
      </c>
    </row>
    <row r="32" spans="1:11" x14ac:dyDescent="0.3">
      <c r="D32" s="12">
        <v>39</v>
      </c>
      <c r="E32">
        <v>2.1538461538461537</v>
      </c>
      <c r="G32" s="12" t="s">
        <v>15</v>
      </c>
      <c r="H32" s="37">
        <v>216.52510000000001</v>
      </c>
    </row>
    <row r="33" spans="4:8" x14ac:dyDescent="0.3">
      <c r="D33" s="12">
        <v>40</v>
      </c>
      <c r="E33">
        <v>2.3095238095238093</v>
      </c>
      <c r="G33" s="12" t="s">
        <v>4</v>
      </c>
      <c r="H33" s="37">
        <v>233.89179999999999</v>
      </c>
    </row>
    <row r="34" spans="4:8" x14ac:dyDescent="0.3">
      <c r="D34" s="12">
        <v>41</v>
      </c>
      <c r="E34">
        <v>3</v>
      </c>
      <c r="G34" s="12" t="s">
        <v>6</v>
      </c>
      <c r="H34" s="37">
        <v>246.82249999999999</v>
      </c>
    </row>
    <row r="35" spans="4:8" x14ac:dyDescent="0.3">
      <c r="D35" s="12">
        <v>42</v>
      </c>
      <c r="E35">
        <v>3.096774193548387</v>
      </c>
      <c r="G35" s="12" t="s">
        <v>1</v>
      </c>
      <c r="H35" s="37">
        <v>229.50190000000001</v>
      </c>
    </row>
    <row r="36" spans="4:8" x14ac:dyDescent="0.3">
      <c r="D36" s="12">
        <v>43</v>
      </c>
      <c r="E36">
        <v>2.1</v>
      </c>
      <c r="G36" s="12" t="s">
        <v>9</v>
      </c>
      <c r="H36" s="37">
        <v>227.1721</v>
      </c>
    </row>
    <row r="37" spans="4:8" x14ac:dyDescent="0.3">
      <c r="D37" s="12">
        <v>44</v>
      </c>
      <c r="E37">
        <v>3.1</v>
      </c>
      <c r="G37" s="12" t="s">
        <v>1995</v>
      </c>
      <c r="H37" s="37">
        <v>1389.9024999999999</v>
      </c>
    </row>
    <row r="38" spans="4:8" x14ac:dyDescent="0.3">
      <c r="D38" s="12">
        <v>45</v>
      </c>
      <c r="E38">
        <v>3</v>
      </c>
    </row>
    <row r="39" spans="4:8" x14ac:dyDescent="0.3">
      <c r="D39" s="12">
        <v>46</v>
      </c>
      <c r="E39">
        <v>2.8541666666666665</v>
      </c>
    </row>
    <row r="40" spans="4:8" x14ac:dyDescent="0.3">
      <c r="D40" s="12">
        <v>47</v>
      </c>
      <c r="E40">
        <v>2.4772727272727271</v>
      </c>
    </row>
    <row r="41" spans="4:8" x14ac:dyDescent="0.3">
      <c r="D41" s="12">
        <v>48</v>
      </c>
      <c r="E41">
        <v>2.7894736842105261</v>
      </c>
    </row>
    <row r="42" spans="4:8" x14ac:dyDescent="0.3">
      <c r="D42" s="12">
        <v>49</v>
      </c>
      <c r="E42">
        <v>2.1749999999999998</v>
      </c>
    </row>
    <row r="43" spans="4:8" x14ac:dyDescent="0.3">
      <c r="D43" s="12">
        <v>50</v>
      </c>
      <c r="E43">
        <v>2.8666666666666667</v>
      </c>
    </row>
    <row r="44" spans="4:8" x14ac:dyDescent="0.3">
      <c r="D44" s="12">
        <v>51</v>
      </c>
      <c r="E44">
        <v>2.3953488372093021</v>
      </c>
    </row>
    <row r="45" spans="4:8" x14ac:dyDescent="0.3">
      <c r="D45" s="12">
        <v>52</v>
      </c>
      <c r="E45">
        <v>2.2173913043478262</v>
      </c>
    </row>
    <row r="46" spans="4:8" x14ac:dyDescent="0.3">
      <c r="D46" s="12">
        <v>53</v>
      </c>
      <c r="E46">
        <v>2.5249999999999999</v>
      </c>
    </row>
    <row r="47" spans="4:8" x14ac:dyDescent="0.3">
      <c r="D47" s="12">
        <v>54</v>
      </c>
      <c r="E47">
        <v>2.4705882352941178</v>
      </c>
    </row>
    <row r="48" spans="4:8" x14ac:dyDescent="0.3">
      <c r="D48" s="12">
        <v>55</v>
      </c>
      <c r="E48">
        <v>2.7</v>
      </c>
    </row>
    <row r="49" spans="4:5" x14ac:dyDescent="0.3">
      <c r="D49" s="12">
        <v>56</v>
      </c>
      <c r="E49">
        <v>2.9249999999999998</v>
      </c>
    </row>
    <row r="50" spans="4:5" x14ac:dyDescent="0.3">
      <c r="D50" s="12">
        <v>57</v>
      </c>
      <c r="E50">
        <v>2.5853658536585367</v>
      </c>
    </row>
    <row r="51" spans="4:5" x14ac:dyDescent="0.3">
      <c r="D51" s="12">
        <v>58</v>
      </c>
      <c r="E51">
        <v>2.875</v>
      </c>
    </row>
    <row r="52" spans="4:5" x14ac:dyDescent="0.3">
      <c r="D52" s="12">
        <v>59</v>
      </c>
      <c r="E52">
        <v>2.2432432432432434</v>
      </c>
    </row>
    <row r="53" spans="4:5" x14ac:dyDescent="0.3">
      <c r="D53" s="12">
        <v>60</v>
      </c>
      <c r="E53">
        <v>2.7857142857142856</v>
      </c>
    </row>
    <row r="54" spans="4:5" x14ac:dyDescent="0.3">
      <c r="D54" s="12">
        <v>61</v>
      </c>
      <c r="E54">
        <v>2.4893617021276597</v>
      </c>
    </row>
    <row r="55" spans="4:5" x14ac:dyDescent="0.3">
      <c r="D55" s="12">
        <v>62</v>
      </c>
      <c r="E55">
        <v>2.7435897435897436</v>
      </c>
    </row>
    <row r="56" spans="4:5" x14ac:dyDescent="0.3">
      <c r="D56" s="12">
        <v>63</v>
      </c>
      <c r="E56">
        <v>2.7727272727272729</v>
      </c>
    </row>
    <row r="57" spans="4:5" x14ac:dyDescent="0.3">
      <c r="D57" s="12">
        <v>64</v>
      </c>
      <c r="E57">
        <v>3</v>
      </c>
    </row>
    <row r="58" spans="4:5" x14ac:dyDescent="0.3">
      <c r="D58" s="12">
        <v>65</v>
      </c>
      <c r="E58">
        <v>2.6470588235294117</v>
      </c>
    </row>
    <row r="59" spans="4:5" x14ac:dyDescent="0.3">
      <c r="D59" s="12">
        <v>66</v>
      </c>
      <c r="E59">
        <v>2.2894736842105261</v>
      </c>
    </row>
    <row r="60" spans="4:5" x14ac:dyDescent="0.3">
      <c r="D60" s="12">
        <v>67</v>
      </c>
      <c r="E60">
        <v>2.5526315789473686</v>
      </c>
    </row>
    <row r="61" spans="4:5" x14ac:dyDescent="0.3">
      <c r="D61" s="12">
        <v>68</v>
      </c>
      <c r="E61">
        <v>2.8163265306122449</v>
      </c>
    </row>
    <row r="62" spans="4:5" x14ac:dyDescent="0.3">
      <c r="D62" s="12">
        <v>69</v>
      </c>
      <c r="E62">
        <v>3.15</v>
      </c>
    </row>
    <row r="63" spans="4:5" x14ac:dyDescent="0.3">
      <c r="D63" s="12">
        <v>70</v>
      </c>
      <c r="E63">
        <v>2.4</v>
      </c>
    </row>
    <row r="64" spans="4:5" x14ac:dyDescent="0.3">
      <c r="D64" s="12" t="s">
        <v>1995</v>
      </c>
      <c r="E64">
        <v>2.6190000000000002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4A1A-DE70-407D-9AAB-5DECB863DF1A}">
  <dimension ref="A1"/>
  <sheetViews>
    <sheetView tabSelected="1" workbookViewId="0">
      <selection activeCell="V2" sqref="V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1C03-4176-4C26-A0C2-4BF39890F388}">
  <dimension ref="B2:S20"/>
  <sheetViews>
    <sheetView workbookViewId="0">
      <selection activeCell="K24" sqref="K24"/>
    </sheetView>
  </sheetViews>
  <sheetFormatPr defaultRowHeight="14.4" x14ac:dyDescent="0.3"/>
  <cols>
    <col min="1" max="1" width="4.77734375" customWidth="1"/>
    <col min="9" max="9" width="27.33203125" customWidth="1"/>
    <col min="19" max="19" width="35.44140625" customWidth="1"/>
  </cols>
  <sheetData>
    <row r="2" spans="2:19" ht="15" thickBot="1" x14ac:dyDescent="0.35"/>
    <row r="3" spans="2:19" x14ac:dyDescent="0.3">
      <c r="B3" s="13"/>
      <c r="C3" s="29" t="s">
        <v>2009</v>
      </c>
      <c r="D3" s="29"/>
      <c r="E3" s="29"/>
      <c r="F3" s="29"/>
      <c r="G3" s="29"/>
      <c r="H3" s="14"/>
      <c r="I3" s="15"/>
      <c r="L3" s="30" t="s">
        <v>2012</v>
      </c>
      <c r="M3" s="31"/>
      <c r="N3" s="31"/>
      <c r="O3" s="31"/>
      <c r="P3" s="31"/>
      <c r="Q3" s="31"/>
      <c r="R3" s="31"/>
      <c r="S3" s="32"/>
    </row>
    <row r="4" spans="2:19" ht="15" thickBot="1" x14ac:dyDescent="0.35">
      <c r="B4" s="33" t="s">
        <v>2003</v>
      </c>
      <c r="C4" s="34"/>
      <c r="D4" s="34"/>
      <c r="E4" s="34"/>
      <c r="F4" s="34"/>
      <c r="G4" s="34"/>
      <c r="H4" s="34"/>
      <c r="I4" s="35"/>
      <c r="L4" s="33" t="s">
        <v>2014</v>
      </c>
      <c r="M4" s="34"/>
      <c r="N4" s="34"/>
      <c r="O4" s="34"/>
      <c r="P4" s="34"/>
      <c r="Q4" s="34"/>
      <c r="R4" s="34"/>
      <c r="S4" s="35"/>
    </row>
    <row r="5" spans="2:19" x14ac:dyDescent="0.3">
      <c r="C5" s="16"/>
      <c r="D5" s="16"/>
      <c r="E5" s="16"/>
      <c r="F5" s="16"/>
      <c r="G5" s="16"/>
      <c r="H5" s="16"/>
      <c r="I5" s="17"/>
    </row>
    <row r="6" spans="2:19" ht="15" thickBot="1" x14ac:dyDescent="0.35"/>
    <row r="7" spans="2:19" x14ac:dyDescent="0.3">
      <c r="B7" s="30" t="s">
        <v>2008</v>
      </c>
      <c r="C7" s="31"/>
      <c r="D7" s="31"/>
      <c r="E7" s="31"/>
      <c r="F7" s="31"/>
      <c r="G7" s="31"/>
      <c r="H7" s="31"/>
      <c r="I7" s="32"/>
      <c r="L7" s="30" t="s">
        <v>2015</v>
      </c>
      <c r="M7" s="31"/>
      <c r="N7" s="31"/>
      <c r="O7" s="31"/>
      <c r="P7" s="31"/>
      <c r="Q7" s="31"/>
      <c r="R7" s="31"/>
      <c r="S7" s="32"/>
    </row>
    <row r="8" spans="2:19" ht="15" thickBot="1" x14ac:dyDescent="0.35">
      <c r="B8" s="33" t="s">
        <v>2004</v>
      </c>
      <c r="C8" s="34"/>
      <c r="D8" s="34"/>
      <c r="E8" s="34"/>
      <c r="F8" s="34"/>
      <c r="G8" s="34"/>
      <c r="H8" s="34"/>
      <c r="I8" s="35"/>
      <c r="J8" s="17"/>
      <c r="L8" s="33" t="s">
        <v>2016</v>
      </c>
      <c r="M8" s="34"/>
      <c r="N8" s="34"/>
      <c r="O8" s="34"/>
      <c r="P8" s="34"/>
      <c r="Q8" s="34"/>
      <c r="R8" s="34"/>
      <c r="S8" s="35"/>
    </row>
    <row r="10" spans="2:19" ht="15" thickBot="1" x14ac:dyDescent="0.35"/>
    <row r="11" spans="2:19" x14ac:dyDescent="0.3">
      <c r="B11" s="30" t="s">
        <v>2007</v>
      </c>
      <c r="C11" s="31"/>
      <c r="D11" s="31"/>
      <c r="E11" s="31"/>
      <c r="F11" s="31"/>
      <c r="G11" s="31"/>
      <c r="H11" s="31"/>
      <c r="I11" s="32"/>
      <c r="L11" s="30" t="s">
        <v>2017</v>
      </c>
      <c r="M11" s="29"/>
      <c r="N11" s="29"/>
      <c r="O11" s="29"/>
      <c r="P11" s="29"/>
      <c r="Q11" s="29"/>
      <c r="R11" s="29"/>
      <c r="S11" s="36"/>
    </row>
    <row r="12" spans="2:19" ht="15" thickBot="1" x14ac:dyDescent="0.35">
      <c r="B12" s="33" t="s">
        <v>2005</v>
      </c>
      <c r="C12" s="34"/>
      <c r="D12" s="34"/>
      <c r="E12" s="34"/>
      <c r="F12" s="34"/>
      <c r="G12" s="34"/>
      <c r="H12" s="34"/>
      <c r="I12" s="35"/>
      <c r="L12" s="33" t="s">
        <v>2018</v>
      </c>
      <c r="M12" s="34"/>
      <c r="N12" s="34"/>
      <c r="O12" s="34"/>
      <c r="P12" s="34"/>
      <c r="Q12" s="34"/>
      <c r="R12" s="34"/>
      <c r="S12" s="35"/>
    </row>
    <row r="14" spans="2:19" ht="15" thickBot="1" x14ac:dyDescent="0.35"/>
    <row r="15" spans="2:19" x14ac:dyDescent="0.3">
      <c r="B15" s="30" t="s">
        <v>2006</v>
      </c>
      <c r="C15" s="31"/>
      <c r="D15" s="31"/>
      <c r="E15" s="31"/>
      <c r="F15" s="31"/>
      <c r="G15" s="31"/>
      <c r="H15" s="31"/>
      <c r="I15" s="32"/>
      <c r="L15" s="30" t="s">
        <v>2019</v>
      </c>
      <c r="M15" s="31"/>
      <c r="N15" s="31"/>
      <c r="O15" s="31"/>
      <c r="P15" s="31"/>
      <c r="Q15" s="31"/>
      <c r="R15" s="31"/>
      <c r="S15" s="32"/>
    </row>
    <row r="16" spans="2:19" ht="15" thickBot="1" x14ac:dyDescent="0.35">
      <c r="B16" s="33" t="s">
        <v>2010</v>
      </c>
      <c r="C16" s="34"/>
      <c r="D16" s="34"/>
      <c r="E16" s="34"/>
      <c r="F16" s="34"/>
      <c r="G16" s="34"/>
      <c r="H16" s="34"/>
      <c r="I16" s="35"/>
      <c r="L16" s="33" t="s">
        <v>2020</v>
      </c>
      <c r="M16" s="34"/>
      <c r="N16" s="34"/>
      <c r="O16" s="34"/>
      <c r="P16" s="34"/>
      <c r="Q16" s="34"/>
      <c r="R16" s="34"/>
      <c r="S16" s="35"/>
    </row>
    <row r="18" spans="2:19" ht="15" thickBot="1" x14ac:dyDescent="0.35"/>
    <row r="19" spans="2:19" x14ac:dyDescent="0.3">
      <c r="B19" s="30" t="s">
        <v>2013</v>
      </c>
      <c r="C19" s="31"/>
      <c r="D19" s="31"/>
      <c r="E19" s="31"/>
      <c r="F19" s="31"/>
      <c r="G19" s="31"/>
      <c r="H19" s="31"/>
      <c r="I19" s="32"/>
      <c r="L19" s="30" t="s">
        <v>2021</v>
      </c>
      <c r="M19" s="31"/>
      <c r="N19" s="31"/>
      <c r="O19" s="31"/>
      <c r="P19" s="31"/>
      <c r="Q19" s="31"/>
      <c r="R19" s="31"/>
      <c r="S19" s="32"/>
    </row>
    <row r="20" spans="2:19" ht="15" thickBot="1" x14ac:dyDescent="0.35">
      <c r="B20" s="33" t="s">
        <v>2011</v>
      </c>
      <c r="C20" s="34"/>
      <c r="D20" s="34"/>
      <c r="E20" s="34"/>
      <c r="F20" s="34"/>
      <c r="G20" s="34"/>
      <c r="H20" s="34"/>
      <c r="I20" s="35"/>
      <c r="L20" s="33" t="s">
        <v>2022</v>
      </c>
      <c r="M20" s="34"/>
      <c r="N20" s="34"/>
      <c r="O20" s="34"/>
      <c r="P20" s="34"/>
      <c r="Q20" s="34"/>
      <c r="R20" s="34"/>
      <c r="S20" s="35"/>
    </row>
  </sheetData>
  <mergeCells count="20">
    <mergeCell ref="B20:I20"/>
    <mergeCell ref="L20:S20"/>
    <mergeCell ref="L4:S4"/>
    <mergeCell ref="L11:S11"/>
    <mergeCell ref="B15:I15"/>
    <mergeCell ref="L15:S15"/>
    <mergeCell ref="B16:I16"/>
    <mergeCell ref="L16:S16"/>
    <mergeCell ref="B19:I19"/>
    <mergeCell ref="L19:S19"/>
    <mergeCell ref="B8:I8"/>
    <mergeCell ref="L8:S8"/>
    <mergeCell ref="B11:I11"/>
    <mergeCell ref="B12:I12"/>
    <mergeCell ref="L12:S12"/>
    <mergeCell ref="C3:G3"/>
    <mergeCell ref="L3:S3"/>
    <mergeCell ref="B4:I4"/>
    <mergeCell ref="B7:I7"/>
    <mergeCell ref="L7:S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loan_applicants_detail</vt:lpstr>
      <vt:lpstr>Pivot_Tables</vt:lpstr>
      <vt:lpstr>Pivot_Charts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Dharti Ramavat</cp:lastModifiedBy>
  <dcterms:created xsi:type="dcterms:W3CDTF">2026-01-06T15:46:58Z</dcterms:created>
  <dcterms:modified xsi:type="dcterms:W3CDTF">2026-01-17T15:50:35Z</dcterms:modified>
</cp:coreProperties>
</file>