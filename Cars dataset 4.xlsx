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8_{D5EA573A-0436-4075-8D55-B0E284CEF8FA}" xr6:coauthVersionLast="47" xr6:coauthVersionMax="47" xr10:uidLastSave="{00000000-0000-0000-0000-000000000000}"/>
  <bookViews>
    <workbookView xWindow="-108" yWindow="-108" windowWidth="23256" windowHeight="12576" xr2:uid="{791B657F-1EFE-40AF-A463-5F35F81F32BA}"/>
  </bookViews>
  <sheets>
    <sheet name="Cars" sheetId="1" r:id="rId1"/>
    <sheet name="Pivot Tables" sheetId="3" r:id="rId2"/>
    <sheet name="Pivot Charts" sheetId="4" r:id="rId3"/>
    <sheet name="Insights" sheetId="6" r:id="rId4"/>
  </sheet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N19" i="1" l="1"/>
</calcChain>
</file>

<file path=xl/sharedStrings.xml><?xml version="1.0" encoding="utf-8"?>
<sst xmlns="http://schemas.openxmlformats.org/spreadsheetml/2006/main" count="3646" uniqueCount="589">
  <si>
    <t>Brand</t>
  </si>
  <si>
    <t>Model</t>
  </si>
  <si>
    <t>Year</t>
  </si>
  <si>
    <t>Color</t>
  </si>
  <si>
    <t>Engine_Type</t>
  </si>
  <si>
    <t>Transmission</t>
  </si>
  <si>
    <t>Price</t>
  </si>
  <si>
    <t>Quantity_In_Stock</t>
  </si>
  <si>
    <t>Status</t>
  </si>
  <si>
    <t>C0001</t>
  </si>
  <si>
    <t>Toyota</t>
  </si>
  <si>
    <t>Camry</t>
  </si>
  <si>
    <t>Red</t>
  </si>
  <si>
    <t>Petrol</t>
  </si>
  <si>
    <t>Automatic</t>
  </si>
  <si>
    <t>Available</t>
  </si>
  <si>
    <t>C0002</t>
  </si>
  <si>
    <t>Tesla</t>
  </si>
  <si>
    <t>Model 3</t>
  </si>
  <si>
    <t>Electric</t>
  </si>
  <si>
    <t>Manual</t>
  </si>
  <si>
    <t>C0003</t>
  </si>
  <si>
    <t>Nissan</t>
  </si>
  <si>
    <t>Qashqai</t>
  </si>
  <si>
    <t>Blue</t>
  </si>
  <si>
    <t>C0004</t>
  </si>
  <si>
    <t>Hyundai</t>
  </si>
  <si>
    <t>Sonata</t>
  </si>
  <si>
    <t>Hybrid</t>
  </si>
  <si>
    <t>C0005</t>
  </si>
  <si>
    <t>RAV4</t>
  </si>
  <si>
    <t>White</t>
  </si>
  <si>
    <t>Reserved</t>
  </si>
  <si>
    <t>C0006</t>
  </si>
  <si>
    <t>Elantra</t>
  </si>
  <si>
    <t>Diesel</t>
  </si>
  <si>
    <t>Sold</t>
  </si>
  <si>
    <t>C0007</t>
  </si>
  <si>
    <t>Mercedes</t>
  </si>
  <si>
    <t>C-Class</t>
  </si>
  <si>
    <t>Gray</t>
  </si>
  <si>
    <t>C0008</t>
  </si>
  <si>
    <t>C0009</t>
  </si>
  <si>
    <t>BMW</t>
  </si>
  <si>
    <t>3 Series</t>
  </si>
  <si>
    <t>C0010</t>
  </si>
  <si>
    <t>Model S</t>
  </si>
  <si>
    <t>C0011</t>
  </si>
  <si>
    <t>Silver</t>
  </si>
  <si>
    <t>C0012</t>
  </si>
  <si>
    <t>C0013</t>
  </si>
  <si>
    <t>C0014</t>
  </si>
  <si>
    <t>C0015</t>
  </si>
  <si>
    <t>Altima</t>
  </si>
  <si>
    <t>C0016</t>
  </si>
  <si>
    <t>Black</t>
  </si>
  <si>
    <t>C0017</t>
  </si>
  <si>
    <t>C0018</t>
  </si>
  <si>
    <t>C0019</t>
  </si>
  <si>
    <t>C0020</t>
  </si>
  <si>
    <t>C0021</t>
  </si>
  <si>
    <t>C0022</t>
  </si>
  <si>
    <t>Model X</t>
  </si>
  <si>
    <t>C0023</t>
  </si>
  <si>
    <t>C0024</t>
  </si>
  <si>
    <t>E-Class</t>
  </si>
  <si>
    <t>C0025</t>
  </si>
  <si>
    <t>C0026</t>
  </si>
  <si>
    <t>C0027</t>
  </si>
  <si>
    <t>C0028</t>
  </si>
  <si>
    <t>Kia</t>
  </si>
  <si>
    <t>Sportage</t>
  </si>
  <si>
    <t>C0029</t>
  </si>
  <si>
    <t>C0030</t>
  </si>
  <si>
    <t>Tucson</t>
  </si>
  <si>
    <t>C0031</t>
  </si>
  <si>
    <t>C0032</t>
  </si>
  <si>
    <t>C0033</t>
  </si>
  <si>
    <t>C0034</t>
  </si>
  <si>
    <t>C0035</t>
  </si>
  <si>
    <t>Cerato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</si>
  <si>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</si>
  <si>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</si>
  <si>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</si>
  <si>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</si>
  <si>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</si>
  <si>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</si>
  <si>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</si>
  <si>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</si>
  <si>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</si>
  <si>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</si>
  <si>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5 Series</t>
  </si>
  <si>
    <t>C0046</t>
  </si>
  <si>
    <t>X5</t>
  </si>
  <si>
    <t>C0047</t>
  </si>
  <si>
    <t>C0048</t>
  </si>
  <si>
    <t>GLA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</si>
  <si>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</si>
  <si>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</si>
  <si>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</si>
  <si>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</si>
  <si>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</si>
  <si>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</si>
  <si>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</si>
  <si>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</si>
  <si>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Sunny</t>
  </si>
  <si>
    <t>C0057</t>
  </si>
  <si>
    <t>C0058</t>
  </si>
  <si>
    <t>C0059</t>
  </si>
  <si>
    <t>C0060</t>
  </si>
  <si>
    <t>Corolla</t>
  </si>
  <si>
    <t>C0061</t>
  </si>
  <si>
    <t>C0062</t>
  </si>
  <si>
    <t>C0063</t>
  </si>
  <si>
    <t>Seltos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</si>
  <si>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</si>
  <si>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</si>
  <si>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</si>
  <si>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</si>
  <si>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</si>
  <si>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</si>
  <si>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</si>
  <si>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</si>
  <si>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</si>
  <si>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</si>
  <si>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</si>
  <si>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</si>
  <si>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</si>
  <si>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</si>
  <si>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</si>
  <si>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</si>
  <si>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</si>
  <si>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</si>
  <si>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</si>
  <si>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</si>
  <si>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</si>
  <si>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</si>
  <si>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</si>
  <si>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</si>
  <si>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</si>
  <si>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</si>
  <si>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</si>
  <si>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</si>
  <si>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</si>
  <si>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</si>
  <si>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</si>
  <si>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</si>
  <si>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</si>
  <si>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</si>
  <si>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</si>
  <si>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</si>
  <si>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</si>
  <si>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</si>
  <si>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</si>
  <si>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</si>
  <si>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</si>
  <si>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</si>
  <si>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</si>
  <si>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</si>
  <si>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</si>
  <si>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</si>
  <si>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</si>
  <si>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</si>
  <si>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</si>
  <si>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</si>
  <si>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</si>
  <si>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</si>
  <si>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</si>
  <si>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</si>
  <si>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</si>
  <si>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</si>
  <si>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</si>
  <si>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</si>
  <si>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</si>
  <si>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</si>
  <si>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</si>
  <si>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</si>
  <si>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</si>
  <si>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</si>
  <si>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</si>
  <si>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</si>
  <si>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</si>
  <si>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</si>
  <si>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</si>
  <si>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</si>
  <si>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</si>
  <si>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</si>
  <si>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</si>
  <si>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</si>
  <si>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</si>
  <si>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</si>
  <si>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</si>
  <si>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</si>
  <si>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</si>
  <si>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</si>
  <si>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</si>
  <si>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</si>
  <si>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</si>
  <si>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</si>
  <si>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</si>
  <si>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</si>
  <si>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</si>
  <si>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</si>
  <si>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</si>
  <si>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</si>
  <si>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</si>
  <si>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</si>
  <si>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</si>
  <si>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</si>
  <si>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</si>
  <si>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</si>
  <si>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</si>
  <si>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</si>
  <si>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</si>
  <si>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</si>
  <si>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</si>
  <si>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</si>
  <si>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</si>
  <si>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</si>
  <si>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</si>
  <si>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</si>
  <si>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</si>
  <si>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</si>
  <si>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</si>
  <si>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</si>
  <si>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</si>
  <si>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</si>
  <si>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</si>
  <si>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</si>
  <si>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</si>
  <si>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</si>
  <si>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</si>
  <si>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</si>
  <si>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</si>
  <si>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</si>
  <si>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</si>
  <si>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</si>
  <si>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</si>
  <si>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</si>
  <si>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</si>
  <si>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</si>
  <si>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</si>
  <si>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</si>
  <si>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</si>
  <si>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</si>
  <si>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</si>
  <si>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</si>
  <si>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</si>
  <si>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</si>
  <si>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</si>
  <si>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</si>
  <si>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</si>
  <si>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</si>
  <si>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</si>
  <si>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</si>
  <si>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</si>
  <si>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</si>
  <si>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</si>
  <si>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</si>
  <si>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</si>
  <si>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</si>
  <si>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</si>
  <si>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</si>
  <si>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</si>
  <si>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</si>
  <si>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</si>
  <si>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</si>
  <si>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</si>
  <si>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</si>
  <si>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</si>
  <si>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</si>
  <si>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</si>
  <si>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</si>
  <si>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</si>
  <si>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</si>
  <si>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</si>
  <si>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</si>
  <si>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</si>
  <si>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</si>
  <si>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</si>
  <si>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</si>
  <si>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</si>
  <si>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</si>
  <si>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</si>
  <si>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</si>
  <si>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</si>
  <si>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</si>
  <si>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</si>
  <si>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</si>
  <si>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</si>
  <si>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</si>
  <si>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</si>
  <si>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</si>
  <si>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</si>
  <si>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</si>
  <si>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</si>
  <si>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</si>
  <si>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</si>
  <si>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</si>
  <si>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</si>
  <si>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</si>
  <si>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</si>
  <si>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</si>
  <si>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</si>
  <si>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</si>
  <si>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</si>
  <si>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</si>
  <si>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</si>
  <si>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</si>
  <si>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</si>
  <si>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</si>
  <si>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</si>
  <si>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</si>
  <si>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</si>
  <si>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</si>
  <si>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</si>
  <si>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</si>
  <si>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</si>
  <si>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</si>
  <si>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</si>
  <si>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</si>
  <si>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</si>
  <si>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</si>
  <si>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</si>
  <si>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</si>
  <si>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</si>
  <si>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</si>
  <si>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</si>
  <si>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</si>
  <si>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</si>
  <si>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</si>
  <si>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</si>
  <si>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</si>
  <si>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</si>
  <si>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</si>
  <si>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</si>
  <si>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</si>
  <si>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</si>
  <si>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</si>
  <si>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</si>
  <si>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</si>
  <si>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</si>
  <si>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</si>
  <si>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</si>
  <si>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</si>
  <si>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</si>
  <si>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</si>
  <si>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</si>
  <si>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</si>
  <si>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</si>
  <si>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</si>
  <si>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</si>
  <si>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</si>
  <si>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</si>
  <si>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</si>
  <si>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</si>
  <si>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</si>
  <si>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</si>
  <si>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</si>
  <si>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</si>
  <si>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</si>
  <si>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</si>
  <si>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</si>
  <si>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</si>
  <si>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</si>
  <si>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</si>
  <si>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</si>
  <si>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</si>
  <si>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</si>
  <si>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</si>
  <si>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</si>
  <si>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</si>
  <si>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</si>
  <si>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</si>
  <si>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</si>
  <si>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</si>
  <si>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</si>
  <si>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</si>
  <si>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</si>
  <si>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</si>
  <si>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</si>
  <si>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</si>
  <si>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</si>
  <si>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</si>
  <si>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</si>
  <si>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</si>
  <si>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</si>
  <si>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</si>
  <si>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</si>
  <si>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</si>
  <si>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</si>
  <si>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</si>
  <si>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</si>
  <si>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</si>
  <si>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</si>
  <si>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</si>
  <si>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</si>
  <si>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</si>
  <si>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</si>
  <si>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</si>
  <si>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</si>
  <si>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</si>
  <si>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</si>
  <si>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</si>
  <si>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</si>
  <si>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</si>
  <si>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</si>
  <si>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</si>
  <si>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</si>
  <si>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</si>
  <si>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</si>
  <si>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</si>
  <si>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</si>
  <si>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</si>
  <si>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</si>
  <si>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</si>
  <si>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</si>
  <si>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</si>
  <si>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</si>
  <si>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</si>
  <si>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</si>
  <si>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</si>
  <si>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</si>
  <si>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</si>
  <si>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</si>
  <si>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</si>
  <si>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</si>
  <si>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</si>
  <si>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</si>
  <si>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</si>
  <si>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</si>
  <si>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</si>
  <si>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</si>
  <si>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</si>
  <si>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</si>
  <si>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</si>
  <si>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</si>
  <si>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</si>
  <si>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</si>
  <si>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</si>
  <si>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</si>
  <si>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</si>
  <si>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</si>
  <si>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</si>
  <si>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</si>
  <si>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</si>
  <si>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</si>
  <si>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</si>
  <si>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</si>
  <si>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</si>
  <si>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</si>
  <si>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</si>
  <si>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</si>
  <si>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</si>
  <si>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</si>
  <si>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</si>
  <si>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</si>
  <si>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</si>
  <si>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</si>
  <si>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</si>
  <si>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</si>
  <si>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</si>
  <si>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</si>
  <si>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</si>
  <si>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</si>
  <si>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</si>
  <si>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</si>
  <si>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</si>
  <si>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</si>
  <si>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</si>
  <si>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</si>
  <si>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</si>
  <si>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</si>
  <si>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</si>
  <si>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</si>
  <si>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</si>
  <si>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</si>
  <si>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</si>
  <si>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</si>
  <si>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</si>
  <si>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</si>
  <si>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</si>
  <si>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</si>
  <si>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</si>
  <si>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</si>
  <si>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</si>
  <si>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</si>
  <si>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</si>
  <si>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</si>
  <si>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</si>
  <si>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</si>
  <si>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</si>
  <si>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</si>
  <si>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</si>
  <si>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</si>
  <si>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</si>
  <si>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</si>
  <si>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</si>
  <si>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</si>
  <si>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</si>
  <si>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</si>
  <si>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</si>
  <si>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</si>
  <si>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</si>
  <si>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</si>
  <si>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</si>
  <si>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</si>
  <si>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</si>
  <si>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</si>
  <si>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</si>
  <si>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</si>
  <si>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</si>
  <si>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</si>
  <si>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</si>
  <si>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</si>
  <si>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</si>
  <si>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</si>
  <si>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</si>
  <si>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</si>
  <si>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</si>
  <si>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</si>
  <si>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</si>
  <si>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</si>
  <si>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</si>
  <si>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</si>
  <si>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</si>
  <si>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</si>
  <si>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</si>
  <si>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</si>
  <si>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</si>
  <si>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</si>
  <si>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</si>
  <si>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</si>
  <si>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</si>
  <si>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</si>
  <si>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</si>
  <si>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</si>
  <si>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</si>
  <si>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</si>
  <si>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</si>
  <si>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</si>
  <si>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</si>
  <si>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</si>
  <si>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</si>
  <si>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</si>
  <si>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</si>
  <si>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</si>
  <si>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</si>
  <si>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</si>
  <si>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</si>
  <si>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</si>
  <si>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</si>
  <si>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Cars_ID</t>
  </si>
  <si>
    <t>Row Labels</t>
  </si>
  <si>
    <t>Grand Total</t>
  </si>
  <si>
    <t>Count of Cars_ID</t>
  </si>
  <si>
    <t>Average of Price</t>
  </si>
  <si>
    <t>Count of Quantity_In_Stock</t>
  </si>
  <si>
    <t>5. Year vs Count Cars</t>
  </si>
  <si>
    <t>4. Transmission vs Average_Price</t>
  </si>
  <si>
    <t>3. Engine_Type vs Count Cars</t>
  </si>
  <si>
    <t>2. Brand vs Average_Price</t>
  </si>
  <si>
    <t>1. Brand vs Count Cars</t>
  </si>
  <si>
    <t>6. Color vs Count Cars</t>
  </si>
  <si>
    <t>8. Brand vs Count Stock</t>
  </si>
  <si>
    <t>9. Engine_Type vs Average Price</t>
  </si>
  <si>
    <t>10. Brand &amp; Engine_Type vs Count Cars</t>
  </si>
  <si>
    <t>7. Status vs Count Cars</t>
  </si>
  <si>
    <t>1. Highest Numbers of Cars:</t>
  </si>
  <si>
    <t>Nissan leads in total vehicle count, indicating strong market availability.</t>
  </si>
  <si>
    <t>2. Highest Average Price Brand:</t>
  </si>
  <si>
    <t>Mercedes commands the highest average pricing, reflecting its premium positioning.</t>
  </si>
  <si>
    <t>3. Most Common Engine Type:</t>
  </si>
  <si>
    <t>Petrol vehicles dominate the dataset, showing higher market demand.</t>
  </si>
  <si>
    <t>4. Most Preffered Transmission Type:</t>
  </si>
  <si>
    <t>Automatic transmissions slightly outperform manual transmissions in availability.</t>
  </si>
  <si>
    <t>5. Most Popular Car Color:</t>
  </si>
  <si>
    <t>White remains the most preffered vehicle color across brands.</t>
  </si>
  <si>
    <t>6. Year with Highest Car Count:</t>
  </si>
  <si>
    <t>Recent manufacturing years show increased vehicle listing, highlighting market growth.</t>
  </si>
  <si>
    <t>7. Highest Priced Engine Type:</t>
  </si>
  <si>
    <t>Electric vehicles maintain a higher average price compared to traditional fuel types.</t>
  </si>
  <si>
    <t>8. Vehicle Availability Status:</t>
  </si>
  <si>
    <t>Most vehicles are currently available, ensuring strong inventory management.</t>
  </si>
  <si>
    <t>9. Balanced Engine Type Distribution:</t>
  </si>
  <si>
    <t>Toyota and Tesla demonstrate balanced engine-type distribution.</t>
  </si>
  <si>
    <t>10. Overall Market Competition:</t>
  </si>
  <si>
    <t>Overall data reflects a competitive and well-diversified automotive market.</t>
  </si>
  <si>
    <t>Avai  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</si>
</sst>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0" borderId="20" xfId="0" applyFont="1" applyBorder="1"/>
    <xf numFmtId="49" fontId="18" fillId="0" borderId="16" xfId="0" applyNumberFormat="1" applyFont="1" applyBorder="1"/>
    <xf numFmtId="0" fontId="18" fillId="0" borderId="16" xfId="0" applyFont="1" applyBorder="1"/>
    <xf numFmtId="164" fontId="18" fillId="0" borderId="16" xfId="0" applyNumberFormat="1" applyFont="1" applyBorder="1"/>
    <xf numFmtId="49" fontId="18" fillId="0" borderId="21" xfId="0" applyNumberFormat="1" applyFont="1" applyBorder="1"/>
    <xf numFmtId="0" fontId="18" fillId="0" borderId="22" xfId="0" applyFont="1" applyBorder="1"/>
    <xf numFmtId="49" fontId="18" fillId="0" borderId="23" xfId="0" applyNumberFormat="1" applyFont="1" applyBorder="1"/>
    <xf numFmtId="0" fontId="18" fillId="0" borderId="23" xfId="0" applyFont="1" applyBorder="1"/>
    <xf numFmtId="164" fontId="18" fillId="0" borderId="23" xfId="0" applyNumberFormat="1" applyFont="1" applyBorder="1"/>
    <xf numFmtId="49" fontId="18" fillId="0" borderId="24" xfId="0" applyNumberFormat="1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4" fillId="0" borderId="0" xfId="0" applyFont="1"/>
    <xf numFmtId="0" fontId="14" fillId="33" borderId="10" xfId="0" applyFont="1" applyFill="1" applyBorder="1"/>
    <xf numFmtId="0" fontId="14" fillId="33" borderId="11" xfId="0" applyFont="1" applyFill="1" applyBorder="1" applyAlignment="1">
      <alignment horizontal="center"/>
    </xf>
    <xf numFmtId="0" fontId="14" fillId="33" borderId="12" xfId="0" applyFont="1" applyFill="1" applyBorder="1"/>
    <xf numFmtId="0" fontId="14" fillId="0" borderId="0" xfId="0" applyFont="1" applyAlignment="1">
      <alignment horizontal="center"/>
    </xf>
    <xf numFmtId="0" fontId="14" fillId="0" borderId="0" xfId="0" applyFont="1" applyAlignment="1">
      <alignment wrapText="1"/>
    </xf>
    <xf numFmtId="0" fontId="20" fillId="0" borderId="0" xfId="0" applyFont="1"/>
    <xf numFmtId="0" fontId="21" fillId="0" borderId="17" xfId="0" applyFont="1" applyBorder="1"/>
    <xf numFmtId="0" fontId="21" fillId="0" borderId="18" xfId="0" applyFont="1" applyBorder="1"/>
    <xf numFmtId="0" fontId="21" fillId="0" borderId="19" xfId="0" applyFont="1" applyBorder="1"/>
    <xf numFmtId="0" fontId="22" fillId="0" borderId="0" xfId="0" applyFont="1"/>
    <xf numFmtId="0" fontId="22" fillId="0" borderId="0" xfId="0" pivotButton="1" applyFont="1"/>
    <xf numFmtId="0" fontId="22" fillId="0" borderId="0" xfId="0" applyFont="1" applyAlignment="1">
      <alignment horizontal="left"/>
    </xf>
    <xf numFmtId="164" fontId="22" fillId="0" borderId="0" xfId="0" applyNumberFormat="1" applyFont="1"/>
    <xf numFmtId="0" fontId="22" fillId="0" borderId="0" xfId="0" applyFont="1" applyAlignment="1">
      <alignment horizontal="left" indent="1"/>
    </xf>
    <xf numFmtId="0" fontId="22" fillId="0" borderId="0" xfId="0" applyFont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4" fillId="33" borderId="11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4" fillId="33" borderId="12" xfId="0" applyFont="1" applyFill="1" applyBorder="1" applyAlignment="1">
      <alignment horizontal="center"/>
    </xf>
    <xf numFmtId="0" fontId="14" fillId="33" borderId="13" xfId="0" applyFont="1" applyFill="1" applyBorder="1" applyAlignment="1">
      <alignment horizontal="center"/>
    </xf>
    <xf numFmtId="0" fontId="14" fillId="33" borderId="14" xfId="0" applyFont="1" applyFill="1" applyBorder="1" applyAlignment="1">
      <alignment horizontal="center"/>
    </xf>
    <xf numFmtId="0" fontId="14" fillId="33" borderId="15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Brand</a:t>
            </a:r>
            <a:r>
              <a:rPr lang="en-IN" b="1" baseline="0">
                <a:solidFill>
                  <a:srgbClr val="FF0000"/>
                </a:solidFill>
              </a:rPr>
              <a:t> vs Count Cars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4268744531933509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tx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tx2"/>
              </a:solidFill>
            </a:ln>
            <a:effectLst/>
          </c:spPr>
          <c:invertIfNegative val="0"/>
          <c:cat>
            <c:strRef>
              <c:f>'Pivot Tables'!$A$4:$A$11</c:f>
              <c:strCache>
                <c:ptCount val="7"/>
                <c:pt idx="0">
                  <c:v>BMW</c:v>
                </c:pt>
                <c:pt idx="1">
                  <c:v>Hyundai</c:v>
                </c:pt>
                <c:pt idx="2">
                  <c:v>Kia</c:v>
                </c:pt>
                <c:pt idx="3">
                  <c:v>Mercedes</c:v>
                </c:pt>
                <c:pt idx="4">
                  <c:v>Nissan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Tables'!$B$4:$B$11</c:f>
              <c:numCache>
                <c:formatCode>General</c:formatCode>
                <c:ptCount val="7"/>
                <c:pt idx="0">
                  <c:v>69</c:v>
                </c:pt>
                <c:pt idx="1">
                  <c:v>60</c:v>
                </c:pt>
                <c:pt idx="2">
                  <c:v>67</c:v>
                </c:pt>
                <c:pt idx="3">
                  <c:v>77</c:v>
                </c:pt>
                <c:pt idx="4">
                  <c:v>79</c:v>
                </c:pt>
                <c:pt idx="5">
                  <c:v>78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E-4061-9262-03B71EC8B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53040"/>
        <c:axId val="176440080"/>
      </c:barChart>
      <c:catAx>
        <c:axId val="17645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40080"/>
        <c:crosses val="autoZero"/>
        <c:auto val="1"/>
        <c:lblAlgn val="ctr"/>
        <c:lblOffset val="100"/>
        <c:noMultiLvlLbl val="0"/>
      </c:catAx>
      <c:valAx>
        <c:axId val="17644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5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Brand</a:t>
            </a:r>
            <a:r>
              <a:rPr lang="en-IN" b="1" baseline="0">
                <a:solidFill>
                  <a:srgbClr val="FF0000"/>
                </a:solidFill>
              </a:rPr>
              <a:t> vs Average Price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717832785748188"/>
          <c:y val="4.9714352716219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Tables'!$D$4:$D$11</c:f>
              <c:strCache>
                <c:ptCount val="7"/>
                <c:pt idx="0">
                  <c:v>BMW</c:v>
                </c:pt>
                <c:pt idx="1">
                  <c:v>Hyundai</c:v>
                </c:pt>
                <c:pt idx="2">
                  <c:v>Kia</c:v>
                </c:pt>
                <c:pt idx="3">
                  <c:v>Mercedes</c:v>
                </c:pt>
                <c:pt idx="4">
                  <c:v>Nissan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Tables'!$E$4:$E$11</c:f>
              <c:numCache>
                <c:formatCode>"₹"\ #,##0.00</c:formatCode>
                <c:ptCount val="7"/>
                <c:pt idx="0">
                  <c:v>61078.207101449261</c:v>
                </c:pt>
                <c:pt idx="1">
                  <c:v>59426.277333333346</c:v>
                </c:pt>
                <c:pt idx="2">
                  <c:v>60477.741940298503</c:v>
                </c:pt>
                <c:pt idx="3">
                  <c:v>61410.142727272709</c:v>
                </c:pt>
                <c:pt idx="4">
                  <c:v>58316.015949367094</c:v>
                </c:pt>
                <c:pt idx="5">
                  <c:v>54142.190897435881</c:v>
                </c:pt>
                <c:pt idx="6">
                  <c:v>61762.045142857147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D4-4910-9140-4F303DE0D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732208"/>
        <c:axId val="183726928"/>
      </c:barChart>
      <c:catAx>
        <c:axId val="18373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26928"/>
        <c:crosses val="autoZero"/>
        <c:auto val="1"/>
        <c:lblAlgn val="ctr"/>
        <c:lblOffset val="100"/>
        <c:noMultiLvlLbl val="0"/>
      </c:catAx>
      <c:valAx>
        <c:axId val="18372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Engine_Type</a:t>
            </a:r>
            <a:r>
              <a:rPr lang="en-US" b="1" baseline="0">
                <a:solidFill>
                  <a:srgbClr val="FF0000"/>
                </a:solidFill>
              </a:rPr>
              <a:t> vs Count of Cars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5298437554817003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F2-4E5A-B3EC-9B2A190437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F2-4E5A-B3EC-9B2A190437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F2-4E5A-B3EC-9B2A190437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2F2-4E5A-B3EC-9B2A19043706}"/>
              </c:ext>
            </c:extLst>
          </c:dPt>
          <c:cat>
            <c:strRef>
              <c:f>'Pivot Tables'!$G$4:$G$8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'Pivot Tables'!$H$4:$H$8</c:f>
              <c:numCache>
                <c:formatCode>General</c:formatCode>
                <c:ptCount val="4"/>
                <c:pt idx="0">
                  <c:v>126</c:v>
                </c:pt>
                <c:pt idx="1">
                  <c:v>128</c:v>
                </c:pt>
                <c:pt idx="2">
                  <c:v>113</c:v>
                </c:pt>
                <c:pt idx="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2F2-4E5A-B3EC-9B2A19043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Transmission</a:t>
            </a:r>
            <a:r>
              <a:rPr lang="en-IN" b="1" baseline="0">
                <a:solidFill>
                  <a:srgbClr val="FF0000"/>
                </a:solidFill>
              </a:rPr>
              <a:t> vs Average_Price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522567804024497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Tables'!$J$4:$J$6</c:f>
              <c:strCache>
                <c:ptCount val="2"/>
                <c:pt idx="0">
                  <c:v>Automatic</c:v>
                </c:pt>
                <c:pt idx="1">
                  <c:v>Manual</c:v>
                </c:pt>
              </c:strCache>
            </c:strRef>
          </c:cat>
          <c:val>
            <c:numRef>
              <c:f>'Pivot Tables'!$K$4:$K$6</c:f>
              <c:numCache>
                <c:formatCode>"₹"\ #,##0.00</c:formatCode>
                <c:ptCount val="2"/>
                <c:pt idx="0">
                  <c:v>58847.106178861781</c:v>
                </c:pt>
                <c:pt idx="1">
                  <c:v>59990.448110236197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3-4C6C-AACA-FC2D9D56C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720688"/>
        <c:axId val="183717328"/>
      </c:barChart>
      <c:catAx>
        <c:axId val="18372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7328"/>
        <c:crosses val="autoZero"/>
        <c:auto val="1"/>
        <c:lblAlgn val="ctr"/>
        <c:lblOffset val="100"/>
        <c:noMultiLvlLbl val="0"/>
      </c:catAx>
      <c:valAx>
        <c:axId val="18371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2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Year</a:t>
            </a:r>
            <a:r>
              <a:rPr lang="en-US" b="1" baseline="0">
                <a:solidFill>
                  <a:srgbClr val="FF0000"/>
                </a:solidFill>
              </a:rPr>
              <a:t> vs Count Cars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4296826533047003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Tables'!$H$11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Tables'!$G$12:$G$23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'Pivot Tables'!$H$12:$H$23</c:f>
              <c:numCache>
                <c:formatCode>General</c:formatCode>
                <c:ptCount val="11"/>
                <c:pt idx="0">
                  <c:v>39</c:v>
                </c:pt>
                <c:pt idx="1">
                  <c:v>53</c:v>
                </c:pt>
                <c:pt idx="2">
                  <c:v>38</c:v>
                </c:pt>
                <c:pt idx="3">
                  <c:v>63</c:v>
                </c:pt>
                <c:pt idx="4">
                  <c:v>52</c:v>
                </c:pt>
                <c:pt idx="5">
                  <c:v>43</c:v>
                </c:pt>
                <c:pt idx="6">
                  <c:v>31</c:v>
                </c:pt>
                <c:pt idx="7">
                  <c:v>49</c:v>
                </c:pt>
                <c:pt idx="8">
                  <c:v>44</c:v>
                </c:pt>
                <c:pt idx="9">
                  <c:v>45</c:v>
                </c:pt>
                <c:pt idx="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6F-4C08-8C8D-D5AECF6F6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666928"/>
        <c:axId val="183677008"/>
      </c:lineChart>
      <c:catAx>
        <c:axId val="18366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77008"/>
        <c:crosses val="autoZero"/>
        <c:auto val="1"/>
        <c:lblAlgn val="ctr"/>
        <c:lblOffset val="100"/>
        <c:noMultiLvlLbl val="0"/>
      </c:catAx>
      <c:valAx>
        <c:axId val="18367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Color</a:t>
            </a:r>
            <a:r>
              <a:rPr lang="en-US" b="1" baseline="0">
                <a:solidFill>
                  <a:srgbClr val="FF0000"/>
                </a:solidFill>
              </a:rPr>
              <a:t> vs Count Cars</a:t>
            </a:r>
            <a:endParaRPr lang="en-US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6679533056800195"/>
          <c:y val="2.67570720326625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Tables'!$A$15:$A$21</c:f>
              <c:strCache>
                <c:ptCount val="6"/>
                <c:pt idx="0">
                  <c:v>Black</c:v>
                </c:pt>
                <c:pt idx="1">
                  <c:v>Blue</c:v>
                </c:pt>
                <c:pt idx="2">
                  <c:v>Gray</c:v>
                </c:pt>
                <c:pt idx="3">
                  <c:v>Red</c:v>
                </c:pt>
                <c:pt idx="4">
                  <c:v>Silver</c:v>
                </c:pt>
                <c:pt idx="5">
                  <c:v>White</c:v>
                </c:pt>
              </c:strCache>
            </c:strRef>
          </c:cat>
          <c:val>
            <c:numRef>
              <c:f>'Pivot Tables'!$B$15:$B$21</c:f>
              <c:numCache>
                <c:formatCode>General</c:formatCode>
                <c:ptCount val="6"/>
                <c:pt idx="0">
                  <c:v>94</c:v>
                </c:pt>
                <c:pt idx="1">
                  <c:v>82</c:v>
                </c:pt>
                <c:pt idx="2">
                  <c:v>85</c:v>
                </c:pt>
                <c:pt idx="3">
                  <c:v>78</c:v>
                </c:pt>
                <c:pt idx="4">
                  <c:v>72</c:v>
                </c:pt>
                <c:pt idx="5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CA-4566-9B96-55183B7FB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714928"/>
        <c:axId val="183734608"/>
      </c:barChart>
      <c:catAx>
        <c:axId val="183714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34608"/>
        <c:crosses val="autoZero"/>
        <c:auto val="1"/>
        <c:lblAlgn val="ctr"/>
        <c:lblOffset val="100"/>
        <c:noMultiLvlLbl val="0"/>
      </c:catAx>
      <c:valAx>
        <c:axId val="18373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1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Status</a:t>
            </a:r>
            <a:r>
              <a:rPr lang="en-IN" b="1" baseline="0">
                <a:solidFill>
                  <a:srgbClr val="FF0000"/>
                </a:solidFill>
              </a:rPr>
              <a:t> vs Count Cars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3237489063867015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1F-4C23-9D3C-356B179CFD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1F-4C23-9D3C-356B179CFD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1F-4C23-9D3C-356B179CFD7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52-49CC-9E96-3221D5A9DF99}"/>
              </c:ext>
            </c:extLst>
          </c:dPt>
          <c:cat>
            <c:strRef>
              <c:f>'Pivot Tables'!$D$15:$D$19</c:f>
              <c:strCache>
                <c:ptCount val="4"/>
                <c:pt idx="0">
                  <c:v>Available</c:v>
                </c:pt>
                <c:pt idx="1">
                  <c:v>Reserved</c:v>
                </c:pt>
                <c:pt idx="2">
                  <c:v>Sold</c:v>
                </c:pt>
                <c:pt idx="3">
                  <c:v>Avai  lable</c:v>
                </c:pt>
              </c:strCache>
            </c:strRef>
          </c:cat>
          <c:val>
            <c:numRef>
              <c:f>'Pivot Tables'!$E$15:$E$19</c:f>
              <c:numCache>
                <c:formatCode>General</c:formatCode>
                <c:ptCount val="4"/>
                <c:pt idx="0">
                  <c:v>177</c:v>
                </c:pt>
                <c:pt idx="1">
                  <c:v>157</c:v>
                </c:pt>
                <c:pt idx="2">
                  <c:v>165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1F-4C23-9D3C-356B179CF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Brand</a:t>
            </a:r>
            <a:r>
              <a:rPr lang="en-IN" b="1" baseline="0">
                <a:solidFill>
                  <a:srgbClr val="FF0000"/>
                </a:solidFill>
              </a:rPr>
              <a:t> vs Count Stock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35050000000000003"/>
          <c:y val="3.1386701662292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Tables'!$J$10:$J$17</c:f>
              <c:strCache>
                <c:ptCount val="7"/>
                <c:pt idx="0">
                  <c:v>BMW</c:v>
                </c:pt>
                <c:pt idx="1">
                  <c:v>Hyundai</c:v>
                </c:pt>
                <c:pt idx="2">
                  <c:v>Kia</c:v>
                </c:pt>
                <c:pt idx="3">
                  <c:v>Mercedes</c:v>
                </c:pt>
                <c:pt idx="4">
                  <c:v>Nissan</c:v>
                </c:pt>
                <c:pt idx="5">
                  <c:v>Tesla</c:v>
                </c:pt>
                <c:pt idx="6">
                  <c:v>Toyota</c:v>
                </c:pt>
              </c:strCache>
            </c:strRef>
          </c:cat>
          <c:val>
            <c:numRef>
              <c:f>'Pivot Tables'!$K$10:$K$17</c:f>
              <c:numCache>
                <c:formatCode>General</c:formatCode>
                <c:ptCount val="7"/>
                <c:pt idx="0">
                  <c:v>69</c:v>
                </c:pt>
                <c:pt idx="1">
                  <c:v>60</c:v>
                </c:pt>
                <c:pt idx="2">
                  <c:v>67</c:v>
                </c:pt>
                <c:pt idx="3">
                  <c:v>77</c:v>
                </c:pt>
                <c:pt idx="4">
                  <c:v>79</c:v>
                </c:pt>
                <c:pt idx="5">
                  <c:v>78</c:v>
                </c:pt>
                <c:pt idx="6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EA-4B91-9673-E1029BBF9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930272"/>
        <c:axId val="213931232"/>
      </c:barChart>
      <c:catAx>
        <c:axId val="21393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1232"/>
        <c:crosses val="autoZero"/>
        <c:auto val="1"/>
        <c:lblAlgn val="ctr"/>
        <c:lblOffset val="100"/>
        <c:noMultiLvlLbl val="0"/>
      </c:catAx>
      <c:valAx>
        <c:axId val="2139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3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0000"/>
                </a:solidFill>
              </a:rPr>
              <a:t>Engine_Type</a:t>
            </a:r>
            <a:r>
              <a:rPr lang="en-US" b="1" baseline="0">
                <a:solidFill>
                  <a:srgbClr val="FF0000"/>
                </a:solidFill>
              </a:rPr>
              <a:t> vs Average_Price</a:t>
            </a:r>
            <a:endParaRPr lang="en-US" b="1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Tables'!$M$4:$M$8</c:f>
              <c:strCache>
                <c:ptCount val="4"/>
                <c:pt idx="0">
                  <c:v>Diesel</c:v>
                </c:pt>
                <c:pt idx="1">
                  <c:v>Electric</c:v>
                </c:pt>
                <c:pt idx="2">
                  <c:v>Hybrid</c:v>
                </c:pt>
                <c:pt idx="3">
                  <c:v>Petrol</c:v>
                </c:pt>
              </c:strCache>
            </c:strRef>
          </c:cat>
          <c:val>
            <c:numRef>
              <c:f>'Pivot Tables'!$N$4:$N$8</c:f>
              <c:numCache>
                <c:formatCode>"₹"\ #,##0.00</c:formatCode>
                <c:ptCount val="4"/>
                <c:pt idx="0">
                  <c:v>57107.69888888891</c:v>
                </c:pt>
                <c:pt idx="1">
                  <c:v>58980.163671875001</c:v>
                </c:pt>
                <c:pt idx="2">
                  <c:v>62140.690353982267</c:v>
                </c:pt>
                <c:pt idx="3">
                  <c:v>59752.127218045105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7-4300-B1F4-71714869A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947552"/>
        <c:axId val="213953792"/>
      </c:barChart>
      <c:catAx>
        <c:axId val="213947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53792"/>
        <c:crosses val="autoZero"/>
        <c:auto val="1"/>
        <c:lblAlgn val="ctr"/>
        <c:lblOffset val="100"/>
        <c:noMultiLvlLbl val="0"/>
      </c:catAx>
      <c:valAx>
        <c:axId val="21395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47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 dataset 4.xlsx]Pivot Tables!PivotTable10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FF0000"/>
                </a:solidFill>
              </a:rPr>
              <a:t>Brand</a:t>
            </a:r>
            <a:r>
              <a:rPr lang="en-IN" b="1" baseline="0">
                <a:solidFill>
                  <a:srgbClr val="FF0000"/>
                </a:solidFill>
              </a:rPr>
              <a:t> &amp; Engine_Type vs Count Cars</a:t>
            </a:r>
            <a:endParaRPr lang="en-IN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21403525886697794"/>
          <c:y val="6.35076800966889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Tables'!$N$11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Tables'!$M$12:$M$47</c:f>
              <c:multiLvlStrCache>
                <c:ptCount val="28"/>
                <c:lvl>
                  <c:pt idx="0">
                    <c:v>Diesel</c:v>
                  </c:pt>
                  <c:pt idx="1">
                    <c:v>Electric</c:v>
                  </c:pt>
                  <c:pt idx="2">
                    <c:v>Hybrid</c:v>
                  </c:pt>
                  <c:pt idx="3">
                    <c:v>Petrol</c:v>
                  </c:pt>
                  <c:pt idx="4">
                    <c:v>Diesel</c:v>
                  </c:pt>
                  <c:pt idx="5">
                    <c:v>Electric</c:v>
                  </c:pt>
                  <c:pt idx="6">
                    <c:v>Hybrid</c:v>
                  </c:pt>
                  <c:pt idx="7">
                    <c:v>Petrol</c:v>
                  </c:pt>
                  <c:pt idx="8">
                    <c:v>Diesel</c:v>
                  </c:pt>
                  <c:pt idx="9">
                    <c:v>Electric</c:v>
                  </c:pt>
                  <c:pt idx="10">
                    <c:v>Hybrid</c:v>
                  </c:pt>
                  <c:pt idx="11">
                    <c:v>Petrol</c:v>
                  </c:pt>
                  <c:pt idx="12">
                    <c:v>Diesel</c:v>
                  </c:pt>
                  <c:pt idx="13">
                    <c:v>Electric</c:v>
                  </c:pt>
                  <c:pt idx="14">
                    <c:v>Hybrid</c:v>
                  </c:pt>
                  <c:pt idx="15">
                    <c:v>Petrol</c:v>
                  </c:pt>
                  <c:pt idx="16">
                    <c:v>Diesel</c:v>
                  </c:pt>
                  <c:pt idx="17">
                    <c:v>Electric</c:v>
                  </c:pt>
                  <c:pt idx="18">
                    <c:v>Hybrid</c:v>
                  </c:pt>
                  <c:pt idx="19">
                    <c:v>Petrol</c:v>
                  </c:pt>
                  <c:pt idx="20">
                    <c:v>Diesel</c:v>
                  </c:pt>
                  <c:pt idx="21">
                    <c:v>Electric</c:v>
                  </c:pt>
                  <c:pt idx="22">
                    <c:v>Hybrid</c:v>
                  </c:pt>
                  <c:pt idx="23">
                    <c:v>Petrol</c:v>
                  </c:pt>
                  <c:pt idx="24">
                    <c:v>Diesel</c:v>
                  </c:pt>
                  <c:pt idx="25">
                    <c:v>Electric</c:v>
                  </c:pt>
                  <c:pt idx="26">
                    <c:v>Hybrid</c:v>
                  </c:pt>
                  <c:pt idx="27">
                    <c:v>Petrol</c:v>
                  </c:pt>
                </c:lvl>
                <c:lvl>
                  <c:pt idx="0">
                    <c:v>BMW</c:v>
                  </c:pt>
                  <c:pt idx="4">
                    <c:v>Hyundai</c:v>
                  </c:pt>
                  <c:pt idx="8">
                    <c:v>Kia</c:v>
                  </c:pt>
                  <c:pt idx="12">
                    <c:v>Mercedes</c:v>
                  </c:pt>
                  <c:pt idx="16">
                    <c:v>Nissan</c:v>
                  </c:pt>
                  <c:pt idx="20">
                    <c:v>Tesla</c:v>
                  </c:pt>
                  <c:pt idx="24">
                    <c:v>Toyota</c:v>
                  </c:pt>
                </c:lvl>
              </c:multiLvlStrCache>
            </c:multiLvlStrRef>
          </c:cat>
          <c:val>
            <c:numRef>
              <c:f>'Pivot Tables'!$N$12:$N$47</c:f>
              <c:numCache>
                <c:formatCode>General</c:formatCode>
                <c:ptCount val="28"/>
                <c:pt idx="0">
                  <c:v>15</c:v>
                </c:pt>
                <c:pt idx="1">
                  <c:v>24</c:v>
                </c:pt>
                <c:pt idx="2">
                  <c:v>11</c:v>
                </c:pt>
                <c:pt idx="3">
                  <c:v>19</c:v>
                </c:pt>
                <c:pt idx="4">
                  <c:v>20</c:v>
                </c:pt>
                <c:pt idx="5">
                  <c:v>12</c:v>
                </c:pt>
                <c:pt idx="6">
                  <c:v>16</c:v>
                </c:pt>
                <c:pt idx="7">
                  <c:v>12</c:v>
                </c:pt>
                <c:pt idx="8">
                  <c:v>20</c:v>
                </c:pt>
                <c:pt idx="9">
                  <c:v>14</c:v>
                </c:pt>
                <c:pt idx="10">
                  <c:v>14</c:v>
                </c:pt>
                <c:pt idx="11">
                  <c:v>19</c:v>
                </c:pt>
                <c:pt idx="12">
                  <c:v>14</c:v>
                </c:pt>
                <c:pt idx="13">
                  <c:v>21</c:v>
                </c:pt>
                <c:pt idx="14">
                  <c:v>22</c:v>
                </c:pt>
                <c:pt idx="15">
                  <c:v>20</c:v>
                </c:pt>
                <c:pt idx="16">
                  <c:v>19</c:v>
                </c:pt>
                <c:pt idx="17">
                  <c:v>21</c:v>
                </c:pt>
                <c:pt idx="18">
                  <c:v>15</c:v>
                </c:pt>
                <c:pt idx="19">
                  <c:v>24</c:v>
                </c:pt>
                <c:pt idx="20">
                  <c:v>18</c:v>
                </c:pt>
                <c:pt idx="21">
                  <c:v>21</c:v>
                </c:pt>
                <c:pt idx="22">
                  <c:v>19</c:v>
                </c:pt>
                <c:pt idx="23">
                  <c:v>20</c:v>
                </c:pt>
                <c:pt idx="24">
                  <c:v>20</c:v>
                </c:pt>
                <c:pt idx="25">
                  <c:v>15</c:v>
                </c:pt>
                <c:pt idx="26">
                  <c:v>16</c:v>
                </c:pt>
                <c:pt idx="2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89-4EED-A38B-1953299B8F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850592"/>
        <c:axId val="213854912"/>
      </c:barChart>
      <c:catAx>
        <c:axId val="21385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4912"/>
        <c:crosses val="autoZero"/>
        <c:auto val="1"/>
        <c:lblAlgn val="ctr"/>
        <c:lblOffset val="100"/>
        <c:noMultiLvlLbl val="0"/>
      </c:catAx>
      <c:valAx>
        <c:axId val="2138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95248</xdr:rowOff>
    </xdr:from>
    <xdr:to>
      <xdr:col>27</xdr:col>
      <xdr:colOff>376238</xdr:colOff>
      <xdr:row>68</xdr:row>
      <xdr:rowOff>33337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5B0335-5165-4BD6-80C7-9770799A1E67}"/>
            </a:ext>
          </a:extLst>
        </xdr:cNvPr>
        <xdr:cNvSpPr/>
      </xdr:nvSpPr>
      <xdr:spPr>
        <a:xfrm>
          <a:off x="57150" y="95248"/>
          <a:ext cx="17806988" cy="1224438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133350</xdr:colOff>
      <xdr:row>0</xdr:row>
      <xdr:rowOff>166687</xdr:rowOff>
    </xdr:from>
    <xdr:to>
      <xdr:col>7</xdr:col>
      <xdr:colOff>171450</xdr:colOff>
      <xdr:row>16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56D12A-0D39-497A-B05E-1D755BB74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271461</xdr:colOff>
      <xdr:row>1</xdr:row>
      <xdr:rowOff>4763</xdr:rowOff>
    </xdr:from>
    <xdr:to>
      <xdr:col>14</xdr:col>
      <xdr:colOff>338138</xdr:colOff>
      <xdr:row>16</xdr:row>
      <xdr:rowOff>33338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69AFDA-0929-4277-82B4-1FA9FF8746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433387</xdr:colOff>
      <xdr:row>1</xdr:row>
      <xdr:rowOff>9525</xdr:rowOff>
    </xdr:from>
    <xdr:to>
      <xdr:col>20</xdr:col>
      <xdr:colOff>485775</xdr:colOff>
      <xdr:row>16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42D0E5-9C2B-4BDB-8838-98E9CE4C4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133351</xdr:colOff>
      <xdr:row>16</xdr:row>
      <xdr:rowOff>114299</xdr:rowOff>
    </xdr:from>
    <xdr:to>
      <xdr:col>7</xdr:col>
      <xdr:colOff>171451</xdr:colOff>
      <xdr:row>31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CDF57D-14C5-438B-810A-EDF9EFED3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276226</xdr:colOff>
      <xdr:row>16</xdr:row>
      <xdr:rowOff>128586</xdr:rowOff>
    </xdr:from>
    <xdr:to>
      <xdr:col>14</xdr:col>
      <xdr:colOff>352426</xdr:colOff>
      <xdr:row>31</xdr:row>
      <xdr:rowOff>157161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A06CC7-3478-4700-B5AE-19AA1885D2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457201</xdr:colOff>
      <xdr:row>16</xdr:row>
      <xdr:rowOff>138112</xdr:rowOff>
    </xdr:from>
    <xdr:to>
      <xdr:col>20</xdr:col>
      <xdr:colOff>514350</xdr:colOff>
      <xdr:row>31</xdr:row>
      <xdr:rowOff>166687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4398089-70F7-466D-A02F-C9CC4A688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133352</xdr:colOff>
      <xdr:row>32</xdr:row>
      <xdr:rowOff>61912</xdr:rowOff>
    </xdr:from>
    <xdr:to>
      <xdr:col>7</xdr:col>
      <xdr:colOff>171452</xdr:colOff>
      <xdr:row>47</xdr:row>
      <xdr:rowOff>90487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DD6E9DC-F402-4337-8EDC-4D13EA85C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285752</xdr:colOff>
      <xdr:row>32</xdr:row>
      <xdr:rowOff>66675</xdr:rowOff>
    </xdr:from>
    <xdr:to>
      <xdr:col>14</xdr:col>
      <xdr:colOff>323852</xdr:colOff>
      <xdr:row>47</xdr:row>
      <xdr:rowOff>95250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0103D1C-B151-405A-B61B-71E71B1CB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457201</xdr:colOff>
      <xdr:row>32</xdr:row>
      <xdr:rowOff>66674</xdr:rowOff>
    </xdr:from>
    <xdr:to>
      <xdr:col>26</xdr:col>
      <xdr:colOff>271463</xdr:colOff>
      <xdr:row>47</xdr:row>
      <xdr:rowOff>95249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7DF5FB-1816-4078-9C11-122BBEF9B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122873</xdr:colOff>
      <xdr:row>48</xdr:row>
      <xdr:rowOff>19048</xdr:rowOff>
    </xdr:from>
    <xdr:to>
      <xdr:col>7</xdr:col>
      <xdr:colOff>160973</xdr:colOff>
      <xdr:row>63</xdr:row>
      <xdr:rowOff>47623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1E017D1-8E49-40EB-99A5-55EC1E649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ti" refreshedDate="46039.589289930555" createdVersion="8" refreshedVersion="8" minRefreshableVersion="3" recordCount="500" xr:uid="{261086A7-D77C-409C-BFB8-C652D8DEE379}">
  <cacheSource type="worksheet">
    <worksheetSource name="Table1"/>
  </cacheSource>
  <cacheFields count="10">
    <cacheField name="Cars_ID" numFmtId="0">
      <sharedItems/>
    </cacheField>
    <cacheField name="Brand" numFmtId="49">
      <sharedItems count="7">
        <s v="Toyota"/>
        <s v="Tesla"/>
        <s v="Nissan"/>
        <s v="Hyundai"/>
        <s v="Mercedes"/>
        <s v="BMW"/>
        <s v="Kia"/>
      </sharedItems>
    </cacheField>
    <cacheField name="Model" numFmtId="0">
      <sharedItems/>
    </cacheField>
    <cacheField name="Year" numFmtId="0">
      <sharedItems containsSemiMixedTypes="0" containsString="0" containsNumber="1" containsInteger="1" minValue="2015" maxValue="2025" count="11">
        <n v="2023"/>
        <n v="2019"/>
        <n v="2018"/>
        <n v="2025"/>
        <n v="2016"/>
        <n v="2020"/>
        <n v="2021"/>
        <n v="2017"/>
        <n v="2015"/>
        <n v="2024"/>
        <n v="2022"/>
      </sharedItems>
    </cacheField>
    <cacheField name="Color" numFmtId="49">
      <sharedItems count="6">
        <s v="Red"/>
        <s v="Blue"/>
        <s v="White"/>
        <s v="Gray"/>
        <s v="Silver"/>
        <s v="Black"/>
      </sharedItems>
    </cacheField>
    <cacheField name="Engine_Type" numFmtId="49">
      <sharedItems count="4">
        <s v="Petrol"/>
        <s v="Electric"/>
        <s v="Hybrid"/>
        <s v="Diesel"/>
      </sharedItems>
    </cacheField>
    <cacheField name="Transmission" numFmtId="49">
      <sharedItems count="2">
        <s v="Automatic"/>
        <s v="Manual"/>
      </sharedItems>
    </cacheField>
    <cacheField name="Price" numFmtId="164">
      <sharedItems containsSemiMixedTypes="0" containsString="0" containsNumber="1" minValue="15040.82" maxValue="99989.119999999995"/>
    </cacheField>
    <cacheField name="Quantity_In_Stock" numFmtId="0">
      <sharedItems containsSemiMixedTypes="0" containsString="0" containsNumber="1" containsInteger="1" minValue="0" maxValue="20"/>
    </cacheField>
    <cacheField name="Status" numFmtId="49">
      <sharedItems count="4">
        <s v="Avai  lable"/>
        <s v="Available"/>
        <s v="Reserved"/>
        <s v="S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0001"/>
    <x v="0"/>
    <s v="Camry"/>
    <x v="0"/>
    <x v="0"/>
    <x v="0"/>
    <x v="0"/>
    <n v="80338.149999999994"/>
    <n v="6"/>
    <x v="0"/>
  </r>
  <r>
    <s v="C0002"/>
    <x v="1"/>
    <s v="Model 3"/>
    <x v="1"/>
    <x v="0"/>
    <x v="1"/>
    <x v="1"/>
    <n v="26437.73"/>
    <n v="16"/>
    <x v="1"/>
  </r>
  <r>
    <s v="C0003"/>
    <x v="2"/>
    <s v="Qashqai"/>
    <x v="2"/>
    <x v="1"/>
    <x v="1"/>
    <x v="0"/>
    <n v="50158.13"/>
    <n v="20"/>
    <x v="1"/>
  </r>
  <r>
    <s v="C0004"/>
    <x v="3"/>
    <s v="Sonata"/>
    <x v="3"/>
    <x v="0"/>
    <x v="2"/>
    <x v="0"/>
    <n v="33026.14"/>
    <n v="3"/>
    <x v="1"/>
  </r>
  <r>
    <s v="C0005"/>
    <x v="0"/>
    <s v="RAV4"/>
    <x v="4"/>
    <x v="2"/>
    <x v="2"/>
    <x v="1"/>
    <n v="79672.899999999994"/>
    <n v="9"/>
    <x v="2"/>
  </r>
  <r>
    <s v="C0006"/>
    <x v="3"/>
    <s v="Elantra"/>
    <x v="1"/>
    <x v="2"/>
    <x v="3"/>
    <x v="0"/>
    <n v="94225.03"/>
    <n v="17"/>
    <x v="3"/>
  </r>
  <r>
    <s v="C0007"/>
    <x v="4"/>
    <s v="C-Class"/>
    <x v="5"/>
    <x v="3"/>
    <x v="0"/>
    <x v="1"/>
    <n v="21344.38"/>
    <n v="7"/>
    <x v="2"/>
  </r>
  <r>
    <s v="C0008"/>
    <x v="1"/>
    <s v="Model 3"/>
    <x v="6"/>
    <x v="3"/>
    <x v="2"/>
    <x v="1"/>
    <n v="48813.94"/>
    <n v="14"/>
    <x v="2"/>
  </r>
  <r>
    <s v="C0009"/>
    <x v="5"/>
    <s v="3 Series"/>
    <x v="7"/>
    <x v="1"/>
    <x v="1"/>
    <x v="1"/>
    <n v="34430.1"/>
    <n v="14"/>
    <x v="3"/>
  </r>
  <r>
    <s v="C0010"/>
    <x v="1"/>
    <s v="Model S"/>
    <x v="8"/>
    <x v="0"/>
    <x v="2"/>
    <x v="1"/>
    <n v="42136.55"/>
    <n v="0"/>
    <x v="3"/>
  </r>
  <r>
    <s v="C0011"/>
    <x v="1"/>
    <s v="Model 3"/>
    <x v="7"/>
    <x v="4"/>
    <x v="1"/>
    <x v="0"/>
    <n v="17337.05"/>
    <n v="3"/>
    <x v="1"/>
  </r>
  <r>
    <s v="C0012"/>
    <x v="1"/>
    <s v="Model S"/>
    <x v="4"/>
    <x v="3"/>
    <x v="1"/>
    <x v="1"/>
    <n v="78178.58"/>
    <n v="13"/>
    <x v="2"/>
  </r>
  <r>
    <s v="C0013"/>
    <x v="3"/>
    <s v="Sonata"/>
    <x v="2"/>
    <x v="1"/>
    <x v="3"/>
    <x v="1"/>
    <n v="92616.24"/>
    <n v="2"/>
    <x v="3"/>
  </r>
  <r>
    <s v="C0014"/>
    <x v="0"/>
    <s v="RAV4"/>
    <x v="9"/>
    <x v="4"/>
    <x v="2"/>
    <x v="0"/>
    <n v="97512.33"/>
    <n v="18"/>
    <x v="2"/>
  </r>
  <r>
    <s v="C0015"/>
    <x v="2"/>
    <s v="Altima"/>
    <x v="1"/>
    <x v="1"/>
    <x v="3"/>
    <x v="1"/>
    <n v="89267.74"/>
    <n v="17"/>
    <x v="2"/>
  </r>
  <r>
    <s v="C0016"/>
    <x v="5"/>
    <s v="3 Series"/>
    <x v="9"/>
    <x v="5"/>
    <x v="0"/>
    <x v="1"/>
    <n v="36006.199999999997"/>
    <n v="10"/>
    <x v="2"/>
  </r>
  <r>
    <s v="C0017"/>
    <x v="2"/>
    <s v="Qashqai"/>
    <x v="2"/>
    <x v="4"/>
    <x v="0"/>
    <x v="0"/>
    <n v="30585.94"/>
    <n v="2"/>
    <x v="2"/>
  </r>
  <r>
    <s v="C0018"/>
    <x v="2"/>
    <s v="Qashqai"/>
    <x v="4"/>
    <x v="5"/>
    <x v="0"/>
    <x v="1"/>
    <n v="71104.740000000005"/>
    <n v="15"/>
    <x v="2"/>
  </r>
  <r>
    <s v="C0019"/>
    <x v="1"/>
    <s v="Model S"/>
    <x v="1"/>
    <x v="2"/>
    <x v="3"/>
    <x v="1"/>
    <n v="24426.04"/>
    <n v="2"/>
    <x v="3"/>
  </r>
  <r>
    <s v="C0020"/>
    <x v="0"/>
    <s v="Camry"/>
    <x v="10"/>
    <x v="1"/>
    <x v="1"/>
    <x v="1"/>
    <n v="68270.75"/>
    <n v="2"/>
    <x v="3"/>
  </r>
  <r>
    <s v="C0021"/>
    <x v="5"/>
    <s v="3 Series"/>
    <x v="5"/>
    <x v="0"/>
    <x v="3"/>
    <x v="0"/>
    <n v="60882.36"/>
    <n v="19"/>
    <x v="1"/>
  </r>
  <r>
    <s v="C0022"/>
    <x v="1"/>
    <s v="Model X"/>
    <x v="2"/>
    <x v="0"/>
    <x v="3"/>
    <x v="0"/>
    <n v="40366.14"/>
    <n v="18"/>
    <x v="3"/>
  </r>
  <r>
    <s v="C0023"/>
    <x v="1"/>
    <s v="Model 3"/>
    <x v="9"/>
    <x v="4"/>
    <x v="3"/>
    <x v="0"/>
    <n v="51077.41"/>
    <n v="20"/>
    <x v="2"/>
  </r>
  <r>
    <s v="C0024"/>
    <x v="4"/>
    <s v="E-Class"/>
    <x v="1"/>
    <x v="1"/>
    <x v="0"/>
    <x v="1"/>
    <n v="33546.720000000001"/>
    <n v="8"/>
    <x v="3"/>
  </r>
  <r>
    <s v="C0025"/>
    <x v="2"/>
    <s v="Altima"/>
    <x v="4"/>
    <x v="4"/>
    <x v="0"/>
    <x v="1"/>
    <n v="48204.7"/>
    <n v="2"/>
    <x v="1"/>
  </r>
  <r>
    <s v="C0026"/>
    <x v="5"/>
    <s v="3 Series"/>
    <x v="0"/>
    <x v="5"/>
    <x v="1"/>
    <x v="0"/>
    <n v="94847.47"/>
    <n v="5"/>
    <x v="3"/>
  </r>
  <r>
    <s v="C0027"/>
    <x v="4"/>
    <s v="E-Class"/>
    <x v="5"/>
    <x v="3"/>
    <x v="2"/>
    <x v="1"/>
    <n v="30021.18"/>
    <n v="8"/>
    <x v="1"/>
  </r>
  <r>
    <s v="C0028"/>
    <x v="6"/>
    <s v="Sportage"/>
    <x v="4"/>
    <x v="1"/>
    <x v="2"/>
    <x v="1"/>
    <n v="64476.81"/>
    <n v="10"/>
    <x v="3"/>
  </r>
  <r>
    <s v="C0029"/>
    <x v="1"/>
    <s v="Model 3"/>
    <x v="9"/>
    <x v="4"/>
    <x v="2"/>
    <x v="1"/>
    <n v="87083.91"/>
    <n v="11"/>
    <x v="3"/>
  </r>
  <r>
    <s v="C0030"/>
    <x v="3"/>
    <s v="Tucson"/>
    <x v="10"/>
    <x v="3"/>
    <x v="3"/>
    <x v="1"/>
    <n v="30892.91"/>
    <n v="0"/>
    <x v="1"/>
  </r>
  <r>
    <s v="C0031"/>
    <x v="4"/>
    <s v="E-Class"/>
    <x v="4"/>
    <x v="4"/>
    <x v="0"/>
    <x v="0"/>
    <n v="66365.919999999998"/>
    <n v="5"/>
    <x v="2"/>
  </r>
  <r>
    <s v="C0032"/>
    <x v="1"/>
    <s v="Model X"/>
    <x v="2"/>
    <x v="1"/>
    <x v="0"/>
    <x v="0"/>
    <n v="65576.929999999993"/>
    <n v="10"/>
    <x v="2"/>
  </r>
  <r>
    <s v="C0033"/>
    <x v="1"/>
    <s v="Model 3"/>
    <x v="5"/>
    <x v="2"/>
    <x v="0"/>
    <x v="1"/>
    <n v="21841.21"/>
    <n v="10"/>
    <x v="3"/>
  </r>
  <r>
    <s v="C0034"/>
    <x v="0"/>
    <s v="Camry"/>
    <x v="0"/>
    <x v="1"/>
    <x v="0"/>
    <x v="0"/>
    <n v="89206.33"/>
    <n v="18"/>
    <x v="1"/>
  </r>
  <r>
    <s v="C0035"/>
    <x v="6"/>
    <s v="Cerato"/>
    <x v="0"/>
    <x v="1"/>
    <x v="2"/>
    <x v="1"/>
    <n v="65266.64"/>
    <n v="5"/>
    <x v="3"/>
  </r>
  <r>
    <s v="C0036"/>
    <x v="0"/>
    <s v="Camry"/>
    <x v="7"/>
    <x v="0"/>
    <x v="1"/>
    <x v="0"/>
    <n v="22685.3"/>
    <n v="13"/>
    <x v="1"/>
  </r>
  <r>
    <s v="C0037"/>
    <x v="6"/>
    <s v="Sportage"/>
    <x v="9"/>
    <x v="0"/>
    <x v="3"/>
    <x v="1"/>
    <n v="18249.009999999998"/>
    <n v="15"/>
    <x v="3"/>
  </r>
  <r>
    <s v="C0038"/>
    <x v="2"/>
    <s v="Altima"/>
    <x v="7"/>
    <x v="2"/>
    <x v="1"/>
    <x v="0"/>
    <n v="17943.21"/>
    <n v="17"/>
    <x v="1"/>
  </r>
  <r>
    <s v="C0039"/>
    <x v="6"/>
    <s v="Cerato"/>
    <x v="10"/>
    <x v="3"/>
    <x v="2"/>
    <x v="0"/>
    <n v="79781.25"/>
    <n v="19"/>
    <x v="1"/>
  </r>
  <r>
    <s v="C0040"/>
    <x v="1"/>
    <s v="Model X"/>
    <x v="4"/>
    <x v="2"/>
    <x v="3"/>
    <x v="1"/>
    <n v="18775.419999999998"/>
    <n v="15"/>
    <x v="3"/>
  </r>
  <r>
    <s v="C0041"/>
    <x v="2"/>
    <s v="Qashqai"/>
    <x v="8"/>
    <x v="1"/>
    <x v="2"/>
    <x v="1"/>
    <n v="48152.43"/>
    <n v="15"/>
    <x v="3"/>
  </r>
  <r>
    <s v="C0042"/>
    <x v="4"/>
    <s v="E-Class"/>
    <x v="2"/>
    <x v="3"/>
    <x v="2"/>
    <x v="0"/>
    <n v="52740.959999999999"/>
    <n v="19"/>
    <x v="2"/>
  </r>
  <r>
    <s v="C0043"/>
    <x v="3"/>
    <s v="Sonata"/>
    <x v="2"/>
    <x v="4"/>
    <x v="3"/>
    <x v="0"/>
    <n v="24980.76"/>
    <n v="17"/>
    <x v="2"/>
  </r>
  <r>
    <s v="C0044"/>
    <x v="5"/>
    <s v="3 Series"/>
    <x v="1"/>
    <x v="2"/>
    <x v="3"/>
    <x v="0"/>
    <n v="34474.21"/>
    <n v="8"/>
    <x v="3"/>
  </r>
  <r>
    <s v="C0045"/>
    <x v="5"/>
    <s v="5 Series"/>
    <x v="5"/>
    <x v="2"/>
    <x v="1"/>
    <x v="1"/>
    <n v="85822.19"/>
    <n v="0"/>
    <x v="2"/>
  </r>
  <r>
    <s v="C0046"/>
    <x v="5"/>
    <s v="X5"/>
    <x v="10"/>
    <x v="2"/>
    <x v="2"/>
    <x v="0"/>
    <n v="99941.14"/>
    <n v="11"/>
    <x v="3"/>
  </r>
  <r>
    <s v="C0047"/>
    <x v="1"/>
    <s v="Model S"/>
    <x v="1"/>
    <x v="2"/>
    <x v="1"/>
    <x v="1"/>
    <n v="37412.17"/>
    <n v="7"/>
    <x v="1"/>
  </r>
  <r>
    <s v="C0048"/>
    <x v="4"/>
    <s v="GLA"/>
    <x v="10"/>
    <x v="5"/>
    <x v="0"/>
    <x v="0"/>
    <n v="72301.279999999999"/>
    <n v="17"/>
    <x v="1"/>
  </r>
  <r>
    <s v="C0049"/>
    <x v="1"/>
    <s v="Model S"/>
    <x v="5"/>
    <x v="0"/>
    <x v="3"/>
    <x v="0"/>
    <n v="58158.34"/>
    <n v="5"/>
    <x v="3"/>
  </r>
  <r>
    <s v="C0050"/>
    <x v="4"/>
    <s v="C-Class"/>
    <x v="9"/>
    <x v="0"/>
    <x v="3"/>
    <x v="1"/>
    <n v="88724.54"/>
    <n v="16"/>
    <x v="2"/>
  </r>
  <r>
    <s v="C0051"/>
    <x v="6"/>
    <s v="Sportage"/>
    <x v="5"/>
    <x v="3"/>
    <x v="3"/>
    <x v="0"/>
    <n v="29037.62"/>
    <n v="5"/>
    <x v="3"/>
  </r>
  <r>
    <s v="C0052"/>
    <x v="6"/>
    <s v="Sportage"/>
    <x v="10"/>
    <x v="3"/>
    <x v="3"/>
    <x v="1"/>
    <n v="26075.52"/>
    <n v="20"/>
    <x v="1"/>
  </r>
  <r>
    <s v="C0053"/>
    <x v="1"/>
    <s v="Model X"/>
    <x v="10"/>
    <x v="5"/>
    <x v="2"/>
    <x v="1"/>
    <n v="33621.82"/>
    <n v="13"/>
    <x v="3"/>
  </r>
  <r>
    <s v="C0054"/>
    <x v="0"/>
    <s v="Camry"/>
    <x v="2"/>
    <x v="4"/>
    <x v="2"/>
    <x v="1"/>
    <n v="30129.17"/>
    <n v="20"/>
    <x v="2"/>
  </r>
  <r>
    <s v="C0055"/>
    <x v="5"/>
    <s v="X5"/>
    <x v="8"/>
    <x v="1"/>
    <x v="3"/>
    <x v="0"/>
    <n v="77348.2"/>
    <n v="16"/>
    <x v="1"/>
  </r>
  <r>
    <s v="C0056"/>
    <x v="2"/>
    <s v="Sunny"/>
    <x v="6"/>
    <x v="3"/>
    <x v="3"/>
    <x v="1"/>
    <n v="65876.67"/>
    <n v="8"/>
    <x v="1"/>
  </r>
  <r>
    <s v="C0057"/>
    <x v="2"/>
    <s v="Altima"/>
    <x v="2"/>
    <x v="5"/>
    <x v="3"/>
    <x v="1"/>
    <n v="61473.24"/>
    <n v="18"/>
    <x v="1"/>
  </r>
  <r>
    <s v="C0058"/>
    <x v="1"/>
    <s v="Model S"/>
    <x v="0"/>
    <x v="5"/>
    <x v="1"/>
    <x v="0"/>
    <n v="94755.18"/>
    <n v="12"/>
    <x v="1"/>
  </r>
  <r>
    <s v="C0059"/>
    <x v="6"/>
    <s v="Sportage"/>
    <x v="5"/>
    <x v="3"/>
    <x v="0"/>
    <x v="1"/>
    <n v="91552.46"/>
    <n v="4"/>
    <x v="3"/>
  </r>
  <r>
    <s v="C0060"/>
    <x v="0"/>
    <s v="Corolla"/>
    <x v="0"/>
    <x v="4"/>
    <x v="3"/>
    <x v="1"/>
    <n v="99129.16"/>
    <n v="1"/>
    <x v="2"/>
  </r>
  <r>
    <s v="C0061"/>
    <x v="2"/>
    <s v="Sunny"/>
    <x v="1"/>
    <x v="5"/>
    <x v="0"/>
    <x v="1"/>
    <n v="70324.990000000005"/>
    <n v="19"/>
    <x v="1"/>
  </r>
  <r>
    <s v="C0062"/>
    <x v="1"/>
    <s v="Model X"/>
    <x v="7"/>
    <x v="5"/>
    <x v="1"/>
    <x v="1"/>
    <n v="39427.050000000003"/>
    <n v="13"/>
    <x v="1"/>
  </r>
  <r>
    <s v="C0063"/>
    <x v="6"/>
    <s v="Seltos"/>
    <x v="1"/>
    <x v="0"/>
    <x v="3"/>
    <x v="1"/>
    <n v="83221.84"/>
    <n v="16"/>
    <x v="3"/>
  </r>
  <r>
    <s v="C0064"/>
    <x v="3"/>
    <s v="Tucson"/>
    <x v="1"/>
    <x v="4"/>
    <x v="3"/>
    <x v="0"/>
    <n v="37129.03"/>
    <n v="7"/>
    <x v="2"/>
  </r>
  <r>
    <s v="C0065"/>
    <x v="2"/>
    <s v="Altima"/>
    <x v="1"/>
    <x v="3"/>
    <x v="1"/>
    <x v="1"/>
    <n v="46080.53"/>
    <n v="2"/>
    <x v="1"/>
  </r>
  <r>
    <s v="C0066"/>
    <x v="4"/>
    <s v="E-Class"/>
    <x v="7"/>
    <x v="2"/>
    <x v="2"/>
    <x v="1"/>
    <n v="94252.12"/>
    <n v="11"/>
    <x v="2"/>
  </r>
  <r>
    <s v="C0067"/>
    <x v="3"/>
    <s v="Elantra"/>
    <x v="4"/>
    <x v="4"/>
    <x v="3"/>
    <x v="1"/>
    <n v="16670.509999999998"/>
    <n v="18"/>
    <x v="2"/>
  </r>
  <r>
    <s v="C0068"/>
    <x v="3"/>
    <s v="Tucson"/>
    <x v="2"/>
    <x v="5"/>
    <x v="3"/>
    <x v="0"/>
    <n v="47910.8"/>
    <n v="5"/>
    <x v="3"/>
  </r>
  <r>
    <s v="C0069"/>
    <x v="3"/>
    <s v="Sonata"/>
    <x v="0"/>
    <x v="1"/>
    <x v="2"/>
    <x v="0"/>
    <n v="31312.75"/>
    <n v="19"/>
    <x v="1"/>
  </r>
  <r>
    <s v="C0070"/>
    <x v="3"/>
    <s v="Sonata"/>
    <x v="4"/>
    <x v="5"/>
    <x v="2"/>
    <x v="0"/>
    <n v="37639.31"/>
    <n v="19"/>
    <x v="2"/>
  </r>
  <r>
    <s v="C0071"/>
    <x v="6"/>
    <s v="Seltos"/>
    <x v="7"/>
    <x v="5"/>
    <x v="1"/>
    <x v="0"/>
    <n v="53635.55"/>
    <n v="4"/>
    <x v="1"/>
  </r>
  <r>
    <s v="C0072"/>
    <x v="4"/>
    <s v="GLA"/>
    <x v="4"/>
    <x v="0"/>
    <x v="1"/>
    <x v="1"/>
    <n v="90776.35"/>
    <n v="5"/>
    <x v="1"/>
  </r>
  <r>
    <s v="C0073"/>
    <x v="6"/>
    <s v="Sportage"/>
    <x v="8"/>
    <x v="0"/>
    <x v="3"/>
    <x v="1"/>
    <n v="81463.08"/>
    <n v="15"/>
    <x v="2"/>
  </r>
  <r>
    <s v="C0074"/>
    <x v="3"/>
    <s v="Tucson"/>
    <x v="7"/>
    <x v="3"/>
    <x v="1"/>
    <x v="0"/>
    <n v="92661.53"/>
    <n v="5"/>
    <x v="1"/>
  </r>
  <r>
    <s v="C0075"/>
    <x v="6"/>
    <s v="Seltos"/>
    <x v="5"/>
    <x v="5"/>
    <x v="0"/>
    <x v="0"/>
    <n v="87777.21"/>
    <n v="9"/>
    <x v="2"/>
  </r>
  <r>
    <s v="C0076"/>
    <x v="2"/>
    <s v="Qashqai"/>
    <x v="5"/>
    <x v="4"/>
    <x v="2"/>
    <x v="1"/>
    <n v="97778.44"/>
    <n v="15"/>
    <x v="1"/>
  </r>
  <r>
    <s v="C0077"/>
    <x v="0"/>
    <s v="RAV4"/>
    <x v="2"/>
    <x v="5"/>
    <x v="1"/>
    <x v="0"/>
    <n v="37286.07"/>
    <n v="7"/>
    <x v="3"/>
  </r>
  <r>
    <s v="C0078"/>
    <x v="5"/>
    <s v="3 Series"/>
    <x v="5"/>
    <x v="1"/>
    <x v="2"/>
    <x v="1"/>
    <n v="87241.9"/>
    <n v="2"/>
    <x v="1"/>
  </r>
  <r>
    <s v="C0079"/>
    <x v="0"/>
    <s v="Corolla"/>
    <x v="1"/>
    <x v="1"/>
    <x v="3"/>
    <x v="0"/>
    <n v="86983.02"/>
    <n v="1"/>
    <x v="1"/>
  </r>
  <r>
    <s v="C0080"/>
    <x v="5"/>
    <s v="X5"/>
    <x v="5"/>
    <x v="2"/>
    <x v="0"/>
    <x v="0"/>
    <n v="97807.1"/>
    <n v="13"/>
    <x v="3"/>
  </r>
  <r>
    <s v="C0081"/>
    <x v="1"/>
    <s v="Model 3"/>
    <x v="4"/>
    <x v="5"/>
    <x v="0"/>
    <x v="1"/>
    <n v="37385.339999999997"/>
    <n v="12"/>
    <x v="2"/>
  </r>
  <r>
    <s v="C0082"/>
    <x v="1"/>
    <s v="Model S"/>
    <x v="8"/>
    <x v="3"/>
    <x v="3"/>
    <x v="0"/>
    <n v="71327.53"/>
    <n v="16"/>
    <x v="3"/>
  </r>
  <r>
    <s v="C0083"/>
    <x v="3"/>
    <s v="Elantra"/>
    <x v="5"/>
    <x v="5"/>
    <x v="1"/>
    <x v="1"/>
    <n v="94839.15"/>
    <n v="16"/>
    <x v="1"/>
  </r>
  <r>
    <s v="C0084"/>
    <x v="5"/>
    <s v="3 Series"/>
    <x v="9"/>
    <x v="2"/>
    <x v="0"/>
    <x v="1"/>
    <n v="45427.97"/>
    <n v="18"/>
    <x v="1"/>
  </r>
  <r>
    <s v="C0085"/>
    <x v="4"/>
    <s v="E-Class"/>
    <x v="5"/>
    <x v="2"/>
    <x v="3"/>
    <x v="1"/>
    <n v="92630.78"/>
    <n v="18"/>
    <x v="2"/>
  </r>
  <r>
    <s v="C0086"/>
    <x v="5"/>
    <s v="5 Series"/>
    <x v="1"/>
    <x v="4"/>
    <x v="2"/>
    <x v="0"/>
    <n v="73510.91"/>
    <n v="14"/>
    <x v="1"/>
  </r>
  <r>
    <s v="C0087"/>
    <x v="4"/>
    <s v="GLA"/>
    <x v="3"/>
    <x v="3"/>
    <x v="2"/>
    <x v="1"/>
    <n v="68728.350000000006"/>
    <n v="10"/>
    <x v="1"/>
  </r>
  <r>
    <s v="C0088"/>
    <x v="6"/>
    <s v="Cerato"/>
    <x v="9"/>
    <x v="2"/>
    <x v="2"/>
    <x v="0"/>
    <n v="92417.23"/>
    <n v="0"/>
    <x v="3"/>
  </r>
  <r>
    <s v="C0089"/>
    <x v="2"/>
    <s v="Qashqai"/>
    <x v="2"/>
    <x v="0"/>
    <x v="1"/>
    <x v="1"/>
    <n v="33212.379999999997"/>
    <n v="14"/>
    <x v="2"/>
  </r>
  <r>
    <s v="C0090"/>
    <x v="5"/>
    <s v="5 Series"/>
    <x v="1"/>
    <x v="4"/>
    <x v="1"/>
    <x v="0"/>
    <n v="17920.21"/>
    <n v="10"/>
    <x v="2"/>
  </r>
  <r>
    <s v="C0091"/>
    <x v="3"/>
    <s v="Tucson"/>
    <x v="2"/>
    <x v="5"/>
    <x v="1"/>
    <x v="1"/>
    <n v="92699.73"/>
    <n v="8"/>
    <x v="2"/>
  </r>
  <r>
    <s v="C0092"/>
    <x v="4"/>
    <s v="GLA"/>
    <x v="0"/>
    <x v="2"/>
    <x v="0"/>
    <x v="0"/>
    <n v="78374.899999999994"/>
    <n v="10"/>
    <x v="1"/>
  </r>
  <r>
    <s v="C0093"/>
    <x v="3"/>
    <s v="Tucson"/>
    <x v="1"/>
    <x v="1"/>
    <x v="1"/>
    <x v="1"/>
    <n v="86288.69"/>
    <n v="14"/>
    <x v="3"/>
  </r>
  <r>
    <s v="C0094"/>
    <x v="1"/>
    <s v="Model 3"/>
    <x v="0"/>
    <x v="4"/>
    <x v="2"/>
    <x v="0"/>
    <n v="35633.32"/>
    <n v="12"/>
    <x v="3"/>
  </r>
  <r>
    <s v="C0095"/>
    <x v="0"/>
    <s v="Camry"/>
    <x v="0"/>
    <x v="2"/>
    <x v="2"/>
    <x v="1"/>
    <n v="74054.31"/>
    <n v="3"/>
    <x v="2"/>
  </r>
  <r>
    <s v="C0096"/>
    <x v="2"/>
    <s v="Qashqai"/>
    <x v="1"/>
    <x v="2"/>
    <x v="0"/>
    <x v="0"/>
    <n v="61660.65"/>
    <n v="1"/>
    <x v="2"/>
  </r>
  <r>
    <s v="C0097"/>
    <x v="3"/>
    <s v="Sonata"/>
    <x v="3"/>
    <x v="2"/>
    <x v="3"/>
    <x v="0"/>
    <n v="56746.29"/>
    <n v="4"/>
    <x v="3"/>
  </r>
  <r>
    <s v="C0098"/>
    <x v="1"/>
    <s v="Model X"/>
    <x v="7"/>
    <x v="1"/>
    <x v="1"/>
    <x v="0"/>
    <n v="99875.13"/>
    <n v="17"/>
    <x v="2"/>
  </r>
  <r>
    <s v="C0099"/>
    <x v="3"/>
    <s v="Tucson"/>
    <x v="2"/>
    <x v="3"/>
    <x v="3"/>
    <x v="0"/>
    <n v="38984.11"/>
    <n v="0"/>
    <x v="2"/>
  </r>
  <r>
    <s v="C0100"/>
    <x v="2"/>
    <s v="Sunny"/>
    <x v="2"/>
    <x v="1"/>
    <x v="0"/>
    <x v="1"/>
    <n v="74108.179999999993"/>
    <n v="10"/>
    <x v="2"/>
  </r>
  <r>
    <s v="C0101"/>
    <x v="4"/>
    <s v="GLA"/>
    <x v="8"/>
    <x v="4"/>
    <x v="2"/>
    <x v="1"/>
    <n v="75529.64"/>
    <n v="11"/>
    <x v="3"/>
  </r>
  <r>
    <s v="C0102"/>
    <x v="0"/>
    <s v="Camry"/>
    <x v="2"/>
    <x v="0"/>
    <x v="2"/>
    <x v="0"/>
    <n v="95035.77"/>
    <n v="10"/>
    <x v="3"/>
  </r>
  <r>
    <s v="C0103"/>
    <x v="2"/>
    <s v="Altima"/>
    <x v="1"/>
    <x v="0"/>
    <x v="2"/>
    <x v="1"/>
    <n v="33878.129999999997"/>
    <n v="5"/>
    <x v="1"/>
  </r>
  <r>
    <s v="C0104"/>
    <x v="4"/>
    <s v="C-Class"/>
    <x v="5"/>
    <x v="2"/>
    <x v="0"/>
    <x v="0"/>
    <n v="88830.31"/>
    <n v="3"/>
    <x v="2"/>
  </r>
  <r>
    <s v="C0105"/>
    <x v="6"/>
    <s v="Sportage"/>
    <x v="10"/>
    <x v="2"/>
    <x v="3"/>
    <x v="1"/>
    <n v="54845.1"/>
    <n v="12"/>
    <x v="3"/>
  </r>
  <r>
    <s v="C0106"/>
    <x v="5"/>
    <s v="5 Series"/>
    <x v="0"/>
    <x v="2"/>
    <x v="0"/>
    <x v="0"/>
    <n v="57448.98"/>
    <n v="18"/>
    <x v="2"/>
  </r>
  <r>
    <s v="C0107"/>
    <x v="3"/>
    <s v="Tucson"/>
    <x v="6"/>
    <x v="3"/>
    <x v="1"/>
    <x v="0"/>
    <n v="46740.58"/>
    <n v="14"/>
    <x v="3"/>
  </r>
  <r>
    <s v="C0108"/>
    <x v="5"/>
    <s v="3 Series"/>
    <x v="1"/>
    <x v="3"/>
    <x v="1"/>
    <x v="0"/>
    <n v="68415"/>
    <n v="14"/>
    <x v="3"/>
  </r>
  <r>
    <s v="C0109"/>
    <x v="0"/>
    <s v="RAV4"/>
    <x v="10"/>
    <x v="2"/>
    <x v="1"/>
    <x v="1"/>
    <n v="97204.59"/>
    <n v="0"/>
    <x v="2"/>
  </r>
  <r>
    <s v="C0110"/>
    <x v="2"/>
    <s v="Sunny"/>
    <x v="2"/>
    <x v="3"/>
    <x v="0"/>
    <x v="1"/>
    <n v="40546.31"/>
    <n v="2"/>
    <x v="1"/>
  </r>
  <r>
    <s v="C0111"/>
    <x v="6"/>
    <s v="Sportage"/>
    <x v="4"/>
    <x v="5"/>
    <x v="0"/>
    <x v="0"/>
    <n v="96742.24"/>
    <n v="17"/>
    <x v="3"/>
  </r>
  <r>
    <s v="C0112"/>
    <x v="2"/>
    <s v="Altima"/>
    <x v="6"/>
    <x v="0"/>
    <x v="2"/>
    <x v="1"/>
    <n v="46778.03"/>
    <n v="10"/>
    <x v="3"/>
  </r>
  <r>
    <s v="C0113"/>
    <x v="0"/>
    <s v="RAV4"/>
    <x v="9"/>
    <x v="2"/>
    <x v="3"/>
    <x v="0"/>
    <n v="35194.67"/>
    <n v="6"/>
    <x v="1"/>
  </r>
  <r>
    <s v="C0114"/>
    <x v="3"/>
    <s v="Tucson"/>
    <x v="9"/>
    <x v="1"/>
    <x v="2"/>
    <x v="1"/>
    <n v="63367.44"/>
    <n v="16"/>
    <x v="1"/>
  </r>
  <r>
    <s v="C0115"/>
    <x v="1"/>
    <s v="Model X"/>
    <x v="8"/>
    <x v="0"/>
    <x v="1"/>
    <x v="1"/>
    <n v="98105.600000000006"/>
    <n v="17"/>
    <x v="3"/>
  </r>
  <r>
    <s v="C0116"/>
    <x v="1"/>
    <s v="Model X"/>
    <x v="5"/>
    <x v="5"/>
    <x v="0"/>
    <x v="0"/>
    <n v="43309.15"/>
    <n v="0"/>
    <x v="2"/>
  </r>
  <r>
    <s v="C0117"/>
    <x v="0"/>
    <s v="Corolla"/>
    <x v="4"/>
    <x v="3"/>
    <x v="0"/>
    <x v="1"/>
    <n v="25746.43"/>
    <n v="14"/>
    <x v="2"/>
  </r>
  <r>
    <s v="C0118"/>
    <x v="5"/>
    <s v="X5"/>
    <x v="0"/>
    <x v="0"/>
    <x v="0"/>
    <x v="0"/>
    <n v="77133.350000000006"/>
    <n v="13"/>
    <x v="3"/>
  </r>
  <r>
    <s v="C0119"/>
    <x v="4"/>
    <s v="GLA"/>
    <x v="2"/>
    <x v="5"/>
    <x v="2"/>
    <x v="1"/>
    <n v="23200.240000000002"/>
    <n v="17"/>
    <x v="1"/>
  </r>
  <r>
    <s v="C0120"/>
    <x v="2"/>
    <s v="Qashqai"/>
    <x v="4"/>
    <x v="5"/>
    <x v="0"/>
    <x v="1"/>
    <n v="56469.05"/>
    <n v="2"/>
    <x v="2"/>
  </r>
  <r>
    <s v="C0121"/>
    <x v="2"/>
    <s v="Sunny"/>
    <x v="10"/>
    <x v="4"/>
    <x v="3"/>
    <x v="1"/>
    <n v="62501.37"/>
    <n v="20"/>
    <x v="2"/>
  </r>
  <r>
    <s v="C0122"/>
    <x v="1"/>
    <s v="Model 3"/>
    <x v="2"/>
    <x v="1"/>
    <x v="0"/>
    <x v="1"/>
    <n v="85848.09"/>
    <n v="20"/>
    <x v="1"/>
  </r>
  <r>
    <s v="C0123"/>
    <x v="4"/>
    <s v="E-Class"/>
    <x v="6"/>
    <x v="2"/>
    <x v="0"/>
    <x v="0"/>
    <n v="23630.560000000001"/>
    <n v="19"/>
    <x v="2"/>
  </r>
  <r>
    <s v="C0124"/>
    <x v="2"/>
    <s v="Sunny"/>
    <x v="8"/>
    <x v="1"/>
    <x v="3"/>
    <x v="1"/>
    <n v="44875.07"/>
    <n v="18"/>
    <x v="2"/>
  </r>
  <r>
    <s v="C0125"/>
    <x v="1"/>
    <s v="Model S"/>
    <x v="7"/>
    <x v="4"/>
    <x v="1"/>
    <x v="0"/>
    <n v="35200.68"/>
    <n v="9"/>
    <x v="1"/>
  </r>
  <r>
    <s v="C0126"/>
    <x v="2"/>
    <s v="Sunny"/>
    <x v="9"/>
    <x v="2"/>
    <x v="1"/>
    <x v="0"/>
    <n v="67563.87"/>
    <n v="2"/>
    <x v="3"/>
  </r>
  <r>
    <s v="C0127"/>
    <x v="0"/>
    <s v="Camry"/>
    <x v="3"/>
    <x v="0"/>
    <x v="3"/>
    <x v="1"/>
    <n v="93219.23"/>
    <n v="3"/>
    <x v="2"/>
  </r>
  <r>
    <s v="C0128"/>
    <x v="6"/>
    <s v="Seltos"/>
    <x v="1"/>
    <x v="3"/>
    <x v="3"/>
    <x v="1"/>
    <n v="84135.49"/>
    <n v="12"/>
    <x v="1"/>
  </r>
  <r>
    <s v="C0129"/>
    <x v="6"/>
    <s v="Sportage"/>
    <x v="4"/>
    <x v="1"/>
    <x v="2"/>
    <x v="0"/>
    <n v="95882.76"/>
    <n v="15"/>
    <x v="2"/>
  </r>
  <r>
    <s v="C0130"/>
    <x v="4"/>
    <s v="GLA"/>
    <x v="6"/>
    <x v="2"/>
    <x v="2"/>
    <x v="0"/>
    <n v="48149.33"/>
    <n v="6"/>
    <x v="1"/>
  </r>
  <r>
    <s v="C0131"/>
    <x v="0"/>
    <s v="RAV4"/>
    <x v="3"/>
    <x v="1"/>
    <x v="1"/>
    <x v="0"/>
    <n v="61924.42"/>
    <n v="9"/>
    <x v="3"/>
  </r>
  <r>
    <s v="C0132"/>
    <x v="3"/>
    <s v="Sonata"/>
    <x v="10"/>
    <x v="4"/>
    <x v="1"/>
    <x v="0"/>
    <n v="58245.71"/>
    <n v="19"/>
    <x v="2"/>
  </r>
  <r>
    <s v="C0133"/>
    <x v="6"/>
    <s v="Sportage"/>
    <x v="5"/>
    <x v="5"/>
    <x v="3"/>
    <x v="1"/>
    <n v="20192.759999999998"/>
    <n v="7"/>
    <x v="2"/>
  </r>
  <r>
    <s v="C0134"/>
    <x v="0"/>
    <s v="Camry"/>
    <x v="4"/>
    <x v="3"/>
    <x v="3"/>
    <x v="0"/>
    <n v="51529.96"/>
    <n v="8"/>
    <x v="3"/>
  </r>
  <r>
    <s v="C0135"/>
    <x v="4"/>
    <s v="C-Class"/>
    <x v="8"/>
    <x v="2"/>
    <x v="2"/>
    <x v="0"/>
    <n v="55815.59"/>
    <n v="5"/>
    <x v="3"/>
  </r>
  <r>
    <s v="C0136"/>
    <x v="5"/>
    <s v="3 Series"/>
    <x v="1"/>
    <x v="3"/>
    <x v="0"/>
    <x v="1"/>
    <n v="84503.94"/>
    <n v="20"/>
    <x v="3"/>
  </r>
  <r>
    <s v="C0137"/>
    <x v="5"/>
    <s v="X5"/>
    <x v="4"/>
    <x v="4"/>
    <x v="0"/>
    <x v="1"/>
    <n v="49659.73"/>
    <n v="12"/>
    <x v="3"/>
  </r>
  <r>
    <s v="C0138"/>
    <x v="0"/>
    <s v="Camry"/>
    <x v="9"/>
    <x v="1"/>
    <x v="2"/>
    <x v="0"/>
    <n v="71116.490000000005"/>
    <n v="7"/>
    <x v="3"/>
  </r>
  <r>
    <s v="C0139"/>
    <x v="1"/>
    <s v="Model 3"/>
    <x v="1"/>
    <x v="2"/>
    <x v="3"/>
    <x v="0"/>
    <n v="63900.82"/>
    <n v="13"/>
    <x v="1"/>
  </r>
  <r>
    <s v="C0140"/>
    <x v="5"/>
    <s v="X5"/>
    <x v="3"/>
    <x v="0"/>
    <x v="2"/>
    <x v="1"/>
    <n v="22543.49"/>
    <n v="11"/>
    <x v="3"/>
  </r>
  <r>
    <s v="C0141"/>
    <x v="1"/>
    <s v="Model X"/>
    <x v="10"/>
    <x v="3"/>
    <x v="1"/>
    <x v="1"/>
    <n v="49552.44"/>
    <n v="8"/>
    <x v="2"/>
  </r>
  <r>
    <s v="C0142"/>
    <x v="3"/>
    <s v="Tucson"/>
    <x v="4"/>
    <x v="1"/>
    <x v="3"/>
    <x v="0"/>
    <n v="39878.32"/>
    <n v="5"/>
    <x v="1"/>
  </r>
  <r>
    <s v="C0143"/>
    <x v="5"/>
    <s v="X5"/>
    <x v="1"/>
    <x v="0"/>
    <x v="1"/>
    <x v="1"/>
    <n v="97300.14"/>
    <n v="4"/>
    <x v="3"/>
  </r>
  <r>
    <s v="C0144"/>
    <x v="5"/>
    <s v="5 Series"/>
    <x v="6"/>
    <x v="5"/>
    <x v="1"/>
    <x v="0"/>
    <n v="71068.19"/>
    <n v="7"/>
    <x v="3"/>
  </r>
  <r>
    <s v="C0145"/>
    <x v="4"/>
    <s v="C-Class"/>
    <x v="1"/>
    <x v="1"/>
    <x v="0"/>
    <x v="1"/>
    <n v="89690.07"/>
    <n v="10"/>
    <x v="3"/>
  </r>
  <r>
    <s v="C0146"/>
    <x v="6"/>
    <s v="Seltos"/>
    <x v="9"/>
    <x v="2"/>
    <x v="0"/>
    <x v="1"/>
    <n v="32150.03"/>
    <n v="14"/>
    <x v="2"/>
  </r>
  <r>
    <s v="C0147"/>
    <x v="4"/>
    <s v="GLA"/>
    <x v="2"/>
    <x v="2"/>
    <x v="1"/>
    <x v="0"/>
    <n v="40101.919999999998"/>
    <n v="13"/>
    <x v="1"/>
  </r>
  <r>
    <s v="C0148"/>
    <x v="0"/>
    <s v="RAV4"/>
    <x v="8"/>
    <x v="3"/>
    <x v="3"/>
    <x v="1"/>
    <n v="60714.01"/>
    <n v="13"/>
    <x v="2"/>
  </r>
  <r>
    <s v="C0149"/>
    <x v="2"/>
    <s v="Sunny"/>
    <x v="4"/>
    <x v="2"/>
    <x v="3"/>
    <x v="1"/>
    <n v="89010.17"/>
    <n v="18"/>
    <x v="1"/>
  </r>
  <r>
    <s v="C0150"/>
    <x v="3"/>
    <s v="Tucson"/>
    <x v="7"/>
    <x v="1"/>
    <x v="0"/>
    <x v="1"/>
    <n v="78555.28"/>
    <n v="10"/>
    <x v="1"/>
  </r>
  <r>
    <s v="C0151"/>
    <x v="3"/>
    <s v="Sonata"/>
    <x v="7"/>
    <x v="3"/>
    <x v="0"/>
    <x v="1"/>
    <n v="44911.18"/>
    <n v="6"/>
    <x v="3"/>
  </r>
  <r>
    <s v="C0152"/>
    <x v="3"/>
    <s v="Elantra"/>
    <x v="10"/>
    <x v="0"/>
    <x v="2"/>
    <x v="0"/>
    <n v="18449.830000000002"/>
    <n v="1"/>
    <x v="3"/>
  </r>
  <r>
    <s v="C0153"/>
    <x v="6"/>
    <s v="Cerato"/>
    <x v="4"/>
    <x v="5"/>
    <x v="2"/>
    <x v="0"/>
    <n v="86495.32"/>
    <n v="15"/>
    <x v="2"/>
  </r>
  <r>
    <s v="C0154"/>
    <x v="1"/>
    <s v="Model 3"/>
    <x v="2"/>
    <x v="4"/>
    <x v="0"/>
    <x v="1"/>
    <n v="41195.199999999997"/>
    <n v="19"/>
    <x v="2"/>
  </r>
  <r>
    <s v="C0155"/>
    <x v="4"/>
    <s v="C-Class"/>
    <x v="10"/>
    <x v="1"/>
    <x v="0"/>
    <x v="0"/>
    <n v="15064.15"/>
    <n v="16"/>
    <x v="1"/>
  </r>
  <r>
    <s v="C0156"/>
    <x v="3"/>
    <s v="Sonata"/>
    <x v="8"/>
    <x v="3"/>
    <x v="2"/>
    <x v="1"/>
    <n v="22779.54"/>
    <n v="13"/>
    <x v="1"/>
  </r>
  <r>
    <s v="C0157"/>
    <x v="4"/>
    <s v="E-Class"/>
    <x v="9"/>
    <x v="4"/>
    <x v="2"/>
    <x v="1"/>
    <n v="54478.11"/>
    <n v="5"/>
    <x v="1"/>
  </r>
  <r>
    <s v="C0158"/>
    <x v="3"/>
    <s v="Elantra"/>
    <x v="2"/>
    <x v="2"/>
    <x v="2"/>
    <x v="1"/>
    <n v="15564.23"/>
    <n v="18"/>
    <x v="2"/>
  </r>
  <r>
    <s v="C0159"/>
    <x v="0"/>
    <s v="RAV4"/>
    <x v="1"/>
    <x v="5"/>
    <x v="3"/>
    <x v="0"/>
    <n v="37017.339999999997"/>
    <n v="6"/>
    <x v="3"/>
  </r>
  <r>
    <s v="C0160"/>
    <x v="5"/>
    <s v="X5"/>
    <x v="2"/>
    <x v="0"/>
    <x v="0"/>
    <x v="1"/>
    <n v="56409.55"/>
    <n v="20"/>
    <x v="3"/>
  </r>
  <r>
    <s v="C0161"/>
    <x v="4"/>
    <s v="C-Class"/>
    <x v="4"/>
    <x v="4"/>
    <x v="0"/>
    <x v="1"/>
    <n v="26413.01"/>
    <n v="8"/>
    <x v="2"/>
  </r>
  <r>
    <s v="C0162"/>
    <x v="2"/>
    <s v="Qashqai"/>
    <x v="8"/>
    <x v="3"/>
    <x v="1"/>
    <x v="1"/>
    <n v="53008.54"/>
    <n v="7"/>
    <x v="1"/>
  </r>
  <r>
    <s v="C0163"/>
    <x v="1"/>
    <s v="Model X"/>
    <x v="5"/>
    <x v="3"/>
    <x v="3"/>
    <x v="1"/>
    <n v="46277.93"/>
    <n v="17"/>
    <x v="2"/>
  </r>
  <r>
    <s v="C0164"/>
    <x v="1"/>
    <s v="Model S"/>
    <x v="0"/>
    <x v="2"/>
    <x v="0"/>
    <x v="0"/>
    <n v="42464.66"/>
    <n v="3"/>
    <x v="1"/>
  </r>
  <r>
    <s v="C0165"/>
    <x v="1"/>
    <s v="Model S"/>
    <x v="4"/>
    <x v="3"/>
    <x v="0"/>
    <x v="1"/>
    <n v="64280.26"/>
    <n v="17"/>
    <x v="2"/>
  </r>
  <r>
    <s v="C0166"/>
    <x v="1"/>
    <s v="Model X"/>
    <x v="10"/>
    <x v="2"/>
    <x v="0"/>
    <x v="0"/>
    <n v="44421.49"/>
    <n v="9"/>
    <x v="3"/>
  </r>
  <r>
    <s v="C0167"/>
    <x v="4"/>
    <s v="GLA"/>
    <x v="6"/>
    <x v="4"/>
    <x v="2"/>
    <x v="0"/>
    <n v="56347.83"/>
    <n v="6"/>
    <x v="1"/>
  </r>
  <r>
    <s v="C0168"/>
    <x v="0"/>
    <s v="Camry"/>
    <x v="1"/>
    <x v="3"/>
    <x v="3"/>
    <x v="1"/>
    <n v="34744.17"/>
    <n v="20"/>
    <x v="2"/>
  </r>
  <r>
    <s v="C0169"/>
    <x v="0"/>
    <s v="Corolla"/>
    <x v="0"/>
    <x v="2"/>
    <x v="0"/>
    <x v="1"/>
    <n v="77945.94"/>
    <n v="1"/>
    <x v="3"/>
  </r>
  <r>
    <s v="C0170"/>
    <x v="0"/>
    <s v="Camry"/>
    <x v="9"/>
    <x v="5"/>
    <x v="1"/>
    <x v="1"/>
    <n v="25733.99"/>
    <n v="14"/>
    <x v="3"/>
  </r>
  <r>
    <s v="C0171"/>
    <x v="1"/>
    <s v="Model X"/>
    <x v="9"/>
    <x v="0"/>
    <x v="0"/>
    <x v="0"/>
    <n v="23723.97"/>
    <n v="9"/>
    <x v="2"/>
  </r>
  <r>
    <s v="C0172"/>
    <x v="4"/>
    <s v="C-Class"/>
    <x v="8"/>
    <x v="3"/>
    <x v="2"/>
    <x v="1"/>
    <n v="25393.08"/>
    <n v="8"/>
    <x v="3"/>
  </r>
  <r>
    <s v="C0173"/>
    <x v="0"/>
    <s v="Camry"/>
    <x v="5"/>
    <x v="1"/>
    <x v="0"/>
    <x v="0"/>
    <n v="57344.63"/>
    <n v="10"/>
    <x v="1"/>
  </r>
  <r>
    <s v="C0174"/>
    <x v="0"/>
    <s v="Corolla"/>
    <x v="3"/>
    <x v="2"/>
    <x v="1"/>
    <x v="0"/>
    <n v="18521.5"/>
    <n v="12"/>
    <x v="1"/>
  </r>
  <r>
    <s v="C0175"/>
    <x v="2"/>
    <s v="Sunny"/>
    <x v="9"/>
    <x v="3"/>
    <x v="2"/>
    <x v="0"/>
    <n v="74816.25"/>
    <n v="19"/>
    <x v="2"/>
  </r>
  <r>
    <s v="C0176"/>
    <x v="5"/>
    <s v="3 Series"/>
    <x v="10"/>
    <x v="5"/>
    <x v="2"/>
    <x v="1"/>
    <n v="95524.52"/>
    <n v="6"/>
    <x v="2"/>
  </r>
  <r>
    <s v="C0177"/>
    <x v="5"/>
    <s v="5 Series"/>
    <x v="6"/>
    <x v="0"/>
    <x v="0"/>
    <x v="0"/>
    <n v="94367.33"/>
    <n v="8"/>
    <x v="2"/>
  </r>
  <r>
    <s v="C0178"/>
    <x v="6"/>
    <s v="Cerato"/>
    <x v="3"/>
    <x v="2"/>
    <x v="0"/>
    <x v="0"/>
    <n v="77094.759999999995"/>
    <n v="6"/>
    <x v="3"/>
  </r>
  <r>
    <s v="C0179"/>
    <x v="2"/>
    <s v="Sunny"/>
    <x v="5"/>
    <x v="3"/>
    <x v="0"/>
    <x v="1"/>
    <n v="43838.33"/>
    <n v="5"/>
    <x v="2"/>
  </r>
  <r>
    <s v="C0180"/>
    <x v="2"/>
    <s v="Sunny"/>
    <x v="3"/>
    <x v="1"/>
    <x v="1"/>
    <x v="1"/>
    <n v="15712.77"/>
    <n v="19"/>
    <x v="2"/>
  </r>
  <r>
    <s v="C0181"/>
    <x v="1"/>
    <s v="Model S"/>
    <x v="2"/>
    <x v="0"/>
    <x v="2"/>
    <x v="0"/>
    <n v="19270.259999999998"/>
    <n v="16"/>
    <x v="2"/>
  </r>
  <r>
    <s v="C0182"/>
    <x v="6"/>
    <s v="Cerato"/>
    <x v="2"/>
    <x v="4"/>
    <x v="3"/>
    <x v="1"/>
    <n v="94592.91"/>
    <n v="16"/>
    <x v="1"/>
  </r>
  <r>
    <s v="C0183"/>
    <x v="4"/>
    <s v="E-Class"/>
    <x v="10"/>
    <x v="0"/>
    <x v="0"/>
    <x v="0"/>
    <n v="40162.15"/>
    <n v="3"/>
    <x v="1"/>
  </r>
  <r>
    <s v="C0184"/>
    <x v="6"/>
    <s v="Seltos"/>
    <x v="8"/>
    <x v="2"/>
    <x v="2"/>
    <x v="0"/>
    <n v="90025.63"/>
    <n v="6"/>
    <x v="3"/>
  </r>
  <r>
    <s v="C0185"/>
    <x v="3"/>
    <s v="Tucson"/>
    <x v="8"/>
    <x v="3"/>
    <x v="1"/>
    <x v="0"/>
    <n v="22264.62"/>
    <n v="2"/>
    <x v="1"/>
  </r>
  <r>
    <s v="C0186"/>
    <x v="5"/>
    <s v="X5"/>
    <x v="4"/>
    <x v="4"/>
    <x v="3"/>
    <x v="0"/>
    <n v="95629"/>
    <n v="4"/>
    <x v="1"/>
  </r>
  <r>
    <s v="C0187"/>
    <x v="3"/>
    <s v="Tucson"/>
    <x v="6"/>
    <x v="5"/>
    <x v="1"/>
    <x v="0"/>
    <n v="62336.26"/>
    <n v="20"/>
    <x v="2"/>
  </r>
  <r>
    <s v="C0188"/>
    <x v="0"/>
    <s v="Corolla"/>
    <x v="2"/>
    <x v="0"/>
    <x v="3"/>
    <x v="0"/>
    <n v="62762.83"/>
    <n v="8"/>
    <x v="3"/>
  </r>
  <r>
    <s v="C0189"/>
    <x v="5"/>
    <s v="3 Series"/>
    <x v="5"/>
    <x v="1"/>
    <x v="1"/>
    <x v="1"/>
    <n v="66184.259999999995"/>
    <n v="9"/>
    <x v="1"/>
  </r>
  <r>
    <s v="C0190"/>
    <x v="5"/>
    <s v="5 Series"/>
    <x v="0"/>
    <x v="1"/>
    <x v="0"/>
    <x v="1"/>
    <n v="42304.160000000003"/>
    <n v="9"/>
    <x v="2"/>
  </r>
  <r>
    <s v="C0191"/>
    <x v="2"/>
    <s v="Qashqai"/>
    <x v="3"/>
    <x v="3"/>
    <x v="0"/>
    <x v="1"/>
    <n v="42582.85"/>
    <n v="4"/>
    <x v="1"/>
  </r>
  <r>
    <s v="C0192"/>
    <x v="2"/>
    <s v="Sunny"/>
    <x v="8"/>
    <x v="3"/>
    <x v="3"/>
    <x v="1"/>
    <n v="92711.05"/>
    <n v="2"/>
    <x v="3"/>
  </r>
  <r>
    <s v="C0193"/>
    <x v="0"/>
    <s v="Camry"/>
    <x v="5"/>
    <x v="5"/>
    <x v="0"/>
    <x v="1"/>
    <n v="91143.29"/>
    <n v="6"/>
    <x v="1"/>
  </r>
  <r>
    <s v="C0194"/>
    <x v="5"/>
    <s v="5 Series"/>
    <x v="5"/>
    <x v="0"/>
    <x v="1"/>
    <x v="1"/>
    <n v="47141.16"/>
    <n v="8"/>
    <x v="2"/>
  </r>
  <r>
    <s v="C0195"/>
    <x v="1"/>
    <s v="Model X"/>
    <x v="5"/>
    <x v="3"/>
    <x v="3"/>
    <x v="1"/>
    <n v="36871.75"/>
    <n v="2"/>
    <x v="1"/>
  </r>
  <r>
    <s v="C0196"/>
    <x v="3"/>
    <s v="Elantra"/>
    <x v="6"/>
    <x v="0"/>
    <x v="0"/>
    <x v="0"/>
    <n v="44101.03"/>
    <n v="14"/>
    <x v="1"/>
  </r>
  <r>
    <s v="C0197"/>
    <x v="0"/>
    <s v="Camry"/>
    <x v="6"/>
    <x v="5"/>
    <x v="0"/>
    <x v="0"/>
    <n v="85571.95"/>
    <n v="18"/>
    <x v="1"/>
  </r>
  <r>
    <s v="C0198"/>
    <x v="1"/>
    <s v="Model X"/>
    <x v="10"/>
    <x v="2"/>
    <x v="2"/>
    <x v="0"/>
    <n v="35439.69"/>
    <n v="12"/>
    <x v="1"/>
  </r>
  <r>
    <s v="C0199"/>
    <x v="3"/>
    <s v="Elantra"/>
    <x v="3"/>
    <x v="4"/>
    <x v="3"/>
    <x v="1"/>
    <n v="42536.49"/>
    <n v="4"/>
    <x v="3"/>
  </r>
  <r>
    <s v="C0200"/>
    <x v="0"/>
    <s v="Corolla"/>
    <x v="10"/>
    <x v="3"/>
    <x v="0"/>
    <x v="1"/>
    <n v="71249.59"/>
    <n v="20"/>
    <x v="1"/>
  </r>
  <r>
    <s v="C0201"/>
    <x v="0"/>
    <s v="Camry"/>
    <x v="0"/>
    <x v="0"/>
    <x v="2"/>
    <x v="0"/>
    <n v="57000.19"/>
    <n v="17"/>
    <x v="1"/>
  </r>
  <r>
    <s v="C0202"/>
    <x v="4"/>
    <s v="C-Class"/>
    <x v="2"/>
    <x v="1"/>
    <x v="3"/>
    <x v="0"/>
    <n v="35182.93"/>
    <n v="8"/>
    <x v="3"/>
  </r>
  <r>
    <s v="C0203"/>
    <x v="6"/>
    <s v="Cerato"/>
    <x v="3"/>
    <x v="4"/>
    <x v="2"/>
    <x v="1"/>
    <n v="26695.21"/>
    <n v="0"/>
    <x v="2"/>
  </r>
  <r>
    <s v="C0204"/>
    <x v="1"/>
    <s v="Model S"/>
    <x v="1"/>
    <x v="1"/>
    <x v="1"/>
    <x v="1"/>
    <n v="19232.38"/>
    <n v="17"/>
    <x v="2"/>
  </r>
  <r>
    <s v="C0205"/>
    <x v="4"/>
    <s v="GLA"/>
    <x v="2"/>
    <x v="5"/>
    <x v="1"/>
    <x v="1"/>
    <n v="91063.54"/>
    <n v="9"/>
    <x v="3"/>
  </r>
  <r>
    <s v="C0206"/>
    <x v="6"/>
    <s v="Sportage"/>
    <x v="1"/>
    <x v="5"/>
    <x v="0"/>
    <x v="1"/>
    <n v="95801.7"/>
    <n v="1"/>
    <x v="2"/>
  </r>
  <r>
    <s v="C0207"/>
    <x v="2"/>
    <s v="Sunny"/>
    <x v="10"/>
    <x v="0"/>
    <x v="0"/>
    <x v="1"/>
    <n v="36900.28"/>
    <n v="8"/>
    <x v="1"/>
  </r>
  <r>
    <s v="C0208"/>
    <x v="5"/>
    <s v="3 Series"/>
    <x v="9"/>
    <x v="1"/>
    <x v="1"/>
    <x v="0"/>
    <n v="43449.599999999999"/>
    <n v="12"/>
    <x v="2"/>
  </r>
  <r>
    <s v="C0209"/>
    <x v="4"/>
    <s v="GLA"/>
    <x v="0"/>
    <x v="2"/>
    <x v="1"/>
    <x v="1"/>
    <n v="49027.17"/>
    <n v="20"/>
    <x v="3"/>
  </r>
  <r>
    <s v="C0210"/>
    <x v="1"/>
    <s v="Model S"/>
    <x v="4"/>
    <x v="3"/>
    <x v="1"/>
    <x v="0"/>
    <n v="74916.759999999995"/>
    <n v="13"/>
    <x v="1"/>
  </r>
  <r>
    <s v="C0211"/>
    <x v="0"/>
    <s v="Camry"/>
    <x v="2"/>
    <x v="5"/>
    <x v="3"/>
    <x v="0"/>
    <n v="68207.89"/>
    <n v="18"/>
    <x v="3"/>
  </r>
  <r>
    <s v="C0212"/>
    <x v="6"/>
    <s v="Cerato"/>
    <x v="4"/>
    <x v="4"/>
    <x v="1"/>
    <x v="0"/>
    <n v="29137.93"/>
    <n v="1"/>
    <x v="1"/>
  </r>
  <r>
    <s v="C0213"/>
    <x v="0"/>
    <s v="Corolla"/>
    <x v="2"/>
    <x v="0"/>
    <x v="1"/>
    <x v="0"/>
    <n v="86747.54"/>
    <n v="8"/>
    <x v="1"/>
  </r>
  <r>
    <s v="C0214"/>
    <x v="0"/>
    <s v="RAV4"/>
    <x v="0"/>
    <x v="5"/>
    <x v="3"/>
    <x v="0"/>
    <n v="64961.25"/>
    <n v="6"/>
    <x v="3"/>
  </r>
  <r>
    <s v="C0215"/>
    <x v="6"/>
    <s v="Cerato"/>
    <x v="9"/>
    <x v="4"/>
    <x v="1"/>
    <x v="1"/>
    <n v="56252.800000000003"/>
    <n v="20"/>
    <x v="3"/>
  </r>
  <r>
    <s v="C0216"/>
    <x v="5"/>
    <s v="5 Series"/>
    <x v="3"/>
    <x v="1"/>
    <x v="2"/>
    <x v="0"/>
    <n v="66993.77"/>
    <n v="20"/>
    <x v="1"/>
  </r>
  <r>
    <s v="C0217"/>
    <x v="6"/>
    <s v="Seltos"/>
    <x v="3"/>
    <x v="4"/>
    <x v="1"/>
    <x v="1"/>
    <n v="54557.440000000002"/>
    <n v="6"/>
    <x v="2"/>
  </r>
  <r>
    <s v="C0218"/>
    <x v="6"/>
    <s v="Sportage"/>
    <x v="2"/>
    <x v="1"/>
    <x v="1"/>
    <x v="0"/>
    <n v="18998.57"/>
    <n v="10"/>
    <x v="1"/>
  </r>
  <r>
    <s v="C0219"/>
    <x v="4"/>
    <s v="GLA"/>
    <x v="5"/>
    <x v="0"/>
    <x v="3"/>
    <x v="0"/>
    <n v="36444.239999999998"/>
    <n v="2"/>
    <x v="1"/>
  </r>
  <r>
    <s v="C0220"/>
    <x v="0"/>
    <s v="Camry"/>
    <x v="6"/>
    <x v="2"/>
    <x v="0"/>
    <x v="1"/>
    <n v="27036.18"/>
    <n v="0"/>
    <x v="3"/>
  </r>
  <r>
    <s v="C0221"/>
    <x v="0"/>
    <s v="Camry"/>
    <x v="4"/>
    <x v="2"/>
    <x v="3"/>
    <x v="0"/>
    <n v="32320.79"/>
    <n v="14"/>
    <x v="3"/>
  </r>
  <r>
    <s v="C0222"/>
    <x v="1"/>
    <s v="Model S"/>
    <x v="5"/>
    <x v="0"/>
    <x v="3"/>
    <x v="0"/>
    <n v="35547.410000000003"/>
    <n v="0"/>
    <x v="1"/>
  </r>
  <r>
    <s v="C0223"/>
    <x v="1"/>
    <s v="Model S"/>
    <x v="5"/>
    <x v="2"/>
    <x v="0"/>
    <x v="1"/>
    <n v="66030.95"/>
    <n v="5"/>
    <x v="2"/>
  </r>
  <r>
    <s v="C0224"/>
    <x v="5"/>
    <s v="5 Series"/>
    <x v="10"/>
    <x v="5"/>
    <x v="1"/>
    <x v="1"/>
    <n v="17316.68"/>
    <n v="19"/>
    <x v="1"/>
  </r>
  <r>
    <s v="C0225"/>
    <x v="1"/>
    <s v="Model S"/>
    <x v="1"/>
    <x v="1"/>
    <x v="0"/>
    <x v="0"/>
    <n v="30317.47"/>
    <n v="18"/>
    <x v="3"/>
  </r>
  <r>
    <s v="C0226"/>
    <x v="4"/>
    <s v="GLA"/>
    <x v="4"/>
    <x v="2"/>
    <x v="3"/>
    <x v="1"/>
    <n v="73197.25"/>
    <n v="6"/>
    <x v="1"/>
  </r>
  <r>
    <s v="C0227"/>
    <x v="5"/>
    <s v="3 Series"/>
    <x v="8"/>
    <x v="2"/>
    <x v="2"/>
    <x v="0"/>
    <n v="33511.99"/>
    <n v="10"/>
    <x v="2"/>
  </r>
  <r>
    <s v="C0228"/>
    <x v="0"/>
    <s v="Corolla"/>
    <x v="6"/>
    <x v="3"/>
    <x v="0"/>
    <x v="1"/>
    <n v="80597.19"/>
    <n v="0"/>
    <x v="3"/>
  </r>
  <r>
    <s v="C0229"/>
    <x v="6"/>
    <s v="Cerato"/>
    <x v="10"/>
    <x v="5"/>
    <x v="0"/>
    <x v="1"/>
    <n v="49689.9"/>
    <n v="18"/>
    <x v="1"/>
  </r>
  <r>
    <s v="C0230"/>
    <x v="5"/>
    <s v="3 Series"/>
    <x v="4"/>
    <x v="1"/>
    <x v="2"/>
    <x v="0"/>
    <n v="75684.259999999995"/>
    <n v="17"/>
    <x v="2"/>
  </r>
  <r>
    <s v="C0231"/>
    <x v="0"/>
    <s v="Camry"/>
    <x v="9"/>
    <x v="2"/>
    <x v="0"/>
    <x v="1"/>
    <n v="41318.81"/>
    <n v="17"/>
    <x v="1"/>
  </r>
  <r>
    <s v="C0232"/>
    <x v="4"/>
    <s v="GLA"/>
    <x v="2"/>
    <x v="3"/>
    <x v="3"/>
    <x v="0"/>
    <n v="93984.87"/>
    <n v="17"/>
    <x v="2"/>
  </r>
  <r>
    <s v="C0233"/>
    <x v="0"/>
    <s v="Corolla"/>
    <x v="4"/>
    <x v="1"/>
    <x v="1"/>
    <x v="0"/>
    <n v="34356.67"/>
    <n v="15"/>
    <x v="1"/>
  </r>
  <r>
    <s v="C0234"/>
    <x v="2"/>
    <s v="Qashqai"/>
    <x v="10"/>
    <x v="3"/>
    <x v="3"/>
    <x v="0"/>
    <n v="78320.67"/>
    <n v="11"/>
    <x v="1"/>
  </r>
  <r>
    <s v="C0235"/>
    <x v="6"/>
    <s v="Seltos"/>
    <x v="9"/>
    <x v="4"/>
    <x v="0"/>
    <x v="0"/>
    <n v="40425.82"/>
    <n v="2"/>
    <x v="3"/>
  </r>
  <r>
    <s v="C0236"/>
    <x v="4"/>
    <s v="GLA"/>
    <x v="1"/>
    <x v="4"/>
    <x v="1"/>
    <x v="1"/>
    <n v="99664.31"/>
    <n v="14"/>
    <x v="3"/>
  </r>
  <r>
    <s v="C0237"/>
    <x v="4"/>
    <s v="GLA"/>
    <x v="2"/>
    <x v="1"/>
    <x v="2"/>
    <x v="1"/>
    <n v="92692.93"/>
    <n v="6"/>
    <x v="2"/>
  </r>
  <r>
    <s v="C0238"/>
    <x v="5"/>
    <s v="5 Series"/>
    <x v="10"/>
    <x v="3"/>
    <x v="1"/>
    <x v="0"/>
    <n v="23452.33"/>
    <n v="16"/>
    <x v="1"/>
  </r>
  <r>
    <s v="C0239"/>
    <x v="0"/>
    <s v="Camry"/>
    <x v="1"/>
    <x v="1"/>
    <x v="1"/>
    <x v="0"/>
    <n v="84197.99"/>
    <n v="14"/>
    <x v="1"/>
  </r>
  <r>
    <s v="C0240"/>
    <x v="5"/>
    <s v="5 Series"/>
    <x v="3"/>
    <x v="4"/>
    <x v="1"/>
    <x v="1"/>
    <n v="56336.78"/>
    <n v="0"/>
    <x v="3"/>
  </r>
  <r>
    <s v="C0241"/>
    <x v="0"/>
    <s v="RAV4"/>
    <x v="2"/>
    <x v="0"/>
    <x v="2"/>
    <x v="0"/>
    <n v="48576.42"/>
    <n v="10"/>
    <x v="1"/>
  </r>
  <r>
    <s v="C0242"/>
    <x v="1"/>
    <s v="Model X"/>
    <x v="2"/>
    <x v="0"/>
    <x v="0"/>
    <x v="0"/>
    <n v="68211.039999999994"/>
    <n v="0"/>
    <x v="1"/>
  </r>
  <r>
    <s v="C0243"/>
    <x v="1"/>
    <s v="Model S"/>
    <x v="2"/>
    <x v="4"/>
    <x v="2"/>
    <x v="0"/>
    <n v="63692.99"/>
    <n v="3"/>
    <x v="2"/>
  </r>
  <r>
    <s v="C0244"/>
    <x v="1"/>
    <s v="Model X"/>
    <x v="3"/>
    <x v="1"/>
    <x v="2"/>
    <x v="1"/>
    <n v="67286.720000000001"/>
    <n v="4"/>
    <x v="1"/>
  </r>
  <r>
    <s v="C0245"/>
    <x v="4"/>
    <s v="E-Class"/>
    <x v="6"/>
    <x v="5"/>
    <x v="3"/>
    <x v="0"/>
    <n v="59861.26"/>
    <n v="16"/>
    <x v="1"/>
  </r>
  <r>
    <s v="C0246"/>
    <x v="4"/>
    <s v="C-Class"/>
    <x v="8"/>
    <x v="5"/>
    <x v="2"/>
    <x v="1"/>
    <n v="70409.5"/>
    <n v="20"/>
    <x v="1"/>
  </r>
  <r>
    <s v="C0247"/>
    <x v="4"/>
    <s v="GLA"/>
    <x v="10"/>
    <x v="1"/>
    <x v="0"/>
    <x v="0"/>
    <n v="45148.19"/>
    <n v="2"/>
    <x v="1"/>
  </r>
  <r>
    <s v="C0248"/>
    <x v="2"/>
    <s v="Qashqai"/>
    <x v="4"/>
    <x v="3"/>
    <x v="2"/>
    <x v="1"/>
    <n v="72386.63"/>
    <n v="14"/>
    <x v="2"/>
  </r>
  <r>
    <s v="C0249"/>
    <x v="3"/>
    <s v="Tucson"/>
    <x v="6"/>
    <x v="2"/>
    <x v="0"/>
    <x v="1"/>
    <n v="65306.64"/>
    <n v="16"/>
    <x v="1"/>
  </r>
  <r>
    <s v="C0250"/>
    <x v="2"/>
    <s v="Qashqai"/>
    <x v="5"/>
    <x v="3"/>
    <x v="3"/>
    <x v="0"/>
    <n v="80442.75"/>
    <n v="12"/>
    <x v="1"/>
  </r>
  <r>
    <s v="C0251"/>
    <x v="3"/>
    <s v="Sonata"/>
    <x v="7"/>
    <x v="0"/>
    <x v="2"/>
    <x v="1"/>
    <n v="77125.679999999993"/>
    <n v="5"/>
    <x v="1"/>
  </r>
  <r>
    <s v="C0252"/>
    <x v="6"/>
    <s v="Seltos"/>
    <x v="8"/>
    <x v="1"/>
    <x v="1"/>
    <x v="1"/>
    <n v="65579.25"/>
    <n v="4"/>
    <x v="1"/>
  </r>
  <r>
    <s v="C0253"/>
    <x v="2"/>
    <s v="Sunny"/>
    <x v="0"/>
    <x v="0"/>
    <x v="0"/>
    <x v="0"/>
    <n v="40904.29"/>
    <n v="14"/>
    <x v="2"/>
  </r>
  <r>
    <s v="C0254"/>
    <x v="5"/>
    <s v="X5"/>
    <x v="3"/>
    <x v="1"/>
    <x v="3"/>
    <x v="0"/>
    <n v="34442.589999999997"/>
    <n v="10"/>
    <x v="2"/>
  </r>
  <r>
    <s v="C0255"/>
    <x v="5"/>
    <s v="5 Series"/>
    <x v="3"/>
    <x v="5"/>
    <x v="0"/>
    <x v="0"/>
    <n v="16073.13"/>
    <n v="0"/>
    <x v="2"/>
  </r>
  <r>
    <s v="C0256"/>
    <x v="2"/>
    <s v="Qashqai"/>
    <x v="1"/>
    <x v="3"/>
    <x v="3"/>
    <x v="1"/>
    <n v="69403.31"/>
    <n v="19"/>
    <x v="1"/>
  </r>
  <r>
    <s v="C0257"/>
    <x v="5"/>
    <s v="3 Series"/>
    <x v="9"/>
    <x v="1"/>
    <x v="3"/>
    <x v="1"/>
    <n v="36852.07"/>
    <n v="3"/>
    <x v="3"/>
  </r>
  <r>
    <s v="C0258"/>
    <x v="0"/>
    <s v="Corolla"/>
    <x v="0"/>
    <x v="5"/>
    <x v="1"/>
    <x v="0"/>
    <n v="76450.539999999994"/>
    <n v="0"/>
    <x v="1"/>
  </r>
  <r>
    <s v="C0259"/>
    <x v="6"/>
    <s v="Sportage"/>
    <x v="9"/>
    <x v="5"/>
    <x v="3"/>
    <x v="1"/>
    <n v="15432.72"/>
    <n v="0"/>
    <x v="1"/>
  </r>
  <r>
    <s v="C0260"/>
    <x v="1"/>
    <s v="Model S"/>
    <x v="9"/>
    <x v="5"/>
    <x v="2"/>
    <x v="0"/>
    <n v="75764.509999999995"/>
    <n v="2"/>
    <x v="3"/>
  </r>
  <r>
    <s v="C0261"/>
    <x v="1"/>
    <s v="Model X"/>
    <x v="10"/>
    <x v="4"/>
    <x v="2"/>
    <x v="0"/>
    <n v="60188.37"/>
    <n v="19"/>
    <x v="2"/>
  </r>
  <r>
    <s v="C0262"/>
    <x v="2"/>
    <s v="Sunny"/>
    <x v="7"/>
    <x v="0"/>
    <x v="3"/>
    <x v="0"/>
    <n v="15731.73"/>
    <n v="20"/>
    <x v="2"/>
  </r>
  <r>
    <s v="C0263"/>
    <x v="3"/>
    <s v="Sonata"/>
    <x v="10"/>
    <x v="2"/>
    <x v="2"/>
    <x v="1"/>
    <n v="82694.399999999994"/>
    <n v="16"/>
    <x v="3"/>
  </r>
  <r>
    <s v="C0264"/>
    <x v="1"/>
    <s v="Model 3"/>
    <x v="1"/>
    <x v="4"/>
    <x v="2"/>
    <x v="1"/>
    <n v="70040.25"/>
    <n v="6"/>
    <x v="2"/>
  </r>
  <r>
    <s v="C0265"/>
    <x v="6"/>
    <s v="Seltos"/>
    <x v="2"/>
    <x v="3"/>
    <x v="0"/>
    <x v="1"/>
    <n v="29781.09"/>
    <n v="13"/>
    <x v="2"/>
  </r>
  <r>
    <s v="C0266"/>
    <x v="1"/>
    <s v="Model X"/>
    <x v="5"/>
    <x v="2"/>
    <x v="2"/>
    <x v="0"/>
    <n v="24742.94"/>
    <n v="0"/>
    <x v="1"/>
  </r>
  <r>
    <s v="C0267"/>
    <x v="5"/>
    <s v="X5"/>
    <x v="9"/>
    <x v="2"/>
    <x v="1"/>
    <x v="1"/>
    <n v="40159.410000000003"/>
    <n v="0"/>
    <x v="3"/>
  </r>
  <r>
    <s v="C0268"/>
    <x v="5"/>
    <s v="5 Series"/>
    <x v="10"/>
    <x v="2"/>
    <x v="1"/>
    <x v="1"/>
    <n v="77897.88"/>
    <n v="1"/>
    <x v="1"/>
  </r>
  <r>
    <s v="C0269"/>
    <x v="2"/>
    <s v="Qashqai"/>
    <x v="8"/>
    <x v="3"/>
    <x v="1"/>
    <x v="0"/>
    <n v="52804.45"/>
    <n v="11"/>
    <x v="1"/>
  </r>
  <r>
    <s v="C0270"/>
    <x v="1"/>
    <s v="Model 3"/>
    <x v="9"/>
    <x v="5"/>
    <x v="1"/>
    <x v="1"/>
    <n v="76670.69"/>
    <n v="3"/>
    <x v="2"/>
  </r>
  <r>
    <s v="C0271"/>
    <x v="2"/>
    <s v="Qashqai"/>
    <x v="4"/>
    <x v="3"/>
    <x v="3"/>
    <x v="0"/>
    <n v="60403.39"/>
    <n v="20"/>
    <x v="3"/>
  </r>
  <r>
    <s v="C0272"/>
    <x v="5"/>
    <s v="X5"/>
    <x v="3"/>
    <x v="3"/>
    <x v="1"/>
    <x v="1"/>
    <n v="36261.58"/>
    <n v="13"/>
    <x v="3"/>
  </r>
  <r>
    <s v="C0273"/>
    <x v="4"/>
    <s v="GLA"/>
    <x v="1"/>
    <x v="4"/>
    <x v="2"/>
    <x v="0"/>
    <n v="97569.91"/>
    <n v="16"/>
    <x v="1"/>
  </r>
  <r>
    <s v="C0274"/>
    <x v="2"/>
    <s v="Altima"/>
    <x v="8"/>
    <x v="4"/>
    <x v="1"/>
    <x v="1"/>
    <n v="94691.22"/>
    <n v="17"/>
    <x v="3"/>
  </r>
  <r>
    <s v="C0275"/>
    <x v="5"/>
    <s v="3 Series"/>
    <x v="7"/>
    <x v="4"/>
    <x v="1"/>
    <x v="1"/>
    <n v="44753.36"/>
    <n v="11"/>
    <x v="3"/>
  </r>
  <r>
    <s v="C0276"/>
    <x v="2"/>
    <s v="Sunny"/>
    <x v="3"/>
    <x v="1"/>
    <x v="0"/>
    <x v="0"/>
    <n v="50703.33"/>
    <n v="4"/>
    <x v="2"/>
  </r>
  <r>
    <s v="C0277"/>
    <x v="2"/>
    <s v="Qashqai"/>
    <x v="4"/>
    <x v="2"/>
    <x v="2"/>
    <x v="0"/>
    <n v="34255.919999999998"/>
    <n v="2"/>
    <x v="1"/>
  </r>
  <r>
    <s v="C0278"/>
    <x v="2"/>
    <s v="Altima"/>
    <x v="4"/>
    <x v="4"/>
    <x v="0"/>
    <x v="1"/>
    <n v="84961.77"/>
    <n v="2"/>
    <x v="3"/>
  </r>
  <r>
    <s v="C0279"/>
    <x v="6"/>
    <s v="Seltos"/>
    <x v="8"/>
    <x v="0"/>
    <x v="1"/>
    <x v="0"/>
    <n v="85933.119999999995"/>
    <n v="18"/>
    <x v="3"/>
  </r>
  <r>
    <s v="C0280"/>
    <x v="1"/>
    <s v="Model 3"/>
    <x v="8"/>
    <x v="1"/>
    <x v="1"/>
    <x v="0"/>
    <n v="15390.95"/>
    <n v="18"/>
    <x v="2"/>
  </r>
  <r>
    <s v="C0281"/>
    <x v="1"/>
    <s v="Model S"/>
    <x v="5"/>
    <x v="5"/>
    <x v="0"/>
    <x v="1"/>
    <n v="64085.760000000002"/>
    <n v="0"/>
    <x v="3"/>
  </r>
  <r>
    <s v="C0282"/>
    <x v="4"/>
    <s v="E-Class"/>
    <x v="7"/>
    <x v="1"/>
    <x v="2"/>
    <x v="0"/>
    <n v="68812.78"/>
    <n v="14"/>
    <x v="2"/>
  </r>
  <r>
    <s v="C0283"/>
    <x v="0"/>
    <s v="Camry"/>
    <x v="10"/>
    <x v="2"/>
    <x v="2"/>
    <x v="1"/>
    <n v="28195.4"/>
    <n v="17"/>
    <x v="3"/>
  </r>
  <r>
    <s v="C0284"/>
    <x v="4"/>
    <s v="C-Class"/>
    <x v="10"/>
    <x v="1"/>
    <x v="1"/>
    <x v="0"/>
    <n v="51668.13"/>
    <n v="9"/>
    <x v="2"/>
  </r>
  <r>
    <s v="C0285"/>
    <x v="6"/>
    <s v="Cerato"/>
    <x v="7"/>
    <x v="2"/>
    <x v="3"/>
    <x v="1"/>
    <n v="16765.09"/>
    <n v="19"/>
    <x v="3"/>
  </r>
  <r>
    <s v="C0286"/>
    <x v="2"/>
    <s v="Sunny"/>
    <x v="3"/>
    <x v="4"/>
    <x v="2"/>
    <x v="1"/>
    <n v="59081.2"/>
    <n v="7"/>
    <x v="3"/>
  </r>
  <r>
    <s v="C0287"/>
    <x v="3"/>
    <s v="Sonata"/>
    <x v="9"/>
    <x v="3"/>
    <x v="3"/>
    <x v="0"/>
    <n v="52822.73"/>
    <n v="0"/>
    <x v="3"/>
  </r>
  <r>
    <s v="C0288"/>
    <x v="5"/>
    <s v="3 Series"/>
    <x v="2"/>
    <x v="5"/>
    <x v="3"/>
    <x v="0"/>
    <n v="79631.09"/>
    <n v="14"/>
    <x v="3"/>
  </r>
  <r>
    <s v="C0289"/>
    <x v="1"/>
    <s v="Model 3"/>
    <x v="3"/>
    <x v="2"/>
    <x v="3"/>
    <x v="0"/>
    <n v="29872.799999999999"/>
    <n v="17"/>
    <x v="2"/>
  </r>
  <r>
    <s v="C0290"/>
    <x v="4"/>
    <s v="GLA"/>
    <x v="10"/>
    <x v="1"/>
    <x v="3"/>
    <x v="0"/>
    <n v="99707.28"/>
    <n v="19"/>
    <x v="1"/>
  </r>
  <r>
    <s v="C0291"/>
    <x v="6"/>
    <s v="Sportage"/>
    <x v="2"/>
    <x v="4"/>
    <x v="3"/>
    <x v="1"/>
    <n v="76715.08"/>
    <n v="11"/>
    <x v="3"/>
  </r>
  <r>
    <s v="C0292"/>
    <x v="3"/>
    <s v="Elantra"/>
    <x v="10"/>
    <x v="1"/>
    <x v="3"/>
    <x v="0"/>
    <n v="79140.179999999993"/>
    <n v="9"/>
    <x v="3"/>
  </r>
  <r>
    <s v="C0293"/>
    <x v="5"/>
    <s v="3 Series"/>
    <x v="8"/>
    <x v="2"/>
    <x v="1"/>
    <x v="0"/>
    <n v="69114.77"/>
    <n v="16"/>
    <x v="1"/>
  </r>
  <r>
    <s v="C0294"/>
    <x v="2"/>
    <s v="Sunny"/>
    <x v="5"/>
    <x v="4"/>
    <x v="1"/>
    <x v="0"/>
    <n v="50422.080000000002"/>
    <n v="13"/>
    <x v="2"/>
  </r>
  <r>
    <s v="C0295"/>
    <x v="3"/>
    <s v="Elantra"/>
    <x v="3"/>
    <x v="1"/>
    <x v="2"/>
    <x v="1"/>
    <n v="97629.5"/>
    <n v="9"/>
    <x v="3"/>
  </r>
  <r>
    <s v="C0296"/>
    <x v="2"/>
    <s v="Qashqai"/>
    <x v="1"/>
    <x v="2"/>
    <x v="0"/>
    <x v="0"/>
    <n v="36488.89"/>
    <n v="4"/>
    <x v="1"/>
  </r>
  <r>
    <s v="C0297"/>
    <x v="3"/>
    <s v="Tucson"/>
    <x v="0"/>
    <x v="1"/>
    <x v="1"/>
    <x v="1"/>
    <n v="83331.899999999994"/>
    <n v="1"/>
    <x v="2"/>
  </r>
  <r>
    <s v="C0298"/>
    <x v="6"/>
    <s v="Seltos"/>
    <x v="7"/>
    <x v="0"/>
    <x v="3"/>
    <x v="0"/>
    <n v="80850.23"/>
    <n v="4"/>
    <x v="1"/>
  </r>
  <r>
    <s v="C0299"/>
    <x v="1"/>
    <s v="Model S"/>
    <x v="9"/>
    <x v="2"/>
    <x v="1"/>
    <x v="0"/>
    <n v="53359.33"/>
    <n v="19"/>
    <x v="3"/>
  </r>
  <r>
    <s v="C0300"/>
    <x v="4"/>
    <s v="C-Class"/>
    <x v="8"/>
    <x v="4"/>
    <x v="1"/>
    <x v="1"/>
    <n v="84003.26"/>
    <n v="10"/>
    <x v="3"/>
  </r>
  <r>
    <s v="C0301"/>
    <x v="5"/>
    <s v="X5"/>
    <x v="10"/>
    <x v="5"/>
    <x v="0"/>
    <x v="0"/>
    <n v="86538.68"/>
    <n v="17"/>
    <x v="1"/>
  </r>
  <r>
    <s v="C0302"/>
    <x v="4"/>
    <s v="C-Class"/>
    <x v="10"/>
    <x v="5"/>
    <x v="1"/>
    <x v="0"/>
    <n v="78237.97"/>
    <n v="14"/>
    <x v="3"/>
  </r>
  <r>
    <s v="C0303"/>
    <x v="1"/>
    <s v="Model X"/>
    <x v="5"/>
    <x v="2"/>
    <x v="2"/>
    <x v="1"/>
    <n v="41004.620000000003"/>
    <n v="8"/>
    <x v="2"/>
  </r>
  <r>
    <s v="C0304"/>
    <x v="5"/>
    <s v="5 Series"/>
    <x v="7"/>
    <x v="4"/>
    <x v="0"/>
    <x v="1"/>
    <n v="44558.29"/>
    <n v="16"/>
    <x v="1"/>
  </r>
  <r>
    <s v="C0305"/>
    <x v="2"/>
    <s v="Altima"/>
    <x v="2"/>
    <x v="5"/>
    <x v="0"/>
    <x v="1"/>
    <n v="68740.73"/>
    <n v="15"/>
    <x v="3"/>
  </r>
  <r>
    <s v="C0306"/>
    <x v="2"/>
    <s v="Qashqai"/>
    <x v="6"/>
    <x v="1"/>
    <x v="3"/>
    <x v="1"/>
    <n v="80287.539999999994"/>
    <n v="0"/>
    <x v="3"/>
  </r>
  <r>
    <s v="C0307"/>
    <x v="6"/>
    <s v="Cerato"/>
    <x v="0"/>
    <x v="0"/>
    <x v="3"/>
    <x v="1"/>
    <n v="18650.45"/>
    <n v="19"/>
    <x v="3"/>
  </r>
  <r>
    <s v="C0308"/>
    <x v="5"/>
    <s v="5 Series"/>
    <x v="0"/>
    <x v="5"/>
    <x v="2"/>
    <x v="1"/>
    <n v="54084.04"/>
    <n v="11"/>
    <x v="3"/>
  </r>
  <r>
    <s v="C0309"/>
    <x v="0"/>
    <s v="Camry"/>
    <x v="2"/>
    <x v="3"/>
    <x v="2"/>
    <x v="1"/>
    <n v="19202.36"/>
    <n v="15"/>
    <x v="1"/>
  </r>
  <r>
    <s v="C0310"/>
    <x v="3"/>
    <s v="Elantra"/>
    <x v="2"/>
    <x v="2"/>
    <x v="0"/>
    <x v="0"/>
    <n v="97891.68"/>
    <n v="5"/>
    <x v="1"/>
  </r>
  <r>
    <s v="C0311"/>
    <x v="0"/>
    <s v="Corolla"/>
    <x v="8"/>
    <x v="2"/>
    <x v="2"/>
    <x v="0"/>
    <n v="45662.22"/>
    <n v="15"/>
    <x v="3"/>
  </r>
  <r>
    <s v="C0312"/>
    <x v="3"/>
    <s v="Elantra"/>
    <x v="10"/>
    <x v="5"/>
    <x v="0"/>
    <x v="1"/>
    <n v="93641.13"/>
    <n v="6"/>
    <x v="1"/>
  </r>
  <r>
    <s v="C0313"/>
    <x v="0"/>
    <s v="Camry"/>
    <x v="0"/>
    <x v="0"/>
    <x v="0"/>
    <x v="1"/>
    <n v="66822.3"/>
    <n v="16"/>
    <x v="3"/>
  </r>
  <r>
    <s v="C0314"/>
    <x v="1"/>
    <s v="Model X"/>
    <x v="8"/>
    <x v="0"/>
    <x v="1"/>
    <x v="1"/>
    <n v="34144.39"/>
    <n v="20"/>
    <x v="2"/>
  </r>
  <r>
    <s v="C0315"/>
    <x v="4"/>
    <s v="E-Class"/>
    <x v="4"/>
    <x v="2"/>
    <x v="3"/>
    <x v="1"/>
    <n v="49991.15"/>
    <n v="3"/>
    <x v="2"/>
  </r>
  <r>
    <s v="C0316"/>
    <x v="0"/>
    <s v="RAV4"/>
    <x v="9"/>
    <x v="4"/>
    <x v="0"/>
    <x v="1"/>
    <n v="65718.570000000007"/>
    <n v="5"/>
    <x v="1"/>
  </r>
  <r>
    <s v="C0317"/>
    <x v="0"/>
    <s v="Camry"/>
    <x v="3"/>
    <x v="3"/>
    <x v="0"/>
    <x v="0"/>
    <n v="94065.17"/>
    <n v="6"/>
    <x v="1"/>
  </r>
  <r>
    <s v="C0318"/>
    <x v="4"/>
    <s v="C-Class"/>
    <x v="6"/>
    <x v="5"/>
    <x v="2"/>
    <x v="1"/>
    <n v="44874.76"/>
    <n v="2"/>
    <x v="3"/>
  </r>
  <r>
    <s v="C0319"/>
    <x v="4"/>
    <s v="C-Class"/>
    <x v="0"/>
    <x v="4"/>
    <x v="3"/>
    <x v="0"/>
    <n v="52256.29"/>
    <n v="15"/>
    <x v="1"/>
  </r>
  <r>
    <s v="C0320"/>
    <x v="6"/>
    <s v="Cerato"/>
    <x v="2"/>
    <x v="1"/>
    <x v="3"/>
    <x v="1"/>
    <n v="24694.17"/>
    <n v="12"/>
    <x v="3"/>
  </r>
  <r>
    <s v="C0321"/>
    <x v="4"/>
    <s v="C-Class"/>
    <x v="3"/>
    <x v="0"/>
    <x v="2"/>
    <x v="1"/>
    <n v="72243.59"/>
    <n v="15"/>
    <x v="1"/>
  </r>
  <r>
    <s v="C0322"/>
    <x v="4"/>
    <s v="GLA"/>
    <x v="9"/>
    <x v="2"/>
    <x v="1"/>
    <x v="1"/>
    <n v="76945.41"/>
    <n v="9"/>
    <x v="1"/>
  </r>
  <r>
    <s v="C0323"/>
    <x v="6"/>
    <s v="Sportage"/>
    <x v="6"/>
    <x v="3"/>
    <x v="1"/>
    <x v="1"/>
    <n v="58060.85"/>
    <n v="12"/>
    <x v="3"/>
  </r>
  <r>
    <s v="C0324"/>
    <x v="2"/>
    <s v="Sunny"/>
    <x v="7"/>
    <x v="2"/>
    <x v="0"/>
    <x v="0"/>
    <n v="49935.47"/>
    <n v="11"/>
    <x v="3"/>
  </r>
  <r>
    <s v="C0325"/>
    <x v="3"/>
    <s v="Sonata"/>
    <x v="0"/>
    <x v="0"/>
    <x v="3"/>
    <x v="0"/>
    <n v="64065.66"/>
    <n v="12"/>
    <x v="2"/>
  </r>
  <r>
    <s v="C0326"/>
    <x v="1"/>
    <s v="Model S"/>
    <x v="4"/>
    <x v="0"/>
    <x v="0"/>
    <x v="0"/>
    <n v="73630.87"/>
    <n v="16"/>
    <x v="1"/>
  </r>
  <r>
    <s v="C0327"/>
    <x v="4"/>
    <s v="E-Class"/>
    <x v="1"/>
    <x v="5"/>
    <x v="1"/>
    <x v="0"/>
    <n v="91909.78"/>
    <n v="12"/>
    <x v="2"/>
  </r>
  <r>
    <s v="C0328"/>
    <x v="3"/>
    <s v="Sonata"/>
    <x v="4"/>
    <x v="1"/>
    <x v="3"/>
    <x v="0"/>
    <n v="24042.37"/>
    <n v="12"/>
    <x v="2"/>
  </r>
  <r>
    <s v="C0329"/>
    <x v="1"/>
    <s v="Model S"/>
    <x v="8"/>
    <x v="5"/>
    <x v="2"/>
    <x v="0"/>
    <n v="86885.09"/>
    <n v="5"/>
    <x v="1"/>
  </r>
  <r>
    <s v="C0330"/>
    <x v="3"/>
    <s v="Tucson"/>
    <x v="3"/>
    <x v="2"/>
    <x v="3"/>
    <x v="0"/>
    <n v="39257.79"/>
    <n v="15"/>
    <x v="1"/>
  </r>
  <r>
    <s v="C0331"/>
    <x v="5"/>
    <s v="X5"/>
    <x v="0"/>
    <x v="4"/>
    <x v="3"/>
    <x v="0"/>
    <n v="21666.03"/>
    <n v="8"/>
    <x v="3"/>
  </r>
  <r>
    <s v="C0332"/>
    <x v="2"/>
    <s v="Altima"/>
    <x v="0"/>
    <x v="5"/>
    <x v="3"/>
    <x v="0"/>
    <n v="43315.59"/>
    <n v="9"/>
    <x v="1"/>
  </r>
  <r>
    <s v="C0333"/>
    <x v="5"/>
    <s v="3 Series"/>
    <x v="1"/>
    <x v="1"/>
    <x v="3"/>
    <x v="1"/>
    <n v="86322.240000000005"/>
    <n v="13"/>
    <x v="3"/>
  </r>
  <r>
    <s v="C0334"/>
    <x v="5"/>
    <s v="3 Series"/>
    <x v="7"/>
    <x v="2"/>
    <x v="3"/>
    <x v="1"/>
    <n v="47842.6"/>
    <n v="10"/>
    <x v="2"/>
  </r>
  <r>
    <s v="C0335"/>
    <x v="1"/>
    <s v="Model X"/>
    <x v="2"/>
    <x v="2"/>
    <x v="3"/>
    <x v="1"/>
    <n v="65420.55"/>
    <n v="19"/>
    <x v="1"/>
  </r>
  <r>
    <s v="C0336"/>
    <x v="4"/>
    <s v="C-Class"/>
    <x v="3"/>
    <x v="1"/>
    <x v="1"/>
    <x v="1"/>
    <n v="93744.9"/>
    <n v="8"/>
    <x v="2"/>
  </r>
  <r>
    <s v="C0337"/>
    <x v="2"/>
    <s v="Qashqai"/>
    <x v="2"/>
    <x v="5"/>
    <x v="1"/>
    <x v="0"/>
    <n v="26411.09"/>
    <n v="20"/>
    <x v="1"/>
  </r>
  <r>
    <s v="C0338"/>
    <x v="2"/>
    <s v="Sunny"/>
    <x v="0"/>
    <x v="0"/>
    <x v="2"/>
    <x v="0"/>
    <n v="90237.8"/>
    <n v="1"/>
    <x v="3"/>
  </r>
  <r>
    <s v="C0339"/>
    <x v="1"/>
    <s v="Model S"/>
    <x v="1"/>
    <x v="3"/>
    <x v="2"/>
    <x v="1"/>
    <n v="92883.27"/>
    <n v="10"/>
    <x v="3"/>
  </r>
  <r>
    <s v="C0340"/>
    <x v="6"/>
    <s v="Seltos"/>
    <x v="1"/>
    <x v="5"/>
    <x v="1"/>
    <x v="0"/>
    <n v="53012.12"/>
    <n v="20"/>
    <x v="2"/>
  </r>
  <r>
    <s v="C0341"/>
    <x v="6"/>
    <s v="Seltos"/>
    <x v="10"/>
    <x v="1"/>
    <x v="0"/>
    <x v="1"/>
    <n v="35862.17"/>
    <n v="7"/>
    <x v="3"/>
  </r>
  <r>
    <s v="C0342"/>
    <x v="2"/>
    <s v="Qashqai"/>
    <x v="4"/>
    <x v="0"/>
    <x v="0"/>
    <x v="0"/>
    <n v="30351.37"/>
    <n v="18"/>
    <x v="1"/>
  </r>
  <r>
    <s v="C0343"/>
    <x v="2"/>
    <s v="Sunny"/>
    <x v="1"/>
    <x v="0"/>
    <x v="2"/>
    <x v="1"/>
    <n v="83159.710000000006"/>
    <n v="19"/>
    <x v="3"/>
  </r>
  <r>
    <s v="C0344"/>
    <x v="2"/>
    <s v="Altima"/>
    <x v="7"/>
    <x v="0"/>
    <x v="1"/>
    <x v="0"/>
    <n v="82070.94"/>
    <n v="11"/>
    <x v="1"/>
  </r>
  <r>
    <s v="C0345"/>
    <x v="3"/>
    <s v="Tucson"/>
    <x v="7"/>
    <x v="2"/>
    <x v="3"/>
    <x v="0"/>
    <n v="86871.06"/>
    <n v="5"/>
    <x v="2"/>
  </r>
  <r>
    <s v="C0346"/>
    <x v="2"/>
    <s v="Altima"/>
    <x v="6"/>
    <x v="2"/>
    <x v="3"/>
    <x v="1"/>
    <n v="52055.61"/>
    <n v="7"/>
    <x v="2"/>
  </r>
  <r>
    <s v="C0347"/>
    <x v="2"/>
    <s v="Sunny"/>
    <x v="0"/>
    <x v="5"/>
    <x v="0"/>
    <x v="1"/>
    <n v="51599.71"/>
    <n v="18"/>
    <x v="2"/>
  </r>
  <r>
    <s v="C0348"/>
    <x v="3"/>
    <s v="Tucson"/>
    <x v="1"/>
    <x v="0"/>
    <x v="1"/>
    <x v="1"/>
    <n v="16688.91"/>
    <n v="1"/>
    <x v="2"/>
  </r>
  <r>
    <s v="C0349"/>
    <x v="2"/>
    <s v="Qashqai"/>
    <x v="7"/>
    <x v="3"/>
    <x v="2"/>
    <x v="0"/>
    <n v="53216.75"/>
    <n v="6"/>
    <x v="1"/>
  </r>
  <r>
    <s v="C0350"/>
    <x v="6"/>
    <s v="Seltos"/>
    <x v="10"/>
    <x v="5"/>
    <x v="3"/>
    <x v="1"/>
    <n v="52463.23"/>
    <n v="15"/>
    <x v="3"/>
  </r>
  <r>
    <s v="C0351"/>
    <x v="6"/>
    <s v="Seltos"/>
    <x v="5"/>
    <x v="3"/>
    <x v="0"/>
    <x v="0"/>
    <n v="30658.1"/>
    <n v="1"/>
    <x v="3"/>
  </r>
  <r>
    <s v="C0352"/>
    <x v="1"/>
    <s v="Model S"/>
    <x v="7"/>
    <x v="5"/>
    <x v="0"/>
    <x v="0"/>
    <n v="79853.55"/>
    <n v="9"/>
    <x v="2"/>
  </r>
  <r>
    <s v="C0353"/>
    <x v="1"/>
    <s v="Model X"/>
    <x v="1"/>
    <x v="0"/>
    <x v="1"/>
    <x v="0"/>
    <n v="21727.73"/>
    <n v="7"/>
    <x v="3"/>
  </r>
  <r>
    <s v="C0354"/>
    <x v="0"/>
    <s v="Camry"/>
    <x v="2"/>
    <x v="5"/>
    <x v="3"/>
    <x v="1"/>
    <n v="89064.3"/>
    <n v="4"/>
    <x v="2"/>
  </r>
  <r>
    <s v="C0355"/>
    <x v="2"/>
    <s v="Sunny"/>
    <x v="7"/>
    <x v="4"/>
    <x v="3"/>
    <x v="0"/>
    <n v="66192.899999999994"/>
    <n v="6"/>
    <x v="3"/>
  </r>
  <r>
    <s v="C0356"/>
    <x v="0"/>
    <s v="RAV4"/>
    <x v="7"/>
    <x v="5"/>
    <x v="3"/>
    <x v="0"/>
    <n v="93494.38"/>
    <n v="6"/>
    <x v="1"/>
  </r>
  <r>
    <s v="C0357"/>
    <x v="1"/>
    <s v="Model X"/>
    <x v="1"/>
    <x v="3"/>
    <x v="2"/>
    <x v="0"/>
    <n v="55936.19"/>
    <n v="0"/>
    <x v="3"/>
  </r>
  <r>
    <s v="C0358"/>
    <x v="6"/>
    <s v="Seltos"/>
    <x v="3"/>
    <x v="1"/>
    <x v="1"/>
    <x v="1"/>
    <n v="96428.19"/>
    <n v="8"/>
    <x v="3"/>
  </r>
  <r>
    <s v="C0359"/>
    <x v="5"/>
    <s v="X5"/>
    <x v="10"/>
    <x v="0"/>
    <x v="0"/>
    <x v="1"/>
    <n v="95666.26"/>
    <n v="2"/>
    <x v="1"/>
  </r>
  <r>
    <s v="C0360"/>
    <x v="0"/>
    <s v="RAV4"/>
    <x v="0"/>
    <x v="5"/>
    <x v="1"/>
    <x v="0"/>
    <n v="55890.27"/>
    <n v="14"/>
    <x v="3"/>
  </r>
  <r>
    <s v="C0361"/>
    <x v="5"/>
    <s v="X5"/>
    <x v="4"/>
    <x v="2"/>
    <x v="0"/>
    <x v="0"/>
    <n v="96776.11"/>
    <n v="2"/>
    <x v="3"/>
  </r>
  <r>
    <s v="C0362"/>
    <x v="2"/>
    <s v="Qashqai"/>
    <x v="10"/>
    <x v="4"/>
    <x v="0"/>
    <x v="1"/>
    <n v="75124.7"/>
    <n v="13"/>
    <x v="3"/>
  </r>
  <r>
    <s v="C0363"/>
    <x v="6"/>
    <s v="Cerato"/>
    <x v="8"/>
    <x v="1"/>
    <x v="3"/>
    <x v="1"/>
    <n v="99989.119999999995"/>
    <n v="3"/>
    <x v="1"/>
  </r>
  <r>
    <s v="C0364"/>
    <x v="3"/>
    <s v="Elantra"/>
    <x v="9"/>
    <x v="5"/>
    <x v="3"/>
    <x v="0"/>
    <n v="24071.71"/>
    <n v="5"/>
    <x v="1"/>
  </r>
  <r>
    <s v="C0365"/>
    <x v="6"/>
    <s v="Cerato"/>
    <x v="0"/>
    <x v="0"/>
    <x v="0"/>
    <x v="1"/>
    <n v="57296.32"/>
    <n v="12"/>
    <x v="2"/>
  </r>
  <r>
    <s v="C0366"/>
    <x v="3"/>
    <s v="Elantra"/>
    <x v="10"/>
    <x v="5"/>
    <x v="0"/>
    <x v="0"/>
    <n v="56171.44"/>
    <n v="4"/>
    <x v="3"/>
  </r>
  <r>
    <s v="C0367"/>
    <x v="1"/>
    <s v="Model 3"/>
    <x v="7"/>
    <x v="3"/>
    <x v="3"/>
    <x v="1"/>
    <n v="35856.76"/>
    <n v="10"/>
    <x v="1"/>
  </r>
  <r>
    <s v="C0368"/>
    <x v="5"/>
    <s v="X5"/>
    <x v="7"/>
    <x v="4"/>
    <x v="0"/>
    <x v="1"/>
    <n v="72043.42"/>
    <n v="11"/>
    <x v="1"/>
  </r>
  <r>
    <s v="C0369"/>
    <x v="2"/>
    <s v="Sunny"/>
    <x v="6"/>
    <x v="2"/>
    <x v="3"/>
    <x v="1"/>
    <n v="42812.59"/>
    <n v="2"/>
    <x v="2"/>
  </r>
  <r>
    <s v="C0370"/>
    <x v="1"/>
    <s v="Model X"/>
    <x v="3"/>
    <x v="1"/>
    <x v="3"/>
    <x v="1"/>
    <n v="68216.44"/>
    <n v="1"/>
    <x v="2"/>
  </r>
  <r>
    <s v="C0371"/>
    <x v="3"/>
    <s v="Tucson"/>
    <x v="0"/>
    <x v="0"/>
    <x v="2"/>
    <x v="1"/>
    <n v="34068.800000000003"/>
    <n v="14"/>
    <x v="2"/>
  </r>
  <r>
    <s v="C0372"/>
    <x v="3"/>
    <s v="Tucson"/>
    <x v="9"/>
    <x v="5"/>
    <x v="0"/>
    <x v="1"/>
    <n v="51461.64"/>
    <n v="1"/>
    <x v="2"/>
  </r>
  <r>
    <s v="C0373"/>
    <x v="2"/>
    <s v="Altima"/>
    <x v="10"/>
    <x v="5"/>
    <x v="1"/>
    <x v="1"/>
    <n v="65384.54"/>
    <n v="17"/>
    <x v="3"/>
  </r>
  <r>
    <s v="C0374"/>
    <x v="0"/>
    <s v="Camry"/>
    <x v="7"/>
    <x v="4"/>
    <x v="3"/>
    <x v="0"/>
    <n v="21452.52"/>
    <n v="20"/>
    <x v="2"/>
  </r>
  <r>
    <s v="C0375"/>
    <x v="4"/>
    <s v="E-Class"/>
    <x v="6"/>
    <x v="0"/>
    <x v="0"/>
    <x v="0"/>
    <n v="92158.1"/>
    <n v="6"/>
    <x v="2"/>
  </r>
  <r>
    <s v="C0376"/>
    <x v="2"/>
    <s v="Sunny"/>
    <x v="4"/>
    <x v="4"/>
    <x v="1"/>
    <x v="1"/>
    <n v="75290.48"/>
    <n v="18"/>
    <x v="3"/>
  </r>
  <r>
    <s v="C0377"/>
    <x v="6"/>
    <s v="Sportage"/>
    <x v="6"/>
    <x v="3"/>
    <x v="1"/>
    <x v="1"/>
    <n v="19766.68"/>
    <n v="7"/>
    <x v="2"/>
  </r>
  <r>
    <s v="C0378"/>
    <x v="6"/>
    <s v="Cerato"/>
    <x v="4"/>
    <x v="3"/>
    <x v="0"/>
    <x v="0"/>
    <n v="94187.85"/>
    <n v="13"/>
    <x v="1"/>
  </r>
  <r>
    <s v="C0379"/>
    <x v="5"/>
    <s v="5 Series"/>
    <x v="2"/>
    <x v="1"/>
    <x v="1"/>
    <x v="1"/>
    <n v="15287.73"/>
    <n v="9"/>
    <x v="3"/>
  </r>
  <r>
    <s v="C0380"/>
    <x v="0"/>
    <s v="RAV4"/>
    <x v="0"/>
    <x v="5"/>
    <x v="0"/>
    <x v="0"/>
    <n v="73265.22"/>
    <n v="8"/>
    <x v="2"/>
  </r>
  <r>
    <s v="C0381"/>
    <x v="2"/>
    <s v="Altima"/>
    <x v="4"/>
    <x v="5"/>
    <x v="0"/>
    <x v="0"/>
    <n v="17936.62"/>
    <n v="1"/>
    <x v="3"/>
  </r>
  <r>
    <s v="C0382"/>
    <x v="6"/>
    <s v="Sportage"/>
    <x v="9"/>
    <x v="0"/>
    <x v="2"/>
    <x v="1"/>
    <n v="97407.23"/>
    <n v="10"/>
    <x v="2"/>
  </r>
  <r>
    <s v="C0383"/>
    <x v="6"/>
    <s v="Cerato"/>
    <x v="2"/>
    <x v="5"/>
    <x v="2"/>
    <x v="0"/>
    <n v="54266.05"/>
    <n v="12"/>
    <x v="3"/>
  </r>
  <r>
    <s v="C0384"/>
    <x v="1"/>
    <s v="Model 3"/>
    <x v="8"/>
    <x v="5"/>
    <x v="0"/>
    <x v="0"/>
    <n v="63705.91"/>
    <n v="1"/>
    <x v="1"/>
  </r>
  <r>
    <s v="C0385"/>
    <x v="4"/>
    <s v="E-Class"/>
    <x v="1"/>
    <x v="4"/>
    <x v="1"/>
    <x v="0"/>
    <n v="23456.77"/>
    <n v="20"/>
    <x v="2"/>
  </r>
  <r>
    <s v="C0386"/>
    <x v="0"/>
    <s v="Corolla"/>
    <x v="2"/>
    <x v="3"/>
    <x v="3"/>
    <x v="0"/>
    <n v="29727.24"/>
    <n v="1"/>
    <x v="3"/>
  </r>
  <r>
    <s v="C0387"/>
    <x v="3"/>
    <s v="Tucson"/>
    <x v="4"/>
    <x v="4"/>
    <x v="0"/>
    <x v="1"/>
    <n v="80106.33"/>
    <n v="13"/>
    <x v="1"/>
  </r>
  <r>
    <s v="C0388"/>
    <x v="4"/>
    <s v="E-Class"/>
    <x v="5"/>
    <x v="5"/>
    <x v="1"/>
    <x v="0"/>
    <n v="36180.46"/>
    <n v="1"/>
    <x v="3"/>
  </r>
  <r>
    <s v="C0389"/>
    <x v="0"/>
    <s v="RAV4"/>
    <x v="0"/>
    <x v="4"/>
    <x v="2"/>
    <x v="0"/>
    <n v="74572.62"/>
    <n v="10"/>
    <x v="2"/>
  </r>
  <r>
    <s v="C0390"/>
    <x v="2"/>
    <s v="Sunny"/>
    <x v="0"/>
    <x v="1"/>
    <x v="0"/>
    <x v="0"/>
    <n v="39960.25"/>
    <n v="1"/>
    <x v="2"/>
  </r>
  <r>
    <s v="C0391"/>
    <x v="2"/>
    <s v="Qashqai"/>
    <x v="5"/>
    <x v="2"/>
    <x v="1"/>
    <x v="0"/>
    <n v="88353.45"/>
    <n v="11"/>
    <x v="3"/>
  </r>
  <r>
    <s v="C0392"/>
    <x v="3"/>
    <s v="Tucson"/>
    <x v="2"/>
    <x v="0"/>
    <x v="2"/>
    <x v="0"/>
    <n v="71319.429999999993"/>
    <n v="15"/>
    <x v="2"/>
  </r>
  <r>
    <s v="C0393"/>
    <x v="0"/>
    <s v="RAV4"/>
    <x v="10"/>
    <x v="1"/>
    <x v="3"/>
    <x v="0"/>
    <n v="75783.38"/>
    <n v="8"/>
    <x v="1"/>
  </r>
  <r>
    <s v="C0394"/>
    <x v="5"/>
    <s v="X5"/>
    <x v="4"/>
    <x v="5"/>
    <x v="3"/>
    <x v="0"/>
    <n v="38266.04"/>
    <n v="0"/>
    <x v="2"/>
  </r>
  <r>
    <s v="C0395"/>
    <x v="0"/>
    <s v="RAV4"/>
    <x v="3"/>
    <x v="3"/>
    <x v="3"/>
    <x v="0"/>
    <n v="53727.95"/>
    <n v="10"/>
    <x v="3"/>
  </r>
  <r>
    <s v="C0396"/>
    <x v="6"/>
    <s v="Sportage"/>
    <x v="7"/>
    <x v="4"/>
    <x v="2"/>
    <x v="1"/>
    <n v="69972.710000000006"/>
    <n v="18"/>
    <x v="2"/>
  </r>
  <r>
    <s v="C0397"/>
    <x v="4"/>
    <s v="GLA"/>
    <x v="9"/>
    <x v="1"/>
    <x v="0"/>
    <x v="0"/>
    <n v="34260.620000000003"/>
    <n v="3"/>
    <x v="2"/>
  </r>
  <r>
    <s v="C0398"/>
    <x v="2"/>
    <s v="Qashqai"/>
    <x v="8"/>
    <x v="5"/>
    <x v="1"/>
    <x v="1"/>
    <n v="41514.29"/>
    <n v="18"/>
    <x v="1"/>
  </r>
  <r>
    <s v="C0399"/>
    <x v="6"/>
    <s v="Seltos"/>
    <x v="8"/>
    <x v="0"/>
    <x v="0"/>
    <x v="1"/>
    <n v="68707.48"/>
    <n v="20"/>
    <x v="3"/>
  </r>
  <r>
    <s v="C0400"/>
    <x v="0"/>
    <s v="Corolla"/>
    <x v="4"/>
    <x v="3"/>
    <x v="0"/>
    <x v="0"/>
    <n v="97026.32"/>
    <n v="14"/>
    <x v="2"/>
  </r>
  <r>
    <s v="C0401"/>
    <x v="3"/>
    <s v="Sonata"/>
    <x v="3"/>
    <x v="4"/>
    <x v="2"/>
    <x v="1"/>
    <n v="89678.74"/>
    <n v="1"/>
    <x v="3"/>
  </r>
  <r>
    <s v="C0402"/>
    <x v="5"/>
    <s v="5 Series"/>
    <x v="8"/>
    <x v="0"/>
    <x v="3"/>
    <x v="1"/>
    <n v="94457.24"/>
    <n v="18"/>
    <x v="1"/>
  </r>
  <r>
    <s v="C0403"/>
    <x v="4"/>
    <s v="GLA"/>
    <x v="7"/>
    <x v="4"/>
    <x v="1"/>
    <x v="0"/>
    <n v="96698.43"/>
    <n v="7"/>
    <x v="3"/>
  </r>
  <r>
    <s v="C0404"/>
    <x v="6"/>
    <s v="Cerato"/>
    <x v="6"/>
    <x v="0"/>
    <x v="0"/>
    <x v="1"/>
    <n v="87910.41"/>
    <n v="8"/>
    <x v="3"/>
  </r>
  <r>
    <s v="C0405"/>
    <x v="1"/>
    <s v="Model X"/>
    <x v="0"/>
    <x v="5"/>
    <x v="2"/>
    <x v="0"/>
    <n v="88806.92"/>
    <n v="11"/>
    <x v="2"/>
  </r>
  <r>
    <s v="C0406"/>
    <x v="0"/>
    <s v="Camry"/>
    <x v="2"/>
    <x v="3"/>
    <x v="2"/>
    <x v="0"/>
    <n v="93761.81"/>
    <n v="10"/>
    <x v="3"/>
  </r>
  <r>
    <s v="C0407"/>
    <x v="6"/>
    <s v="Sportage"/>
    <x v="8"/>
    <x v="4"/>
    <x v="3"/>
    <x v="0"/>
    <n v="25314.9"/>
    <n v="16"/>
    <x v="1"/>
  </r>
  <r>
    <s v="C0408"/>
    <x v="5"/>
    <s v="5 Series"/>
    <x v="3"/>
    <x v="5"/>
    <x v="3"/>
    <x v="1"/>
    <n v="52323.95"/>
    <n v="4"/>
    <x v="2"/>
  </r>
  <r>
    <s v="C0409"/>
    <x v="4"/>
    <s v="GLA"/>
    <x v="9"/>
    <x v="1"/>
    <x v="1"/>
    <x v="0"/>
    <n v="72708.59"/>
    <n v="6"/>
    <x v="3"/>
  </r>
  <r>
    <s v="C0410"/>
    <x v="6"/>
    <s v="Cerato"/>
    <x v="3"/>
    <x v="3"/>
    <x v="0"/>
    <x v="0"/>
    <n v="41377.019999999997"/>
    <n v="2"/>
    <x v="2"/>
  </r>
  <r>
    <s v="C0411"/>
    <x v="2"/>
    <s v="Sunny"/>
    <x v="3"/>
    <x v="4"/>
    <x v="1"/>
    <x v="0"/>
    <n v="92927.72"/>
    <n v="9"/>
    <x v="1"/>
  </r>
  <r>
    <s v="C0412"/>
    <x v="5"/>
    <s v="5 Series"/>
    <x v="3"/>
    <x v="3"/>
    <x v="0"/>
    <x v="1"/>
    <n v="22416.75"/>
    <n v="16"/>
    <x v="3"/>
  </r>
  <r>
    <s v="C0413"/>
    <x v="6"/>
    <s v="Seltos"/>
    <x v="6"/>
    <x v="4"/>
    <x v="0"/>
    <x v="1"/>
    <n v="95358.71"/>
    <n v="4"/>
    <x v="2"/>
  </r>
  <r>
    <s v="C0414"/>
    <x v="5"/>
    <s v="X5"/>
    <x v="2"/>
    <x v="0"/>
    <x v="1"/>
    <x v="1"/>
    <n v="75830.05"/>
    <n v="0"/>
    <x v="1"/>
  </r>
  <r>
    <s v="C0415"/>
    <x v="4"/>
    <s v="C-Class"/>
    <x v="10"/>
    <x v="0"/>
    <x v="0"/>
    <x v="1"/>
    <n v="40626.620000000003"/>
    <n v="17"/>
    <x v="3"/>
  </r>
  <r>
    <s v="C0416"/>
    <x v="4"/>
    <s v="C-Class"/>
    <x v="2"/>
    <x v="5"/>
    <x v="2"/>
    <x v="0"/>
    <n v="36408.74"/>
    <n v="5"/>
    <x v="2"/>
  </r>
  <r>
    <s v="C0417"/>
    <x v="6"/>
    <s v="Seltos"/>
    <x v="5"/>
    <x v="5"/>
    <x v="2"/>
    <x v="0"/>
    <n v="97010.2"/>
    <n v="13"/>
    <x v="1"/>
  </r>
  <r>
    <s v="C0418"/>
    <x v="4"/>
    <s v="E-Class"/>
    <x v="9"/>
    <x v="4"/>
    <x v="2"/>
    <x v="0"/>
    <n v="33747.300000000003"/>
    <n v="17"/>
    <x v="2"/>
  </r>
  <r>
    <s v="C0419"/>
    <x v="3"/>
    <s v="Elantra"/>
    <x v="9"/>
    <x v="1"/>
    <x v="1"/>
    <x v="0"/>
    <n v="26589.96"/>
    <n v="7"/>
    <x v="3"/>
  </r>
  <r>
    <s v="C0420"/>
    <x v="1"/>
    <s v="Model X"/>
    <x v="6"/>
    <x v="5"/>
    <x v="3"/>
    <x v="0"/>
    <n v="99307.62"/>
    <n v="5"/>
    <x v="2"/>
  </r>
  <r>
    <s v="C0421"/>
    <x v="2"/>
    <s v="Sunny"/>
    <x v="9"/>
    <x v="2"/>
    <x v="1"/>
    <x v="0"/>
    <n v="67664.2"/>
    <n v="6"/>
    <x v="1"/>
  </r>
  <r>
    <s v="C0422"/>
    <x v="5"/>
    <s v="5 Series"/>
    <x v="9"/>
    <x v="4"/>
    <x v="3"/>
    <x v="0"/>
    <n v="24443.71"/>
    <n v="10"/>
    <x v="3"/>
  </r>
  <r>
    <s v="C0423"/>
    <x v="6"/>
    <s v="Cerato"/>
    <x v="1"/>
    <x v="3"/>
    <x v="1"/>
    <x v="0"/>
    <n v="70594.53"/>
    <n v="4"/>
    <x v="3"/>
  </r>
  <r>
    <s v="C0424"/>
    <x v="2"/>
    <s v="Qashqai"/>
    <x v="5"/>
    <x v="1"/>
    <x v="0"/>
    <x v="1"/>
    <n v="70388.78"/>
    <n v="9"/>
    <x v="1"/>
  </r>
  <r>
    <s v="C0425"/>
    <x v="0"/>
    <s v="RAV4"/>
    <x v="1"/>
    <x v="2"/>
    <x v="3"/>
    <x v="1"/>
    <n v="20378.349999999999"/>
    <n v="12"/>
    <x v="1"/>
  </r>
  <r>
    <s v="C0426"/>
    <x v="3"/>
    <s v="Tucson"/>
    <x v="7"/>
    <x v="5"/>
    <x v="3"/>
    <x v="1"/>
    <n v="72163.86"/>
    <n v="4"/>
    <x v="2"/>
  </r>
  <r>
    <s v="C0427"/>
    <x v="6"/>
    <s v="Cerato"/>
    <x v="10"/>
    <x v="5"/>
    <x v="2"/>
    <x v="1"/>
    <n v="81521.600000000006"/>
    <n v="1"/>
    <x v="3"/>
  </r>
  <r>
    <s v="C0428"/>
    <x v="4"/>
    <s v="E-Class"/>
    <x v="4"/>
    <x v="5"/>
    <x v="2"/>
    <x v="1"/>
    <n v="46983.41"/>
    <n v="0"/>
    <x v="2"/>
  </r>
  <r>
    <s v="C0429"/>
    <x v="4"/>
    <s v="GLA"/>
    <x v="3"/>
    <x v="3"/>
    <x v="0"/>
    <x v="1"/>
    <n v="86656.17"/>
    <n v="12"/>
    <x v="2"/>
  </r>
  <r>
    <s v="C0430"/>
    <x v="2"/>
    <s v="Sunny"/>
    <x v="7"/>
    <x v="0"/>
    <x v="3"/>
    <x v="0"/>
    <n v="21393.33"/>
    <n v="6"/>
    <x v="2"/>
  </r>
  <r>
    <s v="C0431"/>
    <x v="3"/>
    <s v="Tucson"/>
    <x v="7"/>
    <x v="4"/>
    <x v="0"/>
    <x v="0"/>
    <n v="90207.03"/>
    <n v="2"/>
    <x v="1"/>
  </r>
  <r>
    <s v="C0432"/>
    <x v="2"/>
    <s v="Sunny"/>
    <x v="8"/>
    <x v="0"/>
    <x v="2"/>
    <x v="0"/>
    <n v="49078.51"/>
    <n v="14"/>
    <x v="1"/>
  </r>
  <r>
    <s v="C0433"/>
    <x v="2"/>
    <s v="Altima"/>
    <x v="8"/>
    <x v="3"/>
    <x v="2"/>
    <x v="1"/>
    <n v="72226.720000000001"/>
    <n v="3"/>
    <x v="3"/>
  </r>
  <r>
    <s v="C0434"/>
    <x v="4"/>
    <s v="E-Class"/>
    <x v="1"/>
    <x v="0"/>
    <x v="0"/>
    <x v="1"/>
    <n v="45192.28"/>
    <n v="15"/>
    <x v="3"/>
  </r>
  <r>
    <s v="C0435"/>
    <x v="1"/>
    <s v="Model X"/>
    <x v="4"/>
    <x v="3"/>
    <x v="1"/>
    <x v="0"/>
    <n v="25337.119999999999"/>
    <n v="3"/>
    <x v="2"/>
  </r>
  <r>
    <s v="C0436"/>
    <x v="4"/>
    <s v="GLA"/>
    <x v="2"/>
    <x v="2"/>
    <x v="3"/>
    <x v="1"/>
    <n v="67934.179999999993"/>
    <n v="12"/>
    <x v="1"/>
  </r>
  <r>
    <s v="C0437"/>
    <x v="2"/>
    <s v="Sunny"/>
    <x v="3"/>
    <x v="3"/>
    <x v="1"/>
    <x v="0"/>
    <n v="99669.63"/>
    <n v="7"/>
    <x v="1"/>
  </r>
  <r>
    <s v="C0438"/>
    <x v="0"/>
    <s v="Camry"/>
    <x v="5"/>
    <x v="1"/>
    <x v="1"/>
    <x v="1"/>
    <n v="62584.97"/>
    <n v="14"/>
    <x v="2"/>
  </r>
  <r>
    <s v="C0439"/>
    <x v="3"/>
    <s v="Tucson"/>
    <x v="3"/>
    <x v="3"/>
    <x v="3"/>
    <x v="0"/>
    <n v="70576.600000000006"/>
    <n v="17"/>
    <x v="3"/>
  </r>
  <r>
    <s v="C0440"/>
    <x v="1"/>
    <s v="Model 3"/>
    <x v="4"/>
    <x v="0"/>
    <x v="1"/>
    <x v="1"/>
    <n v="77162.509999999995"/>
    <n v="19"/>
    <x v="1"/>
  </r>
  <r>
    <s v="C0441"/>
    <x v="5"/>
    <s v="3 Series"/>
    <x v="1"/>
    <x v="4"/>
    <x v="0"/>
    <x v="1"/>
    <n v="99718.55"/>
    <n v="6"/>
    <x v="2"/>
  </r>
  <r>
    <s v="C0442"/>
    <x v="2"/>
    <s v="Sunny"/>
    <x v="9"/>
    <x v="5"/>
    <x v="3"/>
    <x v="1"/>
    <n v="90545.9"/>
    <n v="3"/>
    <x v="2"/>
  </r>
  <r>
    <s v="C0443"/>
    <x v="4"/>
    <s v="GLA"/>
    <x v="1"/>
    <x v="2"/>
    <x v="0"/>
    <x v="0"/>
    <n v="15040.82"/>
    <n v="6"/>
    <x v="1"/>
  </r>
  <r>
    <s v="C0444"/>
    <x v="3"/>
    <s v="Elantra"/>
    <x v="8"/>
    <x v="4"/>
    <x v="1"/>
    <x v="0"/>
    <n v="52122.52"/>
    <n v="19"/>
    <x v="1"/>
  </r>
  <r>
    <s v="C0445"/>
    <x v="4"/>
    <s v="C-Class"/>
    <x v="10"/>
    <x v="2"/>
    <x v="1"/>
    <x v="0"/>
    <n v="67001.440000000002"/>
    <n v="7"/>
    <x v="3"/>
  </r>
  <r>
    <s v="C0446"/>
    <x v="4"/>
    <s v="C-Class"/>
    <x v="1"/>
    <x v="0"/>
    <x v="1"/>
    <x v="0"/>
    <n v="96503.38"/>
    <n v="11"/>
    <x v="2"/>
  </r>
  <r>
    <s v="C0447"/>
    <x v="3"/>
    <s v="Tucson"/>
    <x v="7"/>
    <x v="2"/>
    <x v="2"/>
    <x v="0"/>
    <n v="96124.81"/>
    <n v="13"/>
    <x v="2"/>
  </r>
  <r>
    <s v="C0448"/>
    <x v="0"/>
    <s v="RAV4"/>
    <x v="6"/>
    <x v="2"/>
    <x v="0"/>
    <x v="0"/>
    <n v="81740.740000000005"/>
    <n v="6"/>
    <x v="3"/>
  </r>
  <r>
    <s v="C0449"/>
    <x v="6"/>
    <s v="Cerato"/>
    <x v="1"/>
    <x v="1"/>
    <x v="2"/>
    <x v="0"/>
    <n v="42928.74"/>
    <n v="10"/>
    <x v="1"/>
  </r>
  <r>
    <s v="C0450"/>
    <x v="3"/>
    <s v="Tucson"/>
    <x v="0"/>
    <x v="5"/>
    <x v="0"/>
    <x v="0"/>
    <n v="95414.91"/>
    <n v="2"/>
    <x v="1"/>
  </r>
  <r>
    <s v="C0451"/>
    <x v="0"/>
    <s v="Corolla"/>
    <x v="5"/>
    <x v="5"/>
    <x v="1"/>
    <x v="1"/>
    <n v="71681.320000000007"/>
    <n v="5"/>
    <x v="2"/>
  </r>
  <r>
    <s v="C0452"/>
    <x v="5"/>
    <s v="X5"/>
    <x v="6"/>
    <x v="4"/>
    <x v="1"/>
    <x v="1"/>
    <n v="96580.7"/>
    <n v="11"/>
    <x v="1"/>
  </r>
  <r>
    <s v="C0453"/>
    <x v="1"/>
    <s v="Model X"/>
    <x v="9"/>
    <x v="5"/>
    <x v="3"/>
    <x v="0"/>
    <n v="39915.71"/>
    <n v="15"/>
    <x v="2"/>
  </r>
  <r>
    <s v="C0454"/>
    <x v="1"/>
    <s v="Model 3"/>
    <x v="4"/>
    <x v="5"/>
    <x v="0"/>
    <x v="1"/>
    <n v="56316.6"/>
    <n v="3"/>
    <x v="2"/>
  </r>
  <r>
    <s v="C0455"/>
    <x v="2"/>
    <s v="Qashqai"/>
    <x v="0"/>
    <x v="3"/>
    <x v="2"/>
    <x v="1"/>
    <n v="94666.38"/>
    <n v="0"/>
    <x v="3"/>
  </r>
  <r>
    <s v="C0456"/>
    <x v="6"/>
    <s v="Sportage"/>
    <x v="4"/>
    <x v="2"/>
    <x v="0"/>
    <x v="1"/>
    <n v="18896.169999999998"/>
    <n v="5"/>
    <x v="1"/>
  </r>
  <r>
    <s v="C0457"/>
    <x v="4"/>
    <s v="E-Class"/>
    <x v="2"/>
    <x v="5"/>
    <x v="3"/>
    <x v="1"/>
    <n v="89425.83"/>
    <n v="8"/>
    <x v="1"/>
  </r>
  <r>
    <s v="C0458"/>
    <x v="2"/>
    <s v="Sunny"/>
    <x v="10"/>
    <x v="3"/>
    <x v="2"/>
    <x v="1"/>
    <n v="21314.27"/>
    <n v="4"/>
    <x v="3"/>
  </r>
  <r>
    <s v="C0459"/>
    <x v="4"/>
    <s v="C-Class"/>
    <x v="8"/>
    <x v="2"/>
    <x v="3"/>
    <x v="1"/>
    <n v="86997.52"/>
    <n v="18"/>
    <x v="1"/>
  </r>
  <r>
    <s v="C0460"/>
    <x v="6"/>
    <s v="Seltos"/>
    <x v="9"/>
    <x v="3"/>
    <x v="1"/>
    <x v="0"/>
    <n v="89695.19"/>
    <n v="10"/>
    <x v="1"/>
  </r>
  <r>
    <s v="C0461"/>
    <x v="4"/>
    <s v="C-Class"/>
    <x v="0"/>
    <x v="3"/>
    <x v="1"/>
    <x v="1"/>
    <n v="69815.820000000007"/>
    <n v="9"/>
    <x v="3"/>
  </r>
  <r>
    <s v="C0462"/>
    <x v="6"/>
    <s v="Cerato"/>
    <x v="5"/>
    <x v="3"/>
    <x v="3"/>
    <x v="1"/>
    <n v="70305.320000000007"/>
    <n v="15"/>
    <x v="1"/>
  </r>
  <r>
    <s v="C0463"/>
    <x v="5"/>
    <s v="3 Series"/>
    <x v="3"/>
    <x v="5"/>
    <x v="0"/>
    <x v="1"/>
    <n v="97547.49"/>
    <n v="9"/>
    <x v="2"/>
  </r>
  <r>
    <s v="C0464"/>
    <x v="3"/>
    <s v="Elantra"/>
    <x v="0"/>
    <x v="2"/>
    <x v="2"/>
    <x v="1"/>
    <n v="71865.37"/>
    <n v="0"/>
    <x v="3"/>
  </r>
  <r>
    <s v="C0465"/>
    <x v="5"/>
    <s v="X5"/>
    <x v="5"/>
    <x v="0"/>
    <x v="1"/>
    <x v="1"/>
    <n v="97325.62"/>
    <n v="5"/>
    <x v="2"/>
  </r>
  <r>
    <s v="C0466"/>
    <x v="4"/>
    <s v="E-Class"/>
    <x v="8"/>
    <x v="2"/>
    <x v="0"/>
    <x v="1"/>
    <n v="31162.29"/>
    <n v="5"/>
    <x v="2"/>
  </r>
  <r>
    <s v="C0467"/>
    <x v="2"/>
    <s v="Qashqai"/>
    <x v="4"/>
    <x v="0"/>
    <x v="0"/>
    <x v="0"/>
    <n v="67754.28"/>
    <n v="5"/>
    <x v="1"/>
  </r>
  <r>
    <s v="C0468"/>
    <x v="5"/>
    <s v="5 Series"/>
    <x v="9"/>
    <x v="1"/>
    <x v="1"/>
    <x v="0"/>
    <n v="22864.84"/>
    <n v="3"/>
    <x v="1"/>
  </r>
  <r>
    <s v="C0469"/>
    <x v="6"/>
    <s v="Seltos"/>
    <x v="6"/>
    <x v="0"/>
    <x v="3"/>
    <x v="1"/>
    <n v="74126.210000000006"/>
    <n v="4"/>
    <x v="1"/>
  </r>
  <r>
    <s v="C0470"/>
    <x v="4"/>
    <s v="E-Class"/>
    <x v="2"/>
    <x v="0"/>
    <x v="3"/>
    <x v="1"/>
    <n v="57972.89"/>
    <n v="15"/>
    <x v="1"/>
  </r>
  <r>
    <s v="C0471"/>
    <x v="0"/>
    <s v="RAV4"/>
    <x v="4"/>
    <x v="4"/>
    <x v="2"/>
    <x v="0"/>
    <n v="65330.42"/>
    <n v="14"/>
    <x v="3"/>
  </r>
  <r>
    <s v="C0472"/>
    <x v="3"/>
    <s v="Sonata"/>
    <x v="9"/>
    <x v="3"/>
    <x v="0"/>
    <x v="1"/>
    <n v="57968.41"/>
    <n v="16"/>
    <x v="1"/>
  </r>
  <r>
    <s v="C0473"/>
    <x v="5"/>
    <s v="5 Series"/>
    <x v="2"/>
    <x v="2"/>
    <x v="2"/>
    <x v="0"/>
    <n v="77673.89"/>
    <n v="5"/>
    <x v="3"/>
  </r>
  <r>
    <s v="C0474"/>
    <x v="3"/>
    <s v="Elantra"/>
    <x v="6"/>
    <x v="5"/>
    <x v="2"/>
    <x v="0"/>
    <n v="96801.96"/>
    <n v="17"/>
    <x v="3"/>
  </r>
  <r>
    <s v="C0475"/>
    <x v="4"/>
    <s v="C-Class"/>
    <x v="3"/>
    <x v="3"/>
    <x v="2"/>
    <x v="1"/>
    <n v="39426.35"/>
    <n v="10"/>
    <x v="3"/>
  </r>
  <r>
    <s v="C0476"/>
    <x v="0"/>
    <s v="Corolla"/>
    <x v="3"/>
    <x v="1"/>
    <x v="2"/>
    <x v="0"/>
    <n v="98034.8"/>
    <n v="9"/>
    <x v="1"/>
  </r>
  <r>
    <s v="C0477"/>
    <x v="2"/>
    <s v="Sunny"/>
    <x v="4"/>
    <x v="3"/>
    <x v="1"/>
    <x v="0"/>
    <n v="63023.81"/>
    <n v="17"/>
    <x v="3"/>
  </r>
  <r>
    <s v="C0478"/>
    <x v="4"/>
    <s v="GLA"/>
    <x v="1"/>
    <x v="1"/>
    <x v="1"/>
    <x v="1"/>
    <n v="39151.25"/>
    <n v="13"/>
    <x v="2"/>
  </r>
  <r>
    <s v="C0479"/>
    <x v="1"/>
    <s v="Model X"/>
    <x v="1"/>
    <x v="1"/>
    <x v="1"/>
    <x v="0"/>
    <n v="95030.16"/>
    <n v="3"/>
    <x v="1"/>
  </r>
  <r>
    <s v="C0480"/>
    <x v="0"/>
    <s v="Camry"/>
    <x v="5"/>
    <x v="1"/>
    <x v="0"/>
    <x v="0"/>
    <n v="69164.800000000003"/>
    <n v="7"/>
    <x v="1"/>
  </r>
  <r>
    <s v="C0481"/>
    <x v="4"/>
    <s v="E-Class"/>
    <x v="0"/>
    <x v="3"/>
    <x v="2"/>
    <x v="1"/>
    <n v="53295.040000000001"/>
    <n v="12"/>
    <x v="1"/>
  </r>
  <r>
    <s v="C0482"/>
    <x v="0"/>
    <s v="Camry"/>
    <x v="2"/>
    <x v="5"/>
    <x v="2"/>
    <x v="1"/>
    <n v="47304.02"/>
    <n v="3"/>
    <x v="2"/>
  </r>
  <r>
    <s v="C0483"/>
    <x v="6"/>
    <s v="Seltos"/>
    <x v="5"/>
    <x v="1"/>
    <x v="1"/>
    <x v="1"/>
    <n v="57978.6"/>
    <n v="2"/>
    <x v="1"/>
  </r>
  <r>
    <s v="C0484"/>
    <x v="0"/>
    <s v="Camry"/>
    <x v="2"/>
    <x v="3"/>
    <x v="0"/>
    <x v="0"/>
    <n v="35701.449999999997"/>
    <n v="10"/>
    <x v="2"/>
  </r>
  <r>
    <s v="C0485"/>
    <x v="1"/>
    <s v="Model X"/>
    <x v="10"/>
    <x v="3"/>
    <x v="0"/>
    <x v="1"/>
    <n v="95460.71"/>
    <n v="8"/>
    <x v="3"/>
  </r>
  <r>
    <s v="C0486"/>
    <x v="5"/>
    <s v="3 Series"/>
    <x v="0"/>
    <x v="4"/>
    <x v="1"/>
    <x v="1"/>
    <n v="64128.73"/>
    <n v="4"/>
    <x v="1"/>
  </r>
  <r>
    <s v="C0487"/>
    <x v="1"/>
    <s v="Model X"/>
    <x v="2"/>
    <x v="2"/>
    <x v="2"/>
    <x v="1"/>
    <n v="71823.77"/>
    <n v="2"/>
    <x v="1"/>
  </r>
  <r>
    <s v="C0488"/>
    <x v="1"/>
    <s v="Model 3"/>
    <x v="3"/>
    <x v="2"/>
    <x v="0"/>
    <x v="0"/>
    <n v="26437"/>
    <n v="15"/>
    <x v="3"/>
  </r>
  <r>
    <s v="C0489"/>
    <x v="4"/>
    <s v="E-Class"/>
    <x v="2"/>
    <x v="2"/>
    <x v="1"/>
    <x v="0"/>
    <n v="76993.42"/>
    <n v="7"/>
    <x v="2"/>
  </r>
  <r>
    <s v="C0490"/>
    <x v="5"/>
    <s v="5 Series"/>
    <x v="4"/>
    <x v="5"/>
    <x v="2"/>
    <x v="0"/>
    <n v="53228.52"/>
    <n v="15"/>
    <x v="1"/>
  </r>
  <r>
    <s v="C0491"/>
    <x v="6"/>
    <s v="Seltos"/>
    <x v="10"/>
    <x v="0"/>
    <x v="0"/>
    <x v="0"/>
    <n v="19841.22"/>
    <n v="5"/>
    <x v="3"/>
  </r>
  <r>
    <s v="C0492"/>
    <x v="1"/>
    <s v="Model 3"/>
    <x v="10"/>
    <x v="1"/>
    <x v="1"/>
    <x v="1"/>
    <n v="16340.85"/>
    <n v="10"/>
    <x v="1"/>
  </r>
  <r>
    <s v="C0493"/>
    <x v="0"/>
    <s v="Corolla"/>
    <x v="7"/>
    <x v="5"/>
    <x v="3"/>
    <x v="0"/>
    <n v="31016.48"/>
    <n v="19"/>
    <x v="2"/>
  </r>
  <r>
    <s v="C0494"/>
    <x v="0"/>
    <s v="Corolla"/>
    <x v="7"/>
    <x v="2"/>
    <x v="1"/>
    <x v="1"/>
    <n v="42214.03"/>
    <n v="19"/>
    <x v="2"/>
  </r>
  <r>
    <s v="C0495"/>
    <x v="1"/>
    <s v="Model S"/>
    <x v="2"/>
    <x v="5"/>
    <x v="3"/>
    <x v="0"/>
    <n v="97334.54"/>
    <n v="18"/>
    <x v="3"/>
  </r>
  <r>
    <s v="C0496"/>
    <x v="5"/>
    <s v="X5"/>
    <x v="0"/>
    <x v="0"/>
    <x v="3"/>
    <x v="1"/>
    <n v="53580.76"/>
    <n v="14"/>
    <x v="1"/>
  </r>
  <r>
    <s v="C0497"/>
    <x v="2"/>
    <s v="Altima"/>
    <x v="6"/>
    <x v="5"/>
    <x v="1"/>
    <x v="1"/>
    <n v="24233.93"/>
    <n v="8"/>
    <x v="1"/>
  </r>
  <r>
    <s v="C0498"/>
    <x v="4"/>
    <s v="GLA"/>
    <x v="2"/>
    <x v="0"/>
    <x v="0"/>
    <x v="1"/>
    <n v="55534.6"/>
    <n v="15"/>
    <x v="1"/>
  </r>
  <r>
    <s v="C0499"/>
    <x v="1"/>
    <s v="Model 3"/>
    <x v="3"/>
    <x v="1"/>
    <x v="3"/>
    <x v="1"/>
    <n v="59691.91"/>
    <n v="14"/>
    <x v="2"/>
  </r>
  <r>
    <s v="C0500"/>
    <x v="4"/>
    <s v="GLA"/>
    <x v="9"/>
    <x v="1"/>
    <x v="1"/>
    <x v="0"/>
    <n v="75993.8"/>
    <n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C2BDD-AA50-495D-BD11-E08F0C0CB0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0">
    <pivotField dataField="1" showAll="0"/>
    <pivotField axis="axisRow" showAll="0">
      <items count="8">
        <item x="5"/>
        <item x="3"/>
        <item x="6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ars_ID" fld="0" subtotal="count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67F80-3FCE-4B75-AA9F-56226C4A56C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11:N47" firstHeaderRow="1" firstDataRow="1" firstDataCol="1"/>
  <pivotFields count="10">
    <pivotField dataField="1" showAll="0"/>
    <pivotField axis="axisRow" showAll="0">
      <items count="8">
        <item x="5"/>
        <item x="3"/>
        <item x="6"/>
        <item x="4"/>
        <item x="2"/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164" showAll="0"/>
    <pivotField showAll="0"/>
    <pivotField showAll="0"/>
  </pivotFields>
  <rowFields count="2">
    <field x="1"/>
    <field x="5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Cars_ID" fld="0" subtotal="count" baseField="0" baseItem="0"/>
  </dataFields>
  <formats count="13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2">
          <reference field="1" count="1" selected="0">
            <x v="0"/>
          </reference>
          <reference field="5" count="0"/>
        </references>
      </pivotArea>
    </format>
    <format dxfId="12">
      <pivotArea dataOnly="0" labelOnly="1" fieldPosition="0">
        <references count="2">
          <reference field="1" count="1" selected="0">
            <x v="1"/>
          </reference>
          <reference field="5" count="0"/>
        </references>
      </pivotArea>
    </format>
    <format dxfId="11">
      <pivotArea dataOnly="0" labelOnly="1" fieldPosition="0">
        <references count="2">
          <reference field="1" count="1" selected="0">
            <x v="2"/>
          </reference>
          <reference field="5" count="0"/>
        </references>
      </pivotArea>
    </format>
    <format dxfId="10">
      <pivotArea dataOnly="0" labelOnly="1" fieldPosition="0">
        <references count="2">
          <reference field="1" count="1" selected="0">
            <x v="3"/>
          </reference>
          <reference field="5" count="0"/>
        </references>
      </pivotArea>
    </format>
    <format dxfId="9">
      <pivotArea dataOnly="0" labelOnly="1" fieldPosition="0">
        <references count="2">
          <reference field="1" count="1" selected="0">
            <x v="4"/>
          </reference>
          <reference field="5" count="0"/>
        </references>
      </pivotArea>
    </format>
    <format dxfId="8">
      <pivotArea dataOnly="0" labelOnly="1" fieldPosition="0">
        <references count="2">
          <reference field="1" count="1" selected="0">
            <x v="5"/>
          </reference>
          <reference field="5" count="0"/>
        </references>
      </pivotArea>
    </format>
    <format dxfId="7">
      <pivotArea dataOnly="0" labelOnly="1" fieldPosition="0">
        <references count="2">
          <reference field="1" count="1" selected="0">
            <x v="6"/>
          </reference>
          <reference field="5" count="0"/>
        </references>
      </pivotArea>
    </format>
    <format dxfId="6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3766F-7F1E-4B2A-9C7C-7A9ED177655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3:K6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Price" fld="7" subtotal="average" baseField="6" baseItem="0" numFmtId="164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6" type="button" dataOnly="0" labelOnly="1" outline="0" axis="axisRow" fieldPosition="0"/>
    </format>
    <format dxfId="21">
      <pivotArea dataOnly="0" labelOnly="1" fieldPosition="0">
        <references count="1">
          <reference field="6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28EE3-525E-4BCF-BB6B-FC76039294A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3:E11" firstHeaderRow="1" firstDataRow="1" firstDataCol="1"/>
  <pivotFields count="10">
    <pivotField showAll="0"/>
    <pivotField axis="axisRow" showAll="0">
      <items count="8">
        <item x="5"/>
        <item x="3"/>
        <item x="6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ice" fld="7" subtotal="average" baseField="1" baseItem="0" numFmtId="164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1" type="button" dataOnly="0" labelOnly="1" outline="0" axis="axisRow" fieldPosition="0"/>
    </format>
    <format dxfId="27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29D01-36B7-4422-AC20-449373D4969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3:H8" firstHeaderRow="1" firstDataRow="1" firstDataCol="1"/>
  <pivotFields count="10">
    <pivotField dataField="1"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numFmtId="164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rs_ID" fld="0" subtotal="count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5" type="button" dataOnly="0" labelOnly="1" outline="0" axis="axisRow" fieldPosition="0"/>
    </format>
    <format dxfId="33">
      <pivotArea dataOnly="0" labelOnly="1" fieldPosition="0">
        <references count="1">
          <reference field="5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49F3B-3A4F-47D6-839E-5111BECD841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4:B21" firstHeaderRow="1" firstDataRow="1" firstDataCol="1"/>
  <pivotFields count="10">
    <pivotField dataField="1" showAll="0"/>
    <pivotField showAll="0"/>
    <pivotField showAll="0"/>
    <pivotField showAll="0"/>
    <pivotField axis="axisRow" showAll="0">
      <items count="7">
        <item x="5"/>
        <item x="1"/>
        <item x="3"/>
        <item x="0"/>
        <item x="4"/>
        <item x="2"/>
        <item t="default"/>
      </items>
    </pivotField>
    <pivotField showAll="0"/>
    <pivotField showAll="0"/>
    <pivotField numFmtId="164"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ars_ID" fld="0" subtotal="count" baseField="4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4" type="button" dataOnly="0" labelOnly="1" outline="0" axis="axisRow" fieldPosition="0"/>
    </format>
    <format dxfId="39">
      <pivotArea dataOnly="0" labelOnly="1" fieldPosition="0">
        <references count="1">
          <reference field="4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2B813-E874-48C8-8F08-4745F070EDE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1:H23" firstHeaderRow="1" firstDataRow="1" firstDataCol="1"/>
  <pivotFields count="10">
    <pivotField dataField="1" showAll="0"/>
    <pivotField showAll="0"/>
    <pivotField showAll="0"/>
    <pivotField axis="axisRow" showAll="0">
      <items count="12">
        <item x="8"/>
        <item x="4"/>
        <item x="7"/>
        <item x="2"/>
        <item x="1"/>
        <item x="5"/>
        <item x="6"/>
        <item x="10"/>
        <item x="0"/>
        <item x="9"/>
        <item x="3"/>
        <item t="default"/>
      </items>
    </pivotField>
    <pivotField showAll="0"/>
    <pivotField showAll="0"/>
    <pivotField showAll="0"/>
    <pivotField numFmtId="164"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ars_ID" fld="0" subtotal="count" baseField="0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3" type="button" dataOnly="0" labelOnly="1" outline="0" axis="axisRow" fieldPosition="0"/>
    </format>
    <format dxfId="45">
      <pivotArea dataOnly="0" labelOnly="1" fieldPosition="0">
        <references count="1">
          <reference field="3" count="0"/>
        </references>
      </pivotArea>
    </format>
    <format dxfId="44">
      <pivotArea dataOnly="0" labelOnly="1" grandRow="1" outline="0" fieldPosition="0"/>
    </format>
    <format dxfId="43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9C3B4-DE4E-415B-8367-53C59AF24B6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9:K17" firstHeaderRow="1" firstDataRow="1" firstDataCol="1"/>
  <pivotFields count="10">
    <pivotField showAll="0"/>
    <pivotField axis="axisRow" showAll="0">
      <items count="8">
        <item x="5"/>
        <item x="3"/>
        <item x="6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Quantity_In_Stock" fld="8" subtotal="count" baseField="1" baseItem="0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1" type="button" dataOnly="0" labelOnly="1" outline="0" axis="axisRow" fieldPosition="0"/>
    </format>
    <format dxfId="51">
      <pivotArea dataOnly="0" labelOnly="1" fieldPosition="0">
        <references count="1">
          <reference field="1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7F67F-9B28-4200-A069-319CBE8C31B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M3:N8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dataField="1" numFmtId="164"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ice" fld="7" subtotal="average" baseField="5" baseItem="0" numFmtId="164"/>
  </dataFields>
  <formats count="6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5" type="button" dataOnly="0" labelOnly="1" outline="0" axis="axisRow" fieldPosition="0"/>
    </format>
    <format dxfId="57">
      <pivotArea dataOnly="0" labelOnly="1" fieldPosition="0">
        <references count="1">
          <reference field="5" count="0"/>
        </references>
      </pivotArea>
    </format>
    <format dxfId="56">
      <pivotArea dataOnly="0" labelOnly="1" grandRow="1" outline="0" fieldPosition="0"/>
    </format>
    <format dxfId="55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438A50-977F-4828-96AA-558A4E3ED58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4:E19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showAll="0">
      <items count="5">
        <item x="1"/>
        <item x="2"/>
        <item x="3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rs_ID" fld="0" subtotal="count" baseField="0" baseItem="0"/>
  </dataFields>
  <formats count="6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9" type="button" dataOnly="0" labelOnly="1" outline="0" axis="axisRow" fieldPosition="0"/>
    </format>
    <format dxfId="63">
      <pivotArea dataOnly="0" labelOnly="1" fieldPosition="0">
        <references count="1">
          <reference field="9" count="0"/>
        </references>
      </pivotArea>
    </format>
    <format dxfId="62">
      <pivotArea dataOnly="0" labelOnly="1" grandRow="1" outline="0" fieldPosition="0"/>
    </format>
    <format dxfId="61">
      <pivotArea dataOnly="0" labelOnly="1" outline="0" axis="axisValues" fieldPosition="0"/>
    </format>
  </formats>
  <chartFormats count="5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B201BF-16C2-4D66-9BAD-3683F17FC366}" name="Table1" displayName="Table1" ref="A1:J501" totalsRowShown="0" headerRowDxfId="81" dataDxfId="79" headerRowBorderDxfId="80" tableBorderDxfId="78" totalsRowBorderDxfId="77">
  <autoFilter ref="A1:J501" xr:uid="{25B201BF-16C2-4D66-9BAD-3683F17FC366}"/>
  <tableColumns count="10">
    <tableColumn id="1" xr3:uid="{70B70138-A8AF-4E05-A0E4-137F2A45C2C9}" name="Cars_ID" dataDxfId="76"/>
    <tableColumn id="2" xr3:uid="{13DC9841-6DBF-4828-A68F-5B63F1A0D06A}" name="Brand" dataDxfId="75"/>
    <tableColumn id="3" xr3:uid="{B58A8933-0E4E-4070-BB8B-2A8565FA180B}" name="Model" dataDxfId="74"/>
    <tableColumn id="4" xr3:uid="{94B5EC3E-DC34-48FD-9A36-47EC62BE2DBE}" name="Year" dataDxfId="73"/>
    <tableColumn id="5" xr3:uid="{80F453AD-4EFF-4490-BC9D-99E4EB3481C4}" name="Color" dataDxfId="72"/>
    <tableColumn id="6" xr3:uid="{75A3454D-C1FD-4A1F-9D27-0740F5E64E3D}" name="Engine_Type" dataDxfId="71"/>
    <tableColumn id="7" xr3:uid="{7272AAA3-140D-4DF7-9216-F361E991BD45}" name="Transmission" dataDxfId="70"/>
    <tableColumn id="8" xr3:uid="{5EDD3D77-7FFB-4DFD-9E53-F13C5D2E0D84}" name="Price" dataDxfId="69"/>
    <tableColumn id="9" xr3:uid="{E8912B36-6FFA-44A9-A5C2-72EAE9F23B15}" name="Quantity_In_Stock" dataDxfId="68"/>
    <tableColumn id="10" xr3:uid="{B2B6F8D0-AD2D-4A20-BAAB-6465BB76FA6A}" name="Status" dataDxfId="67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707E-CD14-47CA-B0AA-B4E1660582F1}">
  <dimension ref="A1:P501"/>
  <sheetViews>
    <sheetView tabSelected="1" workbookViewId="0">
      <selection activeCell="B83" sqref="B83"/>
    </sheetView>
  </sheetViews>
  <sheetFormatPr defaultRowHeight="14.4" x14ac:dyDescent="0.3"/>
  <cols>
    <col min="1" max="10" width="27.21875" customWidth="1"/>
    <col min="12" max="13" width="27.21875" customWidth="1"/>
    <col min="14" max="14" width="29.88671875" customWidth="1"/>
    <col min="15" max="15" width="27.21875" customWidth="1"/>
    <col min="16" max="16" width="28.21875" customWidth="1"/>
  </cols>
  <sheetData>
    <row r="1" spans="1:10" ht="21" x14ac:dyDescent="0.4">
      <c r="A1" s="23" t="s">
        <v>552</v>
      </c>
      <c r="B1" s="24" t="s">
        <v>0</v>
      </c>
      <c r="C1" s="24" t="s">
        <v>1</v>
      </c>
      <c r="D1" s="24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5" t="s">
        <v>8</v>
      </c>
    </row>
    <row r="2" spans="1:10" ht="23.4" x14ac:dyDescent="0.45">
      <c r="A2" s="1" t="s">
        <v>9</v>
      </c>
      <c r="B2" s="2" t="s">
        <v>10</v>
      </c>
      <c r="C2" s="3" t="s">
        <v>11</v>
      </c>
      <c r="D2" s="3">
        <v>2023</v>
      </c>
      <c r="E2" s="2" t="s">
        <v>12</v>
      </c>
      <c r="F2" s="2" t="s">
        <v>13</v>
      </c>
      <c r="G2" s="2" t="s">
        <v>14</v>
      </c>
      <c r="H2" s="4">
        <v>80338.149999999994</v>
      </c>
      <c r="I2" s="3">
        <v>6</v>
      </c>
      <c r="J2" s="5" t="s">
        <v>588</v>
      </c>
    </row>
    <row r="3" spans="1:10" ht="23.4" x14ac:dyDescent="0.45">
      <c r="A3" s="1" t="s">
        <v>16</v>
      </c>
      <c r="B3" s="2" t="s">
        <v>17</v>
      </c>
      <c r="C3" s="3" t="s">
        <v>18</v>
      </c>
      <c r="D3" s="3">
        <v>2019</v>
      </c>
      <c r="E3" s="2" t="s">
        <v>12</v>
      </c>
      <c r="F3" s="2" t="s">
        <v>19</v>
      </c>
      <c r="G3" s="2" t="s">
        <v>20</v>
      </c>
      <c r="H3" s="4">
        <v>26437.73</v>
      </c>
      <c r="I3" s="3">
        <v>16</v>
      </c>
      <c r="J3" s="5" t="s">
        <v>15</v>
      </c>
    </row>
    <row r="4" spans="1:10" ht="23.4" x14ac:dyDescent="0.45">
      <c r="A4" s="1" t="s">
        <v>21</v>
      </c>
      <c r="B4" s="2" t="s">
        <v>22</v>
      </c>
      <c r="C4" s="3" t="s">
        <v>23</v>
      </c>
      <c r="D4" s="3">
        <v>2018</v>
      </c>
      <c r="E4" s="2" t="s">
        <v>24</v>
      </c>
      <c r="F4" s="2" t="s">
        <v>19</v>
      </c>
      <c r="G4" s="2" t="s">
        <v>14</v>
      </c>
      <c r="H4" s="4">
        <v>50158.13</v>
      </c>
      <c r="I4" s="3">
        <v>20</v>
      </c>
      <c r="J4" s="5" t="s">
        <v>15</v>
      </c>
    </row>
    <row r="5" spans="1:10" ht="23.4" x14ac:dyDescent="0.45">
      <c r="A5" s="1" t="s">
        <v>25</v>
      </c>
      <c r="B5" s="2" t="s">
        <v>26</v>
      </c>
      <c r="C5" s="3" t="s">
        <v>27</v>
      </c>
      <c r="D5" s="3">
        <v>2025</v>
      </c>
      <c r="E5" s="2" t="s">
        <v>12</v>
      </c>
      <c r="F5" s="2" t="s">
        <v>28</v>
      </c>
      <c r="G5" s="2" t="s">
        <v>14</v>
      </c>
      <c r="H5" s="4">
        <v>33026.14</v>
      </c>
      <c r="I5" s="3">
        <v>3</v>
      </c>
      <c r="J5" s="5" t="s">
        <v>15</v>
      </c>
    </row>
    <row r="6" spans="1:10" ht="23.4" x14ac:dyDescent="0.45">
      <c r="A6" s="1" t="s">
        <v>29</v>
      </c>
      <c r="B6" s="2" t="s">
        <v>10</v>
      </c>
      <c r="C6" s="3" t="s">
        <v>30</v>
      </c>
      <c r="D6" s="3">
        <v>2016</v>
      </c>
      <c r="E6" s="2" t="s">
        <v>31</v>
      </c>
      <c r="F6" s="2" t="s">
        <v>28</v>
      </c>
      <c r="G6" s="2" t="s">
        <v>20</v>
      </c>
      <c r="H6" s="4">
        <v>79672.899999999994</v>
      </c>
      <c r="I6" s="3">
        <v>9</v>
      </c>
      <c r="J6" s="5" t="s">
        <v>32</v>
      </c>
    </row>
    <row r="7" spans="1:10" ht="23.4" x14ac:dyDescent="0.45">
      <c r="A7" s="1" t="s">
        <v>33</v>
      </c>
      <c r="B7" s="2" t="s">
        <v>26</v>
      </c>
      <c r="C7" s="3" t="s">
        <v>34</v>
      </c>
      <c r="D7" s="3">
        <v>2019</v>
      </c>
      <c r="E7" s="2" t="s">
        <v>31</v>
      </c>
      <c r="F7" s="2" t="s">
        <v>35</v>
      </c>
      <c r="G7" s="2" t="s">
        <v>14</v>
      </c>
      <c r="H7" s="4">
        <v>94225.03</v>
      </c>
      <c r="I7" s="3">
        <v>17</v>
      </c>
      <c r="J7" s="5" t="s">
        <v>36</v>
      </c>
    </row>
    <row r="8" spans="1:10" ht="23.4" x14ac:dyDescent="0.45">
      <c r="A8" s="1" t="s">
        <v>37</v>
      </c>
      <c r="B8" s="2" t="s">
        <v>38</v>
      </c>
      <c r="C8" s="3" t="s">
        <v>39</v>
      </c>
      <c r="D8" s="3">
        <v>2020</v>
      </c>
      <c r="E8" s="2" t="s">
        <v>40</v>
      </c>
      <c r="F8" s="2" t="s">
        <v>13</v>
      </c>
      <c r="G8" s="2" t="s">
        <v>20</v>
      </c>
      <c r="H8" s="4">
        <v>21344.38</v>
      </c>
      <c r="I8" s="3">
        <v>7</v>
      </c>
      <c r="J8" s="5" t="s">
        <v>32</v>
      </c>
    </row>
    <row r="9" spans="1:10" ht="23.4" x14ac:dyDescent="0.45">
      <c r="A9" s="1" t="s">
        <v>41</v>
      </c>
      <c r="B9" s="2" t="s">
        <v>17</v>
      </c>
      <c r="C9" s="3" t="s">
        <v>18</v>
      </c>
      <c r="D9" s="3">
        <v>2021</v>
      </c>
      <c r="E9" s="2" t="s">
        <v>40</v>
      </c>
      <c r="F9" s="2" t="s">
        <v>28</v>
      </c>
      <c r="G9" s="2" t="s">
        <v>20</v>
      </c>
      <c r="H9" s="4">
        <v>48813.94</v>
      </c>
      <c r="I9" s="3">
        <v>14</v>
      </c>
      <c r="J9" s="5" t="s">
        <v>32</v>
      </c>
    </row>
    <row r="10" spans="1:10" ht="23.4" x14ac:dyDescent="0.45">
      <c r="A10" s="1" t="s">
        <v>42</v>
      </c>
      <c r="B10" s="2" t="s">
        <v>43</v>
      </c>
      <c r="C10" s="3" t="s">
        <v>44</v>
      </c>
      <c r="D10" s="3">
        <v>2017</v>
      </c>
      <c r="E10" s="2" t="s">
        <v>24</v>
      </c>
      <c r="F10" s="2" t="s">
        <v>19</v>
      </c>
      <c r="G10" s="2" t="s">
        <v>20</v>
      </c>
      <c r="H10" s="4">
        <v>34430.1</v>
      </c>
      <c r="I10" s="3">
        <v>14</v>
      </c>
      <c r="J10" s="5" t="s">
        <v>36</v>
      </c>
    </row>
    <row r="11" spans="1:10" ht="23.4" x14ac:dyDescent="0.45">
      <c r="A11" s="1" t="s">
        <v>45</v>
      </c>
      <c r="B11" s="2" t="s">
        <v>17</v>
      </c>
      <c r="C11" s="3" t="s">
        <v>46</v>
      </c>
      <c r="D11" s="3">
        <v>2015</v>
      </c>
      <c r="E11" s="2" t="s">
        <v>12</v>
      </c>
      <c r="F11" s="2" t="s">
        <v>28</v>
      </c>
      <c r="G11" s="2" t="s">
        <v>20</v>
      </c>
      <c r="H11" s="4">
        <v>42136.55</v>
      </c>
      <c r="I11" s="3">
        <v>0</v>
      </c>
      <c r="J11" s="5" t="s">
        <v>36</v>
      </c>
    </row>
    <row r="12" spans="1:10" ht="23.4" x14ac:dyDescent="0.45">
      <c r="A12" s="1" t="s">
        <v>47</v>
      </c>
      <c r="B12" s="2" t="s">
        <v>17</v>
      </c>
      <c r="C12" s="3" t="s">
        <v>18</v>
      </c>
      <c r="D12" s="3">
        <v>2017</v>
      </c>
      <c r="E12" s="2" t="s">
        <v>48</v>
      </c>
      <c r="F12" s="2" t="s">
        <v>19</v>
      </c>
      <c r="G12" s="2" t="s">
        <v>14</v>
      </c>
      <c r="H12" s="4">
        <v>17337.05</v>
      </c>
      <c r="I12" s="3">
        <v>3</v>
      </c>
      <c r="J12" s="5" t="s">
        <v>15</v>
      </c>
    </row>
    <row r="13" spans="1:10" ht="23.4" x14ac:dyDescent="0.45">
      <c r="A13" s="1" t="s">
        <v>49</v>
      </c>
      <c r="B13" s="2" t="s">
        <v>17</v>
      </c>
      <c r="C13" s="3" t="s">
        <v>46</v>
      </c>
      <c r="D13" s="3">
        <v>2016</v>
      </c>
      <c r="E13" s="2" t="s">
        <v>40</v>
      </c>
      <c r="F13" s="2" t="s">
        <v>19</v>
      </c>
      <c r="G13" s="2" t="s">
        <v>20</v>
      </c>
      <c r="H13" s="4">
        <v>78178.58</v>
      </c>
      <c r="I13" s="3">
        <v>13</v>
      </c>
      <c r="J13" s="5" t="s">
        <v>32</v>
      </c>
    </row>
    <row r="14" spans="1:10" ht="23.4" x14ac:dyDescent="0.45">
      <c r="A14" s="1" t="s">
        <v>50</v>
      </c>
      <c r="B14" s="2" t="s">
        <v>26</v>
      </c>
      <c r="C14" s="3" t="s">
        <v>27</v>
      </c>
      <c r="D14" s="3">
        <v>2018</v>
      </c>
      <c r="E14" s="2" t="s">
        <v>24</v>
      </c>
      <c r="F14" s="2" t="s">
        <v>35</v>
      </c>
      <c r="G14" s="2" t="s">
        <v>20</v>
      </c>
      <c r="H14" s="4">
        <v>92616.24</v>
      </c>
      <c r="I14" s="3">
        <v>2</v>
      </c>
      <c r="J14" s="5" t="s">
        <v>36</v>
      </c>
    </row>
    <row r="15" spans="1:10" ht="23.4" x14ac:dyDescent="0.45">
      <c r="A15" s="1" t="s">
        <v>51</v>
      </c>
      <c r="B15" s="2" t="s">
        <v>10</v>
      </c>
      <c r="C15" s="3" t="s">
        <v>30</v>
      </c>
      <c r="D15" s="3">
        <v>2024</v>
      </c>
      <c r="E15" s="2" t="s">
        <v>48</v>
      </c>
      <c r="F15" s="2" t="s">
        <v>28</v>
      </c>
      <c r="G15" s="2" t="s">
        <v>14</v>
      </c>
      <c r="H15" s="4">
        <v>97512.33</v>
      </c>
      <c r="I15" s="3">
        <v>18</v>
      </c>
      <c r="J15" s="5" t="s">
        <v>32</v>
      </c>
    </row>
    <row r="16" spans="1:10" ht="23.4" x14ac:dyDescent="0.45">
      <c r="A16" s="1" t="s">
        <v>52</v>
      </c>
      <c r="B16" s="2" t="s">
        <v>22</v>
      </c>
      <c r="C16" s="3" t="s">
        <v>53</v>
      </c>
      <c r="D16" s="3">
        <v>2019</v>
      </c>
      <c r="E16" s="2" t="s">
        <v>24</v>
      </c>
      <c r="F16" s="2" t="s">
        <v>35</v>
      </c>
      <c r="G16" s="2" t="s">
        <v>20</v>
      </c>
      <c r="H16" s="4">
        <v>89267.74</v>
      </c>
      <c r="I16" s="3">
        <v>17</v>
      </c>
      <c r="J16" s="5" t="s">
        <v>32</v>
      </c>
    </row>
    <row r="17" spans="1:16" ht="23.4" x14ac:dyDescent="0.45">
      <c r="A17" s="1" t="s">
        <v>54</v>
      </c>
      <c r="B17" s="2" t="s">
        <v>43</v>
      </c>
      <c r="C17" s="3" t="s">
        <v>44</v>
      </c>
      <c r="D17" s="3">
        <v>2024</v>
      </c>
      <c r="E17" s="2" t="s">
        <v>55</v>
      </c>
      <c r="F17" s="2" t="s">
        <v>13</v>
      </c>
      <c r="G17" s="2" t="s">
        <v>20</v>
      </c>
      <c r="H17" s="4">
        <v>36006.199999999997</v>
      </c>
      <c r="I17" s="3">
        <v>10</v>
      </c>
      <c r="J17" s="5" t="s">
        <v>32</v>
      </c>
    </row>
    <row r="18" spans="1:16" ht="24" thickBot="1" x14ac:dyDescent="0.5">
      <c r="A18" s="1" t="s">
        <v>56</v>
      </c>
      <c r="B18" s="2" t="s">
        <v>22</v>
      </c>
      <c r="C18" s="3" t="s">
        <v>23</v>
      </c>
      <c r="D18" s="3">
        <v>2018</v>
      </c>
      <c r="E18" s="2" t="s">
        <v>48</v>
      </c>
      <c r="F18" s="2" t="s">
        <v>13</v>
      </c>
      <c r="G18" s="2" t="s">
        <v>14</v>
      </c>
      <c r="H18" s="4">
        <v>30585.94</v>
      </c>
      <c r="I18" s="3">
        <v>2</v>
      </c>
      <c r="J18" s="5" t="s">
        <v>32</v>
      </c>
    </row>
    <row r="19" spans="1:16" ht="24" thickBot="1" x14ac:dyDescent="0.5">
      <c r="A19" s="1" t="s">
        <v>57</v>
      </c>
      <c r="B19" s="2" t="s">
        <v>22</v>
      </c>
      <c r="C19" s="3" t="s">
        <v>23</v>
      </c>
      <c r="D19" s="3">
        <v>2016</v>
      </c>
      <c r="E19" s="2" t="s">
        <v>55</v>
      </c>
      <c r="F19" s="2" t="s">
        <v>13</v>
      </c>
      <c r="G19" s="2" t="s">
        <v>20</v>
      </c>
      <c r="H19" s="4">
        <v>71104.740000000005</v>
      </c>
      <c r="I19" s="3">
        <v>15</v>
      </c>
      <c r="J19" s="5" t="s">
        <v>32</v>
      </c>
      <c r="L19" s="11"/>
      <c r="M19" s="12"/>
      <c r="N19" s="13" t="str">
        <f>IF(I10="Reserved","A", IF(I10="Available","B", "Sold"))</f>
        <v>Sold</v>
      </c>
      <c r="O19" s="14"/>
      <c r="P19" s="15"/>
    </row>
    <row r="20" spans="1:16" ht="23.4" x14ac:dyDescent="0.45">
      <c r="A20" s="1" t="s">
        <v>58</v>
      </c>
      <c r="B20" s="2" t="s">
        <v>17</v>
      </c>
      <c r="C20" s="3" t="s">
        <v>46</v>
      </c>
      <c r="D20" s="3">
        <v>2019</v>
      </c>
      <c r="E20" s="2" t="s">
        <v>31</v>
      </c>
      <c r="F20" s="2" t="s">
        <v>35</v>
      </c>
      <c r="G20" s="2" t="s">
        <v>20</v>
      </c>
      <c r="H20" s="4">
        <v>24426.04</v>
      </c>
      <c r="I20" s="3">
        <v>2</v>
      </c>
      <c r="J20" s="5" t="s">
        <v>36</v>
      </c>
    </row>
    <row r="21" spans="1:16" ht="23.4" x14ac:dyDescent="0.45">
      <c r="A21" s="1" t="s">
        <v>59</v>
      </c>
      <c r="B21" s="2" t="s">
        <v>10</v>
      </c>
      <c r="C21" s="3" t="s">
        <v>11</v>
      </c>
      <c r="D21" s="3">
        <v>2022</v>
      </c>
      <c r="E21" s="2" t="s">
        <v>24</v>
      </c>
      <c r="F21" s="2" t="s">
        <v>19</v>
      </c>
      <c r="G21" s="2" t="s">
        <v>20</v>
      </c>
      <c r="H21" s="4">
        <v>68270.75</v>
      </c>
      <c r="I21" s="3">
        <v>2</v>
      </c>
      <c r="J21" s="5" t="s">
        <v>36</v>
      </c>
    </row>
    <row r="22" spans="1:16" ht="23.4" x14ac:dyDescent="0.45">
      <c r="A22" s="1" t="s">
        <v>60</v>
      </c>
      <c r="B22" s="2" t="s">
        <v>43</v>
      </c>
      <c r="C22" s="3" t="s">
        <v>44</v>
      </c>
      <c r="D22" s="3">
        <v>2020</v>
      </c>
      <c r="E22" s="2" t="s">
        <v>12</v>
      </c>
      <c r="F22" s="2" t="s">
        <v>35</v>
      </c>
      <c r="G22" s="2" t="s">
        <v>14</v>
      </c>
      <c r="H22" s="4">
        <v>60882.36</v>
      </c>
      <c r="I22" s="3">
        <v>19</v>
      </c>
      <c r="J22" s="5" t="s">
        <v>15</v>
      </c>
    </row>
    <row r="23" spans="1:16" ht="23.4" x14ac:dyDescent="0.45">
      <c r="A23" s="1" t="s">
        <v>61</v>
      </c>
      <c r="B23" s="2" t="s">
        <v>17</v>
      </c>
      <c r="C23" s="3" t="s">
        <v>62</v>
      </c>
      <c r="D23" s="3">
        <v>2018</v>
      </c>
      <c r="E23" s="2" t="s">
        <v>12</v>
      </c>
      <c r="F23" s="2" t="s">
        <v>35</v>
      </c>
      <c r="G23" s="2" t="s">
        <v>14</v>
      </c>
      <c r="H23" s="4">
        <v>40366.14</v>
      </c>
      <c r="I23" s="3">
        <v>18</v>
      </c>
      <c r="J23" s="5" t="s">
        <v>36</v>
      </c>
    </row>
    <row r="24" spans="1:16" ht="23.4" x14ac:dyDescent="0.45">
      <c r="A24" s="1" t="s">
        <v>63</v>
      </c>
      <c r="B24" s="2" t="s">
        <v>17</v>
      </c>
      <c r="C24" s="3" t="s">
        <v>18</v>
      </c>
      <c r="D24" s="3">
        <v>2024</v>
      </c>
      <c r="E24" s="2" t="s">
        <v>48</v>
      </c>
      <c r="F24" s="2" t="s">
        <v>35</v>
      </c>
      <c r="G24" s="2" t="s">
        <v>14</v>
      </c>
      <c r="H24" s="4">
        <v>51077.41</v>
      </c>
      <c r="I24" s="3">
        <v>20</v>
      </c>
      <c r="J24" s="5" t="s">
        <v>32</v>
      </c>
    </row>
    <row r="25" spans="1:16" ht="23.4" x14ac:dyDescent="0.45">
      <c r="A25" s="1" t="s">
        <v>64</v>
      </c>
      <c r="B25" s="2" t="s">
        <v>38</v>
      </c>
      <c r="C25" s="3" t="s">
        <v>65</v>
      </c>
      <c r="D25" s="3">
        <v>2019</v>
      </c>
      <c r="E25" s="2" t="s">
        <v>24</v>
      </c>
      <c r="F25" s="2" t="s">
        <v>13</v>
      </c>
      <c r="G25" s="2" t="s">
        <v>20</v>
      </c>
      <c r="H25" s="4">
        <v>33546.720000000001</v>
      </c>
      <c r="I25" s="3">
        <v>8</v>
      </c>
      <c r="J25" s="5" t="s">
        <v>36</v>
      </c>
    </row>
    <row r="26" spans="1:16" ht="23.4" x14ac:dyDescent="0.45">
      <c r="A26" s="1" t="s">
        <v>66</v>
      </c>
      <c r="B26" s="2" t="s">
        <v>22</v>
      </c>
      <c r="C26" s="3" t="s">
        <v>53</v>
      </c>
      <c r="D26" s="3">
        <v>2016</v>
      </c>
      <c r="E26" s="2" t="s">
        <v>48</v>
      </c>
      <c r="F26" s="2" t="s">
        <v>13</v>
      </c>
      <c r="G26" s="2" t="s">
        <v>20</v>
      </c>
      <c r="H26" s="4">
        <v>48204.7</v>
      </c>
      <c r="I26" s="3">
        <v>2</v>
      </c>
      <c r="J26" s="5" t="s">
        <v>15</v>
      </c>
    </row>
    <row r="27" spans="1:16" ht="23.4" x14ac:dyDescent="0.45">
      <c r="A27" s="1" t="s">
        <v>67</v>
      </c>
      <c r="B27" s="2" t="s">
        <v>43</v>
      </c>
      <c r="C27" s="3" t="s">
        <v>44</v>
      </c>
      <c r="D27" s="3">
        <v>2023</v>
      </c>
      <c r="E27" s="2" t="s">
        <v>55</v>
      </c>
      <c r="F27" s="2" t="s">
        <v>19</v>
      </c>
      <c r="G27" s="2" t="s">
        <v>14</v>
      </c>
      <c r="H27" s="4">
        <v>94847.47</v>
      </c>
      <c r="I27" s="3">
        <v>5</v>
      </c>
      <c r="J27" s="5" t="s">
        <v>36</v>
      </c>
    </row>
    <row r="28" spans="1:16" ht="23.4" x14ac:dyDescent="0.45">
      <c r="A28" s="1" t="s">
        <v>68</v>
      </c>
      <c r="B28" s="2" t="s">
        <v>38</v>
      </c>
      <c r="C28" s="3" t="s">
        <v>65</v>
      </c>
      <c r="D28" s="3">
        <v>2020</v>
      </c>
      <c r="E28" s="2" t="s">
        <v>40</v>
      </c>
      <c r="F28" s="2" t="s">
        <v>28</v>
      </c>
      <c r="G28" s="2" t="s">
        <v>20</v>
      </c>
      <c r="H28" s="4">
        <v>30021.18</v>
      </c>
      <c r="I28" s="3">
        <v>8</v>
      </c>
      <c r="J28" s="5" t="s">
        <v>15</v>
      </c>
    </row>
    <row r="29" spans="1:16" ht="23.4" x14ac:dyDescent="0.45">
      <c r="A29" s="1" t="s">
        <v>69</v>
      </c>
      <c r="B29" s="2" t="s">
        <v>70</v>
      </c>
      <c r="C29" s="3" t="s">
        <v>71</v>
      </c>
      <c r="D29" s="3">
        <v>2016</v>
      </c>
      <c r="E29" s="2" t="s">
        <v>24</v>
      </c>
      <c r="F29" s="2" t="s">
        <v>28</v>
      </c>
      <c r="G29" s="2" t="s">
        <v>20</v>
      </c>
      <c r="H29" s="4">
        <v>64476.81</v>
      </c>
      <c r="I29" s="3">
        <v>10</v>
      </c>
      <c r="J29" s="5" t="s">
        <v>36</v>
      </c>
    </row>
    <row r="30" spans="1:16" ht="23.4" x14ac:dyDescent="0.45">
      <c r="A30" s="1" t="s">
        <v>72</v>
      </c>
      <c r="B30" s="2" t="s">
        <v>17</v>
      </c>
      <c r="C30" s="3" t="s">
        <v>18</v>
      </c>
      <c r="D30" s="3">
        <v>2024</v>
      </c>
      <c r="E30" s="2" t="s">
        <v>48</v>
      </c>
      <c r="F30" s="2" t="s">
        <v>28</v>
      </c>
      <c r="G30" s="2" t="s">
        <v>20</v>
      </c>
      <c r="H30" s="4">
        <v>87083.91</v>
      </c>
      <c r="I30" s="3">
        <v>11</v>
      </c>
      <c r="J30" s="5" t="s">
        <v>36</v>
      </c>
    </row>
    <row r="31" spans="1:16" ht="23.4" x14ac:dyDescent="0.45">
      <c r="A31" s="1" t="s">
        <v>73</v>
      </c>
      <c r="B31" s="2" t="s">
        <v>26</v>
      </c>
      <c r="C31" s="3" t="s">
        <v>74</v>
      </c>
      <c r="D31" s="3">
        <v>2022</v>
      </c>
      <c r="E31" s="2" t="s">
        <v>40</v>
      </c>
      <c r="F31" s="2" t="s">
        <v>35</v>
      </c>
      <c r="G31" s="2" t="s">
        <v>20</v>
      </c>
      <c r="H31" s="4">
        <v>30892.91</v>
      </c>
      <c r="I31" s="3">
        <v>0</v>
      </c>
      <c r="J31" s="5" t="s">
        <v>15</v>
      </c>
    </row>
    <row r="32" spans="1:16" ht="23.4" x14ac:dyDescent="0.45">
      <c r="A32" s="1" t="s">
        <v>75</v>
      </c>
      <c r="B32" s="2" t="s">
        <v>38</v>
      </c>
      <c r="C32" s="3" t="s">
        <v>65</v>
      </c>
      <c r="D32" s="3">
        <v>2016</v>
      </c>
      <c r="E32" s="2" t="s">
        <v>48</v>
      </c>
      <c r="F32" s="2" t="s">
        <v>13</v>
      </c>
      <c r="G32" s="2" t="s">
        <v>14</v>
      </c>
      <c r="H32" s="4">
        <v>66365.919999999998</v>
      </c>
      <c r="I32" s="3">
        <v>5</v>
      </c>
      <c r="J32" s="5" t="s">
        <v>32</v>
      </c>
    </row>
    <row r="33" spans="1:10" ht="23.4" x14ac:dyDescent="0.45">
      <c r="A33" s="1" t="s">
        <v>76</v>
      </c>
      <c r="B33" s="2" t="s">
        <v>17</v>
      </c>
      <c r="C33" s="3" t="s">
        <v>62</v>
      </c>
      <c r="D33" s="3">
        <v>2018</v>
      </c>
      <c r="E33" s="2" t="s">
        <v>24</v>
      </c>
      <c r="F33" s="2" t="s">
        <v>13</v>
      </c>
      <c r="G33" s="2" t="s">
        <v>14</v>
      </c>
      <c r="H33" s="4">
        <v>65576.929999999993</v>
      </c>
      <c r="I33" s="3">
        <v>10</v>
      </c>
      <c r="J33" s="5" t="s">
        <v>32</v>
      </c>
    </row>
    <row r="34" spans="1:10" ht="23.4" x14ac:dyDescent="0.45">
      <c r="A34" s="1" t="s">
        <v>77</v>
      </c>
      <c r="B34" s="2" t="s">
        <v>17</v>
      </c>
      <c r="C34" s="3" t="s">
        <v>18</v>
      </c>
      <c r="D34" s="3">
        <v>2020</v>
      </c>
      <c r="E34" s="2" t="s">
        <v>31</v>
      </c>
      <c r="F34" s="2" t="s">
        <v>13</v>
      </c>
      <c r="G34" s="2" t="s">
        <v>20</v>
      </c>
      <c r="H34" s="4">
        <v>21841.21</v>
      </c>
      <c r="I34" s="3">
        <v>10</v>
      </c>
      <c r="J34" s="5" t="s">
        <v>36</v>
      </c>
    </row>
    <row r="35" spans="1:10" ht="23.4" x14ac:dyDescent="0.45">
      <c r="A35" s="1" t="s">
        <v>78</v>
      </c>
      <c r="B35" s="2" t="s">
        <v>10</v>
      </c>
      <c r="C35" s="3" t="s">
        <v>11</v>
      </c>
      <c r="D35" s="3">
        <v>2023</v>
      </c>
      <c r="E35" s="2" t="s">
        <v>24</v>
      </c>
      <c r="F35" s="2" t="s">
        <v>13</v>
      </c>
      <c r="G35" s="2" t="s">
        <v>14</v>
      </c>
      <c r="H35" s="4">
        <v>89206.33</v>
      </c>
      <c r="I35" s="3">
        <v>18</v>
      </c>
      <c r="J35" s="5" t="s">
        <v>15</v>
      </c>
    </row>
    <row r="36" spans="1:10" ht="23.4" x14ac:dyDescent="0.45">
      <c r="A36" s="1" t="s">
        <v>79</v>
      </c>
      <c r="B36" s="2" t="s">
        <v>70</v>
      </c>
      <c r="C36" s="3" t="s">
        <v>80</v>
      </c>
      <c r="D36" s="3">
        <v>2023</v>
      </c>
      <c r="E36" s="2" t="s">
        <v>24</v>
      </c>
      <c r="F36" s="2" t="s">
        <v>28</v>
      </c>
      <c r="G36" s="2" t="s">
        <v>20</v>
      </c>
      <c r="H36" s="4">
        <v>65266.64</v>
      </c>
      <c r="I36" s="3">
        <v>5</v>
      </c>
      <c r="J36" s="5" t="s">
        <v>36</v>
      </c>
    </row>
    <row r="37" spans="1:10" ht="23.4" x14ac:dyDescent="0.45">
      <c r="A37" s="1" t="s">
        <v>81</v>
      </c>
      <c r="B37" s="2" t="s">
        <v>10</v>
      </c>
      <c r="C37" s="3" t="s">
        <v>11</v>
      </c>
      <c r="D37" s="3">
        <v>2017</v>
      </c>
      <c r="E37" s="2" t="s">
        <v>12</v>
      </c>
      <c r="F37" s="2" t="s">
        <v>19</v>
      </c>
      <c r="G37" s="2" t="s">
        <v>14</v>
      </c>
      <c r="H37" s="4">
        <v>22685.3</v>
      </c>
      <c r="I37" s="3">
        <v>13</v>
      </c>
      <c r="J37" s="5" t="s">
        <v>15</v>
      </c>
    </row>
    <row r="38" spans="1:10" ht="23.4" x14ac:dyDescent="0.45">
      <c r="A38" s="1" t="s">
        <v>82</v>
      </c>
      <c r="B38" s="2" t="s">
        <v>70</v>
      </c>
      <c r="C38" s="3" t="s">
        <v>71</v>
      </c>
      <c r="D38" s="3">
        <v>2024</v>
      </c>
      <c r="E38" s="2" t="s">
        <v>12</v>
      </c>
      <c r="F38" s="2" t="s">
        <v>35</v>
      </c>
      <c r="G38" s="2" t="s">
        <v>20</v>
      </c>
      <c r="H38" s="4">
        <v>18249.009999999998</v>
      </c>
      <c r="I38" s="3">
        <v>15</v>
      </c>
      <c r="J38" s="5" t="s">
        <v>36</v>
      </c>
    </row>
    <row r="39" spans="1:10" ht="23.4" x14ac:dyDescent="0.45">
      <c r="A39" s="1" t="s">
        <v>83</v>
      </c>
      <c r="B39" s="2" t="s">
        <v>22</v>
      </c>
      <c r="C39" s="3" t="s">
        <v>53</v>
      </c>
      <c r="D39" s="3">
        <v>2017</v>
      </c>
      <c r="E39" s="2" t="s">
        <v>31</v>
      </c>
      <c r="F39" s="2" t="s">
        <v>19</v>
      </c>
      <c r="G39" s="2" t="s">
        <v>14</v>
      </c>
      <c r="H39" s="4">
        <v>17943.21</v>
      </c>
      <c r="I39" s="3">
        <v>17</v>
      </c>
      <c r="J39" s="5" t="s">
        <v>15</v>
      </c>
    </row>
    <row r="40" spans="1:10" ht="23.4" x14ac:dyDescent="0.45">
      <c r="A40" s="1" t="s">
        <v>84</v>
      </c>
      <c r="B40" s="2" t="s">
        <v>70</v>
      </c>
      <c r="C40" s="3" t="s">
        <v>80</v>
      </c>
      <c r="D40" s="3">
        <v>2022</v>
      </c>
      <c r="E40" s="2" t="s">
        <v>40</v>
      </c>
      <c r="F40" s="2" t="s">
        <v>28</v>
      </c>
      <c r="G40" s="2" t="s">
        <v>14</v>
      </c>
      <c r="H40" s="4">
        <v>79781.25</v>
      </c>
      <c r="I40" s="3">
        <v>19</v>
      </c>
      <c r="J40" s="5" t="s">
        <v>15</v>
      </c>
    </row>
    <row r="41" spans="1:10" ht="23.4" x14ac:dyDescent="0.45">
      <c r="A41" s="1" t="s">
        <v>85</v>
      </c>
      <c r="B41" s="2" t="s">
        <v>17</v>
      </c>
      <c r="C41" s="3" t="s">
        <v>62</v>
      </c>
      <c r="D41" s="3">
        <v>2016</v>
      </c>
      <c r="E41" s="2" t="s">
        <v>31</v>
      </c>
      <c r="F41" s="2" t="s">
        <v>35</v>
      </c>
      <c r="G41" s="2" t="s">
        <v>20</v>
      </c>
      <c r="H41" s="4">
        <v>18775.419999999998</v>
      </c>
      <c r="I41" s="3">
        <v>15</v>
      </c>
      <c r="J41" s="5" t="s">
        <v>36</v>
      </c>
    </row>
    <row r="42" spans="1:10" ht="23.4" x14ac:dyDescent="0.45">
      <c r="A42" s="1" t="s">
        <v>86</v>
      </c>
      <c r="B42" s="2" t="s">
        <v>22</v>
      </c>
      <c r="C42" s="3" t="s">
        <v>23</v>
      </c>
      <c r="D42" s="3">
        <v>2015</v>
      </c>
      <c r="E42" s="2" t="s">
        <v>24</v>
      </c>
      <c r="F42" s="2" t="s">
        <v>28</v>
      </c>
      <c r="G42" s="2" t="s">
        <v>20</v>
      </c>
      <c r="H42" s="4">
        <v>48152.43</v>
      </c>
      <c r="I42" s="3">
        <v>15</v>
      </c>
      <c r="J42" s="5" t="s">
        <v>36</v>
      </c>
    </row>
    <row r="43" spans="1:10" ht="23.4" x14ac:dyDescent="0.45">
      <c r="A43" s="1" t="s">
        <v>87</v>
      </c>
      <c r="B43" s="2" t="s">
        <v>38</v>
      </c>
      <c r="C43" s="3" t="s">
        <v>65</v>
      </c>
      <c r="D43" s="3">
        <v>2018</v>
      </c>
      <c r="E43" s="2" t="s">
        <v>40</v>
      </c>
      <c r="F43" s="2" t="s">
        <v>28</v>
      </c>
      <c r="G43" s="2" t="s">
        <v>14</v>
      </c>
      <c r="H43" s="4">
        <v>52740.959999999999</v>
      </c>
      <c r="I43" s="3">
        <v>19</v>
      </c>
      <c r="J43" s="5" t="s">
        <v>32</v>
      </c>
    </row>
    <row r="44" spans="1:10" ht="23.4" x14ac:dyDescent="0.45">
      <c r="A44" s="1" t="s">
        <v>88</v>
      </c>
      <c r="B44" s="2" t="s">
        <v>26</v>
      </c>
      <c r="C44" s="3" t="s">
        <v>27</v>
      </c>
      <c r="D44" s="3">
        <v>2018</v>
      </c>
      <c r="E44" s="2" t="s">
        <v>48</v>
      </c>
      <c r="F44" s="2" t="s">
        <v>35</v>
      </c>
      <c r="G44" s="2" t="s">
        <v>14</v>
      </c>
      <c r="H44" s="4">
        <v>24980.76</v>
      </c>
      <c r="I44" s="3">
        <v>17</v>
      </c>
      <c r="J44" s="5" t="s">
        <v>32</v>
      </c>
    </row>
    <row r="45" spans="1:10" ht="23.4" x14ac:dyDescent="0.45">
      <c r="A45" s="1" t="s">
        <v>89</v>
      </c>
      <c r="B45" s="2" t="s">
        <v>43</v>
      </c>
      <c r="C45" s="3" t="s">
        <v>44</v>
      </c>
      <c r="D45" s="3">
        <v>2019</v>
      </c>
      <c r="E45" s="2" t="s">
        <v>31</v>
      </c>
      <c r="F45" s="2" t="s">
        <v>35</v>
      </c>
      <c r="G45" s="2" t="s">
        <v>14</v>
      </c>
      <c r="H45" s="4">
        <v>34474.21</v>
      </c>
      <c r="I45" s="3">
        <v>8</v>
      </c>
      <c r="J45" s="5" t="s">
        <v>36</v>
      </c>
    </row>
    <row r="46" spans="1:10" ht="23.4" x14ac:dyDescent="0.45">
      <c r="A46" s="1" t="s">
        <v>90</v>
      </c>
      <c r="B46" s="2" t="s">
        <v>43</v>
      </c>
      <c r="C46" s="3" t="s">
        <v>91</v>
      </c>
      <c r="D46" s="3">
        <v>2020</v>
      </c>
      <c r="E46" s="2" t="s">
        <v>31</v>
      </c>
      <c r="F46" s="2" t="s">
        <v>19</v>
      </c>
      <c r="G46" s="2" t="s">
        <v>20</v>
      </c>
      <c r="H46" s="4">
        <v>85822.19</v>
      </c>
      <c r="I46" s="3">
        <v>0</v>
      </c>
      <c r="J46" s="5" t="s">
        <v>32</v>
      </c>
    </row>
    <row r="47" spans="1:10" ht="23.4" x14ac:dyDescent="0.45">
      <c r="A47" s="1" t="s">
        <v>92</v>
      </c>
      <c r="B47" s="2" t="s">
        <v>43</v>
      </c>
      <c r="C47" s="3" t="s">
        <v>93</v>
      </c>
      <c r="D47" s="3">
        <v>2022</v>
      </c>
      <c r="E47" s="2" t="s">
        <v>31</v>
      </c>
      <c r="F47" s="2" t="s">
        <v>28</v>
      </c>
      <c r="G47" s="2" t="s">
        <v>14</v>
      </c>
      <c r="H47" s="4">
        <v>99941.14</v>
      </c>
      <c r="I47" s="3">
        <v>11</v>
      </c>
      <c r="J47" s="5" t="s">
        <v>36</v>
      </c>
    </row>
    <row r="48" spans="1:10" ht="23.4" x14ac:dyDescent="0.45">
      <c r="A48" s="1" t="s">
        <v>94</v>
      </c>
      <c r="B48" s="2" t="s">
        <v>17</v>
      </c>
      <c r="C48" s="3" t="s">
        <v>46</v>
      </c>
      <c r="D48" s="3">
        <v>2019</v>
      </c>
      <c r="E48" s="2" t="s">
        <v>31</v>
      </c>
      <c r="F48" s="2" t="s">
        <v>19</v>
      </c>
      <c r="G48" s="2" t="s">
        <v>20</v>
      </c>
      <c r="H48" s="4">
        <v>37412.17</v>
      </c>
      <c r="I48" s="3">
        <v>7</v>
      </c>
      <c r="J48" s="5" t="s">
        <v>15</v>
      </c>
    </row>
    <row r="49" spans="1:10" ht="23.4" x14ac:dyDescent="0.45">
      <c r="A49" s="1" t="s">
        <v>95</v>
      </c>
      <c r="B49" s="2" t="s">
        <v>38</v>
      </c>
      <c r="C49" s="3" t="s">
        <v>96</v>
      </c>
      <c r="D49" s="3">
        <v>2022</v>
      </c>
      <c r="E49" s="2" t="s">
        <v>55</v>
      </c>
      <c r="F49" s="2" t="s">
        <v>13</v>
      </c>
      <c r="G49" s="2" t="s">
        <v>14</v>
      </c>
      <c r="H49" s="4">
        <v>72301.279999999999</v>
      </c>
      <c r="I49" s="3">
        <v>17</v>
      </c>
      <c r="J49" s="5" t="s">
        <v>15</v>
      </c>
    </row>
    <row r="50" spans="1:10" ht="23.4" x14ac:dyDescent="0.45">
      <c r="A50" s="1" t="s">
        <v>97</v>
      </c>
      <c r="B50" s="2" t="s">
        <v>17</v>
      </c>
      <c r="C50" s="3" t="s">
        <v>46</v>
      </c>
      <c r="D50" s="3">
        <v>2020</v>
      </c>
      <c r="E50" s="2" t="s">
        <v>12</v>
      </c>
      <c r="F50" s="2" t="s">
        <v>35</v>
      </c>
      <c r="G50" s="2" t="s">
        <v>14</v>
      </c>
      <c r="H50" s="4">
        <v>58158.34</v>
      </c>
      <c r="I50" s="3">
        <v>5</v>
      </c>
      <c r="J50" s="5" t="s">
        <v>36</v>
      </c>
    </row>
    <row r="51" spans="1:10" ht="23.4" x14ac:dyDescent="0.45">
      <c r="A51" s="1" t="s">
        <v>98</v>
      </c>
      <c r="B51" s="2" t="s">
        <v>38</v>
      </c>
      <c r="C51" s="3" t="s">
        <v>39</v>
      </c>
      <c r="D51" s="3">
        <v>2024</v>
      </c>
      <c r="E51" s="2" t="s">
        <v>12</v>
      </c>
      <c r="F51" s="2" t="s">
        <v>35</v>
      </c>
      <c r="G51" s="2" t="s">
        <v>20</v>
      </c>
      <c r="H51" s="4">
        <v>88724.54</v>
      </c>
      <c r="I51" s="3">
        <v>16</v>
      </c>
      <c r="J51" s="5" t="s">
        <v>32</v>
      </c>
    </row>
    <row r="52" spans="1:10" ht="23.4" x14ac:dyDescent="0.45">
      <c r="A52" s="1" t="s">
        <v>99</v>
      </c>
      <c r="B52" s="2" t="s">
        <v>70</v>
      </c>
      <c r="C52" s="3" t="s">
        <v>71</v>
      </c>
      <c r="D52" s="3">
        <v>2020</v>
      </c>
      <c r="E52" s="2" t="s">
        <v>40</v>
      </c>
      <c r="F52" s="2" t="s">
        <v>35</v>
      </c>
      <c r="G52" s="2" t="s">
        <v>14</v>
      </c>
      <c r="H52" s="4">
        <v>29037.62</v>
      </c>
      <c r="I52" s="3">
        <v>5</v>
      </c>
      <c r="J52" s="5" t="s">
        <v>36</v>
      </c>
    </row>
    <row r="53" spans="1:10" ht="23.4" x14ac:dyDescent="0.45">
      <c r="A53" s="1" t="s">
        <v>100</v>
      </c>
      <c r="B53" s="2" t="s">
        <v>70</v>
      </c>
      <c r="C53" s="3" t="s">
        <v>71</v>
      </c>
      <c r="D53" s="3">
        <v>2022</v>
      </c>
      <c r="E53" s="2" t="s">
        <v>40</v>
      </c>
      <c r="F53" s="2" t="s">
        <v>35</v>
      </c>
      <c r="G53" s="2" t="s">
        <v>20</v>
      </c>
      <c r="H53" s="4">
        <v>26075.52</v>
      </c>
      <c r="I53" s="3">
        <v>20</v>
      </c>
      <c r="J53" s="5" t="s">
        <v>15</v>
      </c>
    </row>
    <row r="54" spans="1:10" ht="23.4" x14ac:dyDescent="0.45">
      <c r="A54" s="1" t="s">
        <v>101</v>
      </c>
      <c r="B54" s="2" t="s">
        <v>17</v>
      </c>
      <c r="C54" s="3" t="s">
        <v>62</v>
      </c>
      <c r="D54" s="3">
        <v>2022</v>
      </c>
      <c r="E54" s="2" t="s">
        <v>55</v>
      </c>
      <c r="F54" s="2" t="s">
        <v>28</v>
      </c>
      <c r="G54" s="2" t="s">
        <v>20</v>
      </c>
      <c r="H54" s="4">
        <v>33621.82</v>
      </c>
      <c r="I54" s="3">
        <v>13</v>
      </c>
      <c r="J54" s="5" t="s">
        <v>36</v>
      </c>
    </row>
    <row r="55" spans="1:10" ht="23.4" x14ac:dyDescent="0.45">
      <c r="A55" s="1" t="s">
        <v>102</v>
      </c>
      <c r="B55" s="2" t="s">
        <v>10</v>
      </c>
      <c r="C55" s="3" t="s">
        <v>11</v>
      </c>
      <c r="D55" s="3">
        <v>2018</v>
      </c>
      <c r="E55" s="2" t="s">
        <v>48</v>
      </c>
      <c r="F55" s="2" t="s">
        <v>28</v>
      </c>
      <c r="G55" s="2" t="s">
        <v>20</v>
      </c>
      <c r="H55" s="4">
        <v>30129.17</v>
      </c>
      <c r="I55" s="3">
        <v>20</v>
      </c>
      <c r="J55" s="5" t="s">
        <v>32</v>
      </c>
    </row>
    <row r="56" spans="1:10" ht="23.4" x14ac:dyDescent="0.45">
      <c r="A56" s="1" t="s">
        <v>103</v>
      </c>
      <c r="B56" s="2" t="s">
        <v>43</v>
      </c>
      <c r="C56" s="3" t="s">
        <v>93</v>
      </c>
      <c r="D56" s="3">
        <v>2015</v>
      </c>
      <c r="E56" s="2" t="s">
        <v>24</v>
      </c>
      <c r="F56" s="2" t="s">
        <v>35</v>
      </c>
      <c r="G56" s="2" t="s">
        <v>14</v>
      </c>
      <c r="H56" s="4">
        <v>77348.2</v>
      </c>
      <c r="I56" s="3">
        <v>16</v>
      </c>
      <c r="J56" s="5" t="s">
        <v>15</v>
      </c>
    </row>
    <row r="57" spans="1:10" ht="23.4" x14ac:dyDescent="0.45">
      <c r="A57" s="1" t="s">
        <v>104</v>
      </c>
      <c r="B57" s="2" t="s">
        <v>22</v>
      </c>
      <c r="C57" s="3" t="s">
        <v>105</v>
      </c>
      <c r="D57" s="3">
        <v>2021</v>
      </c>
      <c r="E57" s="2" t="s">
        <v>40</v>
      </c>
      <c r="F57" s="2" t="s">
        <v>35</v>
      </c>
      <c r="G57" s="2" t="s">
        <v>20</v>
      </c>
      <c r="H57" s="4">
        <v>65876.67</v>
      </c>
      <c r="I57" s="3">
        <v>8</v>
      </c>
      <c r="J57" s="5" t="s">
        <v>15</v>
      </c>
    </row>
    <row r="58" spans="1:10" ht="23.4" x14ac:dyDescent="0.45">
      <c r="A58" s="1" t="s">
        <v>106</v>
      </c>
      <c r="B58" s="2" t="s">
        <v>22</v>
      </c>
      <c r="C58" s="3" t="s">
        <v>53</v>
      </c>
      <c r="D58" s="3">
        <v>2018</v>
      </c>
      <c r="E58" s="2" t="s">
        <v>55</v>
      </c>
      <c r="F58" s="2" t="s">
        <v>35</v>
      </c>
      <c r="G58" s="2" t="s">
        <v>20</v>
      </c>
      <c r="H58" s="4">
        <v>61473.24</v>
      </c>
      <c r="I58" s="3">
        <v>18</v>
      </c>
      <c r="J58" s="5" t="s">
        <v>15</v>
      </c>
    </row>
    <row r="59" spans="1:10" ht="23.4" x14ac:dyDescent="0.45">
      <c r="A59" s="1" t="s">
        <v>107</v>
      </c>
      <c r="B59" s="2" t="s">
        <v>17</v>
      </c>
      <c r="C59" s="3" t="s">
        <v>46</v>
      </c>
      <c r="D59" s="3">
        <v>2023</v>
      </c>
      <c r="E59" s="2" t="s">
        <v>55</v>
      </c>
      <c r="F59" s="2" t="s">
        <v>19</v>
      </c>
      <c r="G59" s="2" t="s">
        <v>14</v>
      </c>
      <c r="H59" s="4">
        <v>94755.18</v>
      </c>
      <c r="I59" s="3">
        <v>12</v>
      </c>
      <c r="J59" s="5" t="s">
        <v>15</v>
      </c>
    </row>
    <row r="60" spans="1:10" ht="23.4" x14ac:dyDescent="0.45">
      <c r="A60" s="1" t="s">
        <v>108</v>
      </c>
      <c r="B60" s="2" t="s">
        <v>70</v>
      </c>
      <c r="C60" s="3" t="s">
        <v>71</v>
      </c>
      <c r="D60" s="3">
        <v>2020</v>
      </c>
      <c r="E60" s="2" t="s">
        <v>40</v>
      </c>
      <c r="F60" s="2" t="s">
        <v>13</v>
      </c>
      <c r="G60" s="2" t="s">
        <v>20</v>
      </c>
      <c r="H60" s="4">
        <v>91552.46</v>
      </c>
      <c r="I60" s="3">
        <v>4</v>
      </c>
      <c r="J60" s="5" t="s">
        <v>36</v>
      </c>
    </row>
    <row r="61" spans="1:10" ht="23.4" x14ac:dyDescent="0.45">
      <c r="A61" s="1" t="s">
        <v>109</v>
      </c>
      <c r="B61" s="2" t="s">
        <v>10</v>
      </c>
      <c r="C61" s="3" t="s">
        <v>110</v>
      </c>
      <c r="D61" s="3">
        <v>2023</v>
      </c>
      <c r="E61" s="2" t="s">
        <v>48</v>
      </c>
      <c r="F61" s="2" t="s">
        <v>35</v>
      </c>
      <c r="G61" s="2" t="s">
        <v>20</v>
      </c>
      <c r="H61" s="4">
        <v>99129.16</v>
      </c>
      <c r="I61" s="3">
        <v>1</v>
      </c>
      <c r="J61" s="5" t="s">
        <v>32</v>
      </c>
    </row>
    <row r="62" spans="1:10" ht="23.4" x14ac:dyDescent="0.45">
      <c r="A62" s="1" t="s">
        <v>111</v>
      </c>
      <c r="B62" s="2" t="s">
        <v>22</v>
      </c>
      <c r="C62" s="3" t="s">
        <v>105</v>
      </c>
      <c r="D62" s="3">
        <v>2019</v>
      </c>
      <c r="E62" s="2" t="s">
        <v>55</v>
      </c>
      <c r="F62" s="2" t="s">
        <v>13</v>
      </c>
      <c r="G62" s="2" t="s">
        <v>20</v>
      </c>
      <c r="H62" s="4">
        <v>70324.990000000005</v>
      </c>
      <c r="I62" s="3">
        <v>19</v>
      </c>
      <c r="J62" s="5" t="s">
        <v>15</v>
      </c>
    </row>
    <row r="63" spans="1:10" ht="23.4" x14ac:dyDescent="0.45">
      <c r="A63" s="1" t="s">
        <v>112</v>
      </c>
      <c r="B63" s="2" t="s">
        <v>17</v>
      </c>
      <c r="C63" s="3" t="s">
        <v>62</v>
      </c>
      <c r="D63" s="3">
        <v>2017</v>
      </c>
      <c r="E63" s="2" t="s">
        <v>55</v>
      </c>
      <c r="F63" s="2" t="s">
        <v>19</v>
      </c>
      <c r="G63" s="2" t="s">
        <v>20</v>
      </c>
      <c r="H63" s="4">
        <v>39427.050000000003</v>
      </c>
      <c r="I63" s="3">
        <v>13</v>
      </c>
      <c r="J63" s="5" t="s">
        <v>15</v>
      </c>
    </row>
    <row r="64" spans="1:10" ht="23.4" x14ac:dyDescent="0.45">
      <c r="A64" s="1" t="s">
        <v>113</v>
      </c>
      <c r="B64" s="2" t="s">
        <v>70</v>
      </c>
      <c r="C64" s="3" t="s">
        <v>114</v>
      </c>
      <c r="D64" s="3">
        <v>2019</v>
      </c>
      <c r="E64" s="2" t="s">
        <v>12</v>
      </c>
      <c r="F64" s="2" t="s">
        <v>35</v>
      </c>
      <c r="G64" s="2" t="s">
        <v>20</v>
      </c>
      <c r="H64" s="4">
        <v>83221.84</v>
      </c>
      <c r="I64" s="3">
        <v>16</v>
      </c>
      <c r="J64" s="5" t="s">
        <v>36</v>
      </c>
    </row>
    <row r="65" spans="1:10" ht="23.4" x14ac:dyDescent="0.45">
      <c r="A65" s="1" t="s">
        <v>115</v>
      </c>
      <c r="B65" s="2" t="s">
        <v>26</v>
      </c>
      <c r="C65" s="3" t="s">
        <v>74</v>
      </c>
      <c r="D65" s="3">
        <v>2019</v>
      </c>
      <c r="E65" s="2" t="s">
        <v>48</v>
      </c>
      <c r="F65" s="2" t="s">
        <v>35</v>
      </c>
      <c r="G65" s="2" t="s">
        <v>14</v>
      </c>
      <c r="H65" s="4">
        <v>37129.03</v>
      </c>
      <c r="I65" s="3">
        <v>7</v>
      </c>
      <c r="J65" s="5" t="s">
        <v>32</v>
      </c>
    </row>
    <row r="66" spans="1:10" ht="23.4" x14ac:dyDescent="0.45">
      <c r="A66" s="1" t="s">
        <v>116</v>
      </c>
      <c r="B66" s="2" t="s">
        <v>22</v>
      </c>
      <c r="C66" s="3" t="s">
        <v>53</v>
      </c>
      <c r="D66" s="3">
        <v>2019</v>
      </c>
      <c r="E66" s="2" t="s">
        <v>40</v>
      </c>
      <c r="F66" s="2" t="s">
        <v>19</v>
      </c>
      <c r="G66" s="2" t="s">
        <v>20</v>
      </c>
      <c r="H66" s="4">
        <v>46080.53</v>
      </c>
      <c r="I66" s="3">
        <v>2</v>
      </c>
      <c r="J66" s="5" t="s">
        <v>15</v>
      </c>
    </row>
    <row r="67" spans="1:10" ht="23.4" x14ac:dyDescent="0.45">
      <c r="A67" s="1" t="s">
        <v>117</v>
      </c>
      <c r="B67" s="2" t="s">
        <v>38</v>
      </c>
      <c r="C67" s="3" t="s">
        <v>65</v>
      </c>
      <c r="D67" s="3">
        <v>2017</v>
      </c>
      <c r="E67" s="2" t="s">
        <v>31</v>
      </c>
      <c r="F67" s="2" t="s">
        <v>28</v>
      </c>
      <c r="G67" s="2" t="s">
        <v>20</v>
      </c>
      <c r="H67" s="4">
        <v>94252.12</v>
      </c>
      <c r="I67" s="3">
        <v>11</v>
      </c>
      <c r="J67" s="5" t="s">
        <v>32</v>
      </c>
    </row>
    <row r="68" spans="1:10" ht="23.4" x14ac:dyDescent="0.45">
      <c r="A68" s="1" t="s">
        <v>118</v>
      </c>
      <c r="B68" s="2" t="s">
        <v>26</v>
      </c>
      <c r="C68" s="3" t="s">
        <v>34</v>
      </c>
      <c r="D68" s="3">
        <v>2016</v>
      </c>
      <c r="E68" s="2" t="s">
        <v>48</v>
      </c>
      <c r="F68" s="2" t="s">
        <v>35</v>
      </c>
      <c r="G68" s="2" t="s">
        <v>20</v>
      </c>
      <c r="H68" s="4">
        <v>16670.509999999998</v>
      </c>
      <c r="I68" s="3">
        <v>18</v>
      </c>
      <c r="J68" s="5" t="s">
        <v>32</v>
      </c>
    </row>
    <row r="69" spans="1:10" ht="23.4" x14ac:dyDescent="0.45">
      <c r="A69" s="1" t="s">
        <v>119</v>
      </c>
      <c r="B69" s="2" t="s">
        <v>26</v>
      </c>
      <c r="C69" s="3" t="s">
        <v>74</v>
      </c>
      <c r="D69" s="3">
        <v>2018</v>
      </c>
      <c r="E69" s="2" t="s">
        <v>55</v>
      </c>
      <c r="F69" s="2" t="s">
        <v>35</v>
      </c>
      <c r="G69" s="2" t="s">
        <v>14</v>
      </c>
      <c r="H69" s="4">
        <v>47910.8</v>
      </c>
      <c r="I69" s="3">
        <v>5</v>
      </c>
      <c r="J69" s="5" t="s">
        <v>36</v>
      </c>
    </row>
    <row r="70" spans="1:10" ht="23.4" x14ac:dyDescent="0.45">
      <c r="A70" s="1" t="s">
        <v>120</v>
      </c>
      <c r="B70" s="2" t="s">
        <v>26</v>
      </c>
      <c r="C70" s="3" t="s">
        <v>27</v>
      </c>
      <c r="D70" s="3">
        <v>2023</v>
      </c>
      <c r="E70" s="2" t="s">
        <v>24</v>
      </c>
      <c r="F70" s="2" t="s">
        <v>28</v>
      </c>
      <c r="G70" s="2" t="s">
        <v>14</v>
      </c>
      <c r="H70" s="4">
        <v>31312.75</v>
      </c>
      <c r="I70" s="3">
        <v>19</v>
      </c>
      <c r="J70" s="5" t="s">
        <v>15</v>
      </c>
    </row>
    <row r="71" spans="1:10" ht="23.4" x14ac:dyDescent="0.45">
      <c r="A71" s="1" t="s">
        <v>121</v>
      </c>
      <c r="B71" s="2" t="s">
        <v>26</v>
      </c>
      <c r="C71" s="3" t="s">
        <v>27</v>
      </c>
      <c r="D71" s="3">
        <v>2016</v>
      </c>
      <c r="E71" s="2" t="s">
        <v>55</v>
      </c>
      <c r="F71" s="2" t="s">
        <v>28</v>
      </c>
      <c r="G71" s="2" t="s">
        <v>14</v>
      </c>
      <c r="H71" s="4">
        <v>37639.31</v>
      </c>
      <c r="I71" s="3">
        <v>19</v>
      </c>
      <c r="J71" s="5" t="s">
        <v>32</v>
      </c>
    </row>
    <row r="72" spans="1:10" ht="23.4" x14ac:dyDescent="0.45">
      <c r="A72" s="1" t="s">
        <v>122</v>
      </c>
      <c r="B72" s="2" t="s">
        <v>70</v>
      </c>
      <c r="C72" s="3" t="s">
        <v>114</v>
      </c>
      <c r="D72" s="3">
        <v>2017</v>
      </c>
      <c r="E72" s="2" t="s">
        <v>55</v>
      </c>
      <c r="F72" s="2" t="s">
        <v>19</v>
      </c>
      <c r="G72" s="2" t="s">
        <v>14</v>
      </c>
      <c r="H72" s="4">
        <v>53635.55</v>
      </c>
      <c r="I72" s="3">
        <v>4</v>
      </c>
      <c r="J72" s="5" t="s">
        <v>15</v>
      </c>
    </row>
    <row r="73" spans="1:10" ht="23.4" x14ac:dyDescent="0.45">
      <c r="A73" s="1" t="s">
        <v>123</v>
      </c>
      <c r="B73" s="2" t="s">
        <v>38</v>
      </c>
      <c r="C73" s="3" t="s">
        <v>96</v>
      </c>
      <c r="D73" s="3">
        <v>2016</v>
      </c>
      <c r="E73" s="2" t="s">
        <v>12</v>
      </c>
      <c r="F73" s="2" t="s">
        <v>19</v>
      </c>
      <c r="G73" s="2" t="s">
        <v>20</v>
      </c>
      <c r="H73" s="4">
        <v>90776.35</v>
      </c>
      <c r="I73" s="3">
        <v>5</v>
      </c>
      <c r="J73" s="5" t="s">
        <v>15</v>
      </c>
    </row>
    <row r="74" spans="1:10" ht="23.4" x14ac:dyDescent="0.45">
      <c r="A74" s="1" t="s">
        <v>124</v>
      </c>
      <c r="B74" s="2" t="s">
        <v>70</v>
      </c>
      <c r="C74" s="3" t="s">
        <v>71</v>
      </c>
      <c r="D74" s="3">
        <v>2015</v>
      </c>
      <c r="E74" s="2" t="s">
        <v>12</v>
      </c>
      <c r="F74" s="2" t="s">
        <v>35</v>
      </c>
      <c r="G74" s="2" t="s">
        <v>20</v>
      </c>
      <c r="H74" s="4">
        <v>81463.08</v>
      </c>
      <c r="I74" s="3">
        <v>15</v>
      </c>
      <c r="J74" s="5" t="s">
        <v>32</v>
      </c>
    </row>
    <row r="75" spans="1:10" ht="23.4" x14ac:dyDescent="0.45">
      <c r="A75" s="1" t="s">
        <v>125</v>
      </c>
      <c r="B75" s="2" t="s">
        <v>26</v>
      </c>
      <c r="C75" s="3" t="s">
        <v>74</v>
      </c>
      <c r="D75" s="3">
        <v>2017</v>
      </c>
      <c r="E75" s="2" t="s">
        <v>40</v>
      </c>
      <c r="F75" s="2" t="s">
        <v>19</v>
      </c>
      <c r="G75" s="2" t="s">
        <v>14</v>
      </c>
      <c r="H75" s="4">
        <v>92661.53</v>
      </c>
      <c r="I75" s="3">
        <v>5</v>
      </c>
      <c r="J75" s="5" t="s">
        <v>15</v>
      </c>
    </row>
    <row r="76" spans="1:10" ht="23.4" x14ac:dyDescent="0.45">
      <c r="A76" s="1" t="s">
        <v>126</v>
      </c>
      <c r="B76" s="2" t="s">
        <v>70</v>
      </c>
      <c r="C76" s="3" t="s">
        <v>114</v>
      </c>
      <c r="D76" s="3">
        <v>2020</v>
      </c>
      <c r="E76" s="2" t="s">
        <v>55</v>
      </c>
      <c r="F76" s="2" t="s">
        <v>13</v>
      </c>
      <c r="G76" s="2" t="s">
        <v>14</v>
      </c>
      <c r="H76" s="4">
        <v>87777.21</v>
      </c>
      <c r="I76" s="3">
        <v>9</v>
      </c>
      <c r="J76" s="5" t="s">
        <v>32</v>
      </c>
    </row>
    <row r="77" spans="1:10" ht="23.4" x14ac:dyDescent="0.45">
      <c r="A77" s="1" t="s">
        <v>127</v>
      </c>
      <c r="B77" s="2" t="s">
        <v>22</v>
      </c>
      <c r="C77" s="3" t="s">
        <v>23</v>
      </c>
      <c r="D77" s="3">
        <v>2020</v>
      </c>
      <c r="E77" s="2" t="s">
        <v>48</v>
      </c>
      <c r="F77" s="2" t="s">
        <v>28</v>
      </c>
      <c r="G77" s="2" t="s">
        <v>20</v>
      </c>
      <c r="H77" s="4">
        <v>97778.44</v>
      </c>
      <c r="I77" s="3">
        <v>15</v>
      </c>
      <c r="J77" s="5" t="s">
        <v>15</v>
      </c>
    </row>
    <row r="78" spans="1:10" ht="23.4" x14ac:dyDescent="0.45">
      <c r="A78" s="1" t="s">
        <v>128</v>
      </c>
      <c r="B78" s="2" t="s">
        <v>10</v>
      </c>
      <c r="C78" s="3" t="s">
        <v>30</v>
      </c>
      <c r="D78" s="3">
        <v>2018</v>
      </c>
      <c r="E78" s="2" t="s">
        <v>55</v>
      </c>
      <c r="F78" s="2" t="s">
        <v>19</v>
      </c>
      <c r="G78" s="2" t="s">
        <v>14</v>
      </c>
      <c r="H78" s="4">
        <v>37286.07</v>
      </c>
      <c r="I78" s="3">
        <v>7</v>
      </c>
      <c r="J78" s="5" t="s">
        <v>36</v>
      </c>
    </row>
    <row r="79" spans="1:10" ht="23.4" x14ac:dyDescent="0.45">
      <c r="A79" s="1" t="s">
        <v>129</v>
      </c>
      <c r="B79" s="2" t="s">
        <v>43</v>
      </c>
      <c r="C79" s="3" t="s">
        <v>44</v>
      </c>
      <c r="D79" s="3">
        <v>2020</v>
      </c>
      <c r="E79" s="2" t="s">
        <v>24</v>
      </c>
      <c r="F79" s="2" t="s">
        <v>28</v>
      </c>
      <c r="G79" s="2" t="s">
        <v>20</v>
      </c>
      <c r="H79" s="4">
        <v>87241.9</v>
      </c>
      <c r="I79" s="3">
        <v>2</v>
      </c>
      <c r="J79" s="5" t="s">
        <v>15</v>
      </c>
    </row>
    <row r="80" spans="1:10" ht="23.4" x14ac:dyDescent="0.45">
      <c r="A80" s="1" t="s">
        <v>130</v>
      </c>
      <c r="B80" s="2" t="s">
        <v>10</v>
      </c>
      <c r="C80" s="3" t="s">
        <v>110</v>
      </c>
      <c r="D80" s="3">
        <v>2019</v>
      </c>
      <c r="E80" s="2" t="s">
        <v>24</v>
      </c>
      <c r="F80" s="2" t="s">
        <v>35</v>
      </c>
      <c r="G80" s="2" t="s">
        <v>14</v>
      </c>
      <c r="H80" s="4">
        <v>86983.02</v>
      </c>
      <c r="I80" s="3">
        <v>1</v>
      </c>
      <c r="J80" s="5" t="s">
        <v>15</v>
      </c>
    </row>
    <row r="81" spans="1:10" ht="23.4" x14ac:dyDescent="0.45">
      <c r="A81" s="1" t="s">
        <v>131</v>
      </c>
      <c r="B81" s="2" t="s">
        <v>43</v>
      </c>
      <c r="C81" s="3" t="s">
        <v>93</v>
      </c>
      <c r="D81" s="3">
        <v>2020</v>
      </c>
      <c r="E81" s="2" t="s">
        <v>31</v>
      </c>
      <c r="F81" s="2" t="s">
        <v>13</v>
      </c>
      <c r="G81" s="2" t="s">
        <v>14</v>
      </c>
      <c r="H81" s="4">
        <v>97807.1</v>
      </c>
      <c r="I81" s="3">
        <v>13</v>
      </c>
      <c r="J81" s="5" t="s">
        <v>36</v>
      </c>
    </row>
    <row r="82" spans="1:10" ht="23.4" x14ac:dyDescent="0.45">
      <c r="A82" s="1" t="s">
        <v>132</v>
      </c>
      <c r="B82" s="2" t="s">
        <v>17</v>
      </c>
      <c r="C82" s="3" t="s">
        <v>18</v>
      </c>
      <c r="D82" s="3">
        <v>2016</v>
      </c>
      <c r="E82" s="2" t="s">
        <v>55</v>
      </c>
      <c r="F82" s="2" t="s">
        <v>13</v>
      </c>
      <c r="G82" s="2" t="s">
        <v>20</v>
      </c>
      <c r="H82" s="4">
        <v>37385.339999999997</v>
      </c>
      <c r="I82" s="3">
        <v>12</v>
      </c>
      <c r="J82" s="5" t="s">
        <v>32</v>
      </c>
    </row>
    <row r="83" spans="1:10" ht="23.4" x14ac:dyDescent="0.45">
      <c r="A83" s="1" t="s">
        <v>133</v>
      </c>
      <c r="B83" s="2" t="s">
        <v>17</v>
      </c>
      <c r="C83" s="3" t="s">
        <v>46</v>
      </c>
      <c r="D83" s="3">
        <v>2015</v>
      </c>
      <c r="E83" s="2" t="s">
        <v>40</v>
      </c>
      <c r="F83" s="2" t="s">
        <v>35</v>
      </c>
      <c r="G83" s="2" t="s">
        <v>14</v>
      </c>
      <c r="H83" s="4">
        <v>71327.53</v>
      </c>
      <c r="I83" s="3">
        <v>16</v>
      </c>
      <c r="J83" s="5" t="s">
        <v>36</v>
      </c>
    </row>
    <row r="84" spans="1:10" ht="23.4" x14ac:dyDescent="0.45">
      <c r="A84" s="1" t="s">
        <v>134</v>
      </c>
      <c r="B84" s="2" t="s">
        <v>26</v>
      </c>
      <c r="C84" s="3" t="s">
        <v>34</v>
      </c>
      <c r="D84" s="3">
        <v>2020</v>
      </c>
      <c r="E84" s="2" t="s">
        <v>55</v>
      </c>
      <c r="F84" s="2" t="s">
        <v>19</v>
      </c>
      <c r="G84" s="2" t="s">
        <v>20</v>
      </c>
      <c r="H84" s="4">
        <v>94839.15</v>
      </c>
      <c r="I84" s="3">
        <v>16</v>
      </c>
      <c r="J84" s="5" t="s">
        <v>15</v>
      </c>
    </row>
    <row r="85" spans="1:10" ht="23.4" x14ac:dyDescent="0.45">
      <c r="A85" s="1" t="s">
        <v>135</v>
      </c>
      <c r="B85" s="2" t="s">
        <v>43</v>
      </c>
      <c r="C85" s="3" t="s">
        <v>44</v>
      </c>
      <c r="D85" s="3">
        <v>2024</v>
      </c>
      <c r="E85" s="2" t="s">
        <v>31</v>
      </c>
      <c r="F85" s="2" t="s">
        <v>13</v>
      </c>
      <c r="G85" s="2" t="s">
        <v>20</v>
      </c>
      <c r="H85" s="4">
        <v>45427.97</v>
      </c>
      <c r="I85" s="3">
        <v>18</v>
      </c>
      <c r="J85" s="5" t="s">
        <v>15</v>
      </c>
    </row>
    <row r="86" spans="1:10" ht="23.4" x14ac:dyDescent="0.45">
      <c r="A86" s="1" t="s">
        <v>136</v>
      </c>
      <c r="B86" s="2" t="s">
        <v>38</v>
      </c>
      <c r="C86" s="3" t="s">
        <v>65</v>
      </c>
      <c r="D86" s="3">
        <v>2020</v>
      </c>
      <c r="E86" s="2" t="s">
        <v>31</v>
      </c>
      <c r="F86" s="2" t="s">
        <v>35</v>
      </c>
      <c r="G86" s="2" t="s">
        <v>20</v>
      </c>
      <c r="H86" s="4">
        <v>92630.78</v>
      </c>
      <c r="I86" s="3">
        <v>18</v>
      </c>
      <c r="J86" s="5" t="s">
        <v>32</v>
      </c>
    </row>
    <row r="87" spans="1:10" ht="23.4" x14ac:dyDescent="0.45">
      <c r="A87" s="1" t="s">
        <v>137</v>
      </c>
      <c r="B87" s="2" t="s">
        <v>43</v>
      </c>
      <c r="C87" s="3" t="s">
        <v>91</v>
      </c>
      <c r="D87" s="3">
        <v>2019</v>
      </c>
      <c r="E87" s="2" t="s">
        <v>48</v>
      </c>
      <c r="F87" s="2" t="s">
        <v>28</v>
      </c>
      <c r="G87" s="2" t="s">
        <v>14</v>
      </c>
      <c r="H87" s="4">
        <v>73510.91</v>
      </c>
      <c r="I87" s="3">
        <v>14</v>
      </c>
      <c r="J87" s="5" t="s">
        <v>15</v>
      </c>
    </row>
    <row r="88" spans="1:10" ht="23.4" x14ac:dyDescent="0.45">
      <c r="A88" s="1" t="s">
        <v>138</v>
      </c>
      <c r="B88" s="2" t="s">
        <v>38</v>
      </c>
      <c r="C88" s="3" t="s">
        <v>96</v>
      </c>
      <c r="D88" s="3">
        <v>2025</v>
      </c>
      <c r="E88" s="2" t="s">
        <v>40</v>
      </c>
      <c r="F88" s="2" t="s">
        <v>28</v>
      </c>
      <c r="G88" s="2" t="s">
        <v>20</v>
      </c>
      <c r="H88" s="4">
        <v>68728.350000000006</v>
      </c>
      <c r="I88" s="3">
        <v>10</v>
      </c>
      <c r="J88" s="5" t="s">
        <v>15</v>
      </c>
    </row>
    <row r="89" spans="1:10" ht="23.4" x14ac:dyDescent="0.45">
      <c r="A89" s="1" t="s">
        <v>139</v>
      </c>
      <c r="B89" s="2" t="s">
        <v>70</v>
      </c>
      <c r="C89" s="3" t="s">
        <v>80</v>
      </c>
      <c r="D89" s="3">
        <v>2024</v>
      </c>
      <c r="E89" s="2" t="s">
        <v>31</v>
      </c>
      <c r="F89" s="2" t="s">
        <v>28</v>
      </c>
      <c r="G89" s="2" t="s">
        <v>14</v>
      </c>
      <c r="H89" s="4">
        <v>92417.23</v>
      </c>
      <c r="I89" s="3">
        <v>0</v>
      </c>
      <c r="J89" s="5" t="s">
        <v>36</v>
      </c>
    </row>
    <row r="90" spans="1:10" ht="23.4" x14ac:dyDescent="0.45">
      <c r="A90" s="1" t="s">
        <v>140</v>
      </c>
      <c r="B90" s="2" t="s">
        <v>22</v>
      </c>
      <c r="C90" s="3" t="s">
        <v>23</v>
      </c>
      <c r="D90" s="3">
        <v>2018</v>
      </c>
      <c r="E90" s="2" t="s">
        <v>12</v>
      </c>
      <c r="F90" s="2" t="s">
        <v>19</v>
      </c>
      <c r="G90" s="2" t="s">
        <v>20</v>
      </c>
      <c r="H90" s="4">
        <v>33212.379999999997</v>
      </c>
      <c r="I90" s="3">
        <v>14</v>
      </c>
      <c r="J90" s="5" t="s">
        <v>32</v>
      </c>
    </row>
    <row r="91" spans="1:10" ht="23.4" x14ac:dyDescent="0.45">
      <c r="A91" s="1" t="s">
        <v>141</v>
      </c>
      <c r="B91" s="2" t="s">
        <v>43</v>
      </c>
      <c r="C91" s="3" t="s">
        <v>91</v>
      </c>
      <c r="D91" s="3">
        <v>2019</v>
      </c>
      <c r="E91" s="2" t="s">
        <v>48</v>
      </c>
      <c r="F91" s="2" t="s">
        <v>19</v>
      </c>
      <c r="G91" s="2" t="s">
        <v>14</v>
      </c>
      <c r="H91" s="4">
        <v>17920.21</v>
      </c>
      <c r="I91" s="3">
        <v>10</v>
      </c>
      <c r="J91" s="5" t="s">
        <v>32</v>
      </c>
    </row>
    <row r="92" spans="1:10" ht="23.4" x14ac:dyDescent="0.45">
      <c r="A92" s="1" t="s">
        <v>142</v>
      </c>
      <c r="B92" s="2" t="s">
        <v>26</v>
      </c>
      <c r="C92" s="3" t="s">
        <v>74</v>
      </c>
      <c r="D92" s="3">
        <v>2018</v>
      </c>
      <c r="E92" s="2" t="s">
        <v>55</v>
      </c>
      <c r="F92" s="2" t="s">
        <v>19</v>
      </c>
      <c r="G92" s="2" t="s">
        <v>20</v>
      </c>
      <c r="H92" s="4">
        <v>92699.73</v>
      </c>
      <c r="I92" s="3">
        <v>8</v>
      </c>
      <c r="J92" s="5" t="s">
        <v>32</v>
      </c>
    </row>
    <row r="93" spans="1:10" ht="23.4" x14ac:dyDescent="0.45">
      <c r="A93" s="1" t="s">
        <v>143</v>
      </c>
      <c r="B93" s="2" t="s">
        <v>38</v>
      </c>
      <c r="C93" s="3" t="s">
        <v>96</v>
      </c>
      <c r="D93" s="3">
        <v>2023</v>
      </c>
      <c r="E93" s="2" t="s">
        <v>31</v>
      </c>
      <c r="F93" s="2" t="s">
        <v>13</v>
      </c>
      <c r="G93" s="2" t="s">
        <v>14</v>
      </c>
      <c r="H93" s="4">
        <v>78374.899999999994</v>
      </c>
      <c r="I93" s="3">
        <v>10</v>
      </c>
      <c r="J93" s="5" t="s">
        <v>15</v>
      </c>
    </row>
    <row r="94" spans="1:10" ht="23.4" x14ac:dyDescent="0.45">
      <c r="A94" s="1" t="s">
        <v>144</v>
      </c>
      <c r="B94" s="2" t="s">
        <v>26</v>
      </c>
      <c r="C94" s="3" t="s">
        <v>74</v>
      </c>
      <c r="D94" s="3">
        <v>2019</v>
      </c>
      <c r="E94" s="2" t="s">
        <v>24</v>
      </c>
      <c r="F94" s="2" t="s">
        <v>19</v>
      </c>
      <c r="G94" s="2" t="s">
        <v>20</v>
      </c>
      <c r="H94" s="4">
        <v>86288.69</v>
      </c>
      <c r="I94" s="3">
        <v>14</v>
      </c>
      <c r="J94" s="5" t="s">
        <v>36</v>
      </c>
    </row>
    <row r="95" spans="1:10" ht="23.4" x14ac:dyDescent="0.45">
      <c r="A95" s="1" t="s">
        <v>145</v>
      </c>
      <c r="B95" s="2" t="s">
        <v>17</v>
      </c>
      <c r="C95" s="3" t="s">
        <v>18</v>
      </c>
      <c r="D95" s="3">
        <v>2023</v>
      </c>
      <c r="E95" s="2" t="s">
        <v>48</v>
      </c>
      <c r="F95" s="2" t="s">
        <v>28</v>
      </c>
      <c r="G95" s="2" t="s">
        <v>14</v>
      </c>
      <c r="H95" s="4">
        <v>35633.32</v>
      </c>
      <c r="I95" s="3">
        <v>12</v>
      </c>
      <c r="J95" s="5" t="s">
        <v>36</v>
      </c>
    </row>
    <row r="96" spans="1:10" ht="23.4" x14ac:dyDescent="0.45">
      <c r="A96" s="1" t="s">
        <v>146</v>
      </c>
      <c r="B96" s="2" t="s">
        <v>10</v>
      </c>
      <c r="C96" s="3" t="s">
        <v>11</v>
      </c>
      <c r="D96" s="3">
        <v>2023</v>
      </c>
      <c r="E96" s="2" t="s">
        <v>31</v>
      </c>
      <c r="F96" s="2" t="s">
        <v>28</v>
      </c>
      <c r="G96" s="2" t="s">
        <v>20</v>
      </c>
      <c r="H96" s="4">
        <v>74054.31</v>
      </c>
      <c r="I96" s="3">
        <v>3</v>
      </c>
      <c r="J96" s="5" t="s">
        <v>32</v>
      </c>
    </row>
    <row r="97" spans="1:10" ht="23.4" x14ac:dyDescent="0.45">
      <c r="A97" s="1" t="s">
        <v>147</v>
      </c>
      <c r="B97" s="2" t="s">
        <v>22</v>
      </c>
      <c r="C97" s="3" t="s">
        <v>23</v>
      </c>
      <c r="D97" s="3">
        <v>2019</v>
      </c>
      <c r="E97" s="2" t="s">
        <v>31</v>
      </c>
      <c r="F97" s="2" t="s">
        <v>13</v>
      </c>
      <c r="G97" s="2" t="s">
        <v>14</v>
      </c>
      <c r="H97" s="4">
        <v>61660.65</v>
      </c>
      <c r="I97" s="3">
        <v>1</v>
      </c>
      <c r="J97" s="5" t="s">
        <v>32</v>
      </c>
    </row>
    <row r="98" spans="1:10" ht="23.4" x14ac:dyDescent="0.45">
      <c r="A98" s="1" t="s">
        <v>148</v>
      </c>
      <c r="B98" s="2" t="s">
        <v>26</v>
      </c>
      <c r="C98" s="3" t="s">
        <v>27</v>
      </c>
      <c r="D98" s="3">
        <v>2025</v>
      </c>
      <c r="E98" s="2" t="s">
        <v>31</v>
      </c>
      <c r="F98" s="2" t="s">
        <v>35</v>
      </c>
      <c r="G98" s="2" t="s">
        <v>14</v>
      </c>
      <c r="H98" s="4">
        <v>56746.29</v>
      </c>
      <c r="I98" s="3">
        <v>4</v>
      </c>
      <c r="J98" s="5" t="s">
        <v>36</v>
      </c>
    </row>
    <row r="99" spans="1:10" ht="23.4" x14ac:dyDescent="0.45">
      <c r="A99" s="1" t="s">
        <v>149</v>
      </c>
      <c r="B99" s="2" t="s">
        <v>17</v>
      </c>
      <c r="C99" s="3" t="s">
        <v>62</v>
      </c>
      <c r="D99" s="3">
        <v>2017</v>
      </c>
      <c r="E99" s="2" t="s">
        <v>24</v>
      </c>
      <c r="F99" s="2" t="s">
        <v>19</v>
      </c>
      <c r="G99" s="2" t="s">
        <v>14</v>
      </c>
      <c r="H99" s="4">
        <v>99875.13</v>
      </c>
      <c r="I99" s="3">
        <v>17</v>
      </c>
      <c r="J99" s="5" t="s">
        <v>32</v>
      </c>
    </row>
    <row r="100" spans="1:10" ht="23.4" x14ac:dyDescent="0.45">
      <c r="A100" s="1" t="s">
        <v>150</v>
      </c>
      <c r="B100" s="2" t="s">
        <v>26</v>
      </c>
      <c r="C100" s="3" t="s">
        <v>74</v>
      </c>
      <c r="D100" s="3">
        <v>2018</v>
      </c>
      <c r="E100" s="2" t="s">
        <v>40</v>
      </c>
      <c r="F100" s="2" t="s">
        <v>35</v>
      </c>
      <c r="G100" s="2" t="s">
        <v>14</v>
      </c>
      <c r="H100" s="4">
        <v>38984.11</v>
      </c>
      <c r="I100" s="3">
        <v>0</v>
      </c>
      <c r="J100" s="5" t="s">
        <v>32</v>
      </c>
    </row>
    <row r="101" spans="1:10" ht="23.4" x14ac:dyDescent="0.45">
      <c r="A101" s="1" t="s">
        <v>151</v>
      </c>
      <c r="B101" s="2" t="s">
        <v>22</v>
      </c>
      <c r="C101" s="3" t="s">
        <v>105</v>
      </c>
      <c r="D101" s="3">
        <v>2018</v>
      </c>
      <c r="E101" s="2" t="s">
        <v>24</v>
      </c>
      <c r="F101" s="2" t="s">
        <v>13</v>
      </c>
      <c r="G101" s="2" t="s">
        <v>20</v>
      </c>
      <c r="H101" s="4">
        <v>74108.179999999993</v>
      </c>
      <c r="I101" s="3">
        <v>10</v>
      </c>
      <c r="J101" s="5" t="s">
        <v>32</v>
      </c>
    </row>
    <row r="102" spans="1:10" ht="23.4" x14ac:dyDescent="0.45">
      <c r="A102" s="1" t="s">
        <v>152</v>
      </c>
      <c r="B102" s="2" t="s">
        <v>38</v>
      </c>
      <c r="C102" s="3" t="s">
        <v>96</v>
      </c>
      <c r="D102" s="3">
        <v>2015</v>
      </c>
      <c r="E102" s="2" t="s">
        <v>48</v>
      </c>
      <c r="F102" s="2" t="s">
        <v>28</v>
      </c>
      <c r="G102" s="2" t="s">
        <v>20</v>
      </c>
      <c r="H102" s="4">
        <v>75529.64</v>
      </c>
      <c r="I102" s="3">
        <v>11</v>
      </c>
      <c r="J102" s="5" t="s">
        <v>36</v>
      </c>
    </row>
    <row r="103" spans="1:10" ht="23.4" x14ac:dyDescent="0.45">
      <c r="A103" s="1" t="s">
        <v>153</v>
      </c>
      <c r="B103" s="2" t="s">
        <v>10</v>
      </c>
      <c r="C103" s="3" t="s">
        <v>11</v>
      </c>
      <c r="D103" s="3">
        <v>2018</v>
      </c>
      <c r="E103" s="2" t="s">
        <v>12</v>
      </c>
      <c r="F103" s="2" t="s">
        <v>28</v>
      </c>
      <c r="G103" s="2" t="s">
        <v>14</v>
      </c>
      <c r="H103" s="4">
        <v>95035.77</v>
      </c>
      <c r="I103" s="3">
        <v>10</v>
      </c>
      <c r="J103" s="5" t="s">
        <v>36</v>
      </c>
    </row>
    <row r="104" spans="1:10" ht="23.4" x14ac:dyDescent="0.45">
      <c r="A104" s="1" t="s">
        <v>154</v>
      </c>
      <c r="B104" s="2" t="s">
        <v>22</v>
      </c>
      <c r="C104" s="3" t="s">
        <v>53</v>
      </c>
      <c r="D104" s="3">
        <v>2019</v>
      </c>
      <c r="E104" s="2" t="s">
        <v>12</v>
      </c>
      <c r="F104" s="2" t="s">
        <v>28</v>
      </c>
      <c r="G104" s="2" t="s">
        <v>20</v>
      </c>
      <c r="H104" s="4">
        <v>33878.129999999997</v>
      </c>
      <c r="I104" s="3">
        <v>5</v>
      </c>
      <c r="J104" s="5" t="s">
        <v>15</v>
      </c>
    </row>
    <row r="105" spans="1:10" ht="23.4" x14ac:dyDescent="0.45">
      <c r="A105" s="1" t="s">
        <v>155</v>
      </c>
      <c r="B105" s="2" t="s">
        <v>38</v>
      </c>
      <c r="C105" s="3" t="s">
        <v>39</v>
      </c>
      <c r="D105" s="3">
        <v>2020</v>
      </c>
      <c r="E105" s="2" t="s">
        <v>31</v>
      </c>
      <c r="F105" s="2" t="s">
        <v>13</v>
      </c>
      <c r="G105" s="2" t="s">
        <v>14</v>
      </c>
      <c r="H105" s="4">
        <v>88830.31</v>
      </c>
      <c r="I105" s="3">
        <v>3</v>
      </c>
      <c r="J105" s="5" t="s">
        <v>32</v>
      </c>
    </row>
    <row r="106" spans="1:10" ht="23.4" x14ac:dyDescent="0.45">
      <c r="A106" s="1" t="s">
        <v>156</v>
      </c>
      <c r="B106" s="2" t="s">
        <v>70</v>
      </c>
      <c r="C106" s="3" t="s">
        <v>71</v>
      </c>
      <c r="D106" s="3">
        <v>2022</v>
      </c>
      <c r="E106" s="2" t="s">
        <v>31</v>
      </c>
      <c r="F106" s="2" t="s">
        <v>35</v>
      </c>
      <c r="G106" s="2" t="s">
        <v>20</v>
      </c>
      <c r="H106" s="4">
        <v>54845.1</v>
      </c>
      <c r="I106" s="3">
        <v>12</v>
      </c>
      <c r="J106" s="5" t="s">
        <v>36</v>
      </c>
    </row>
    <row r="107" spans="1:10" ht="23.4" x14ac:dyDescent="0.45">
      <c r="A107" s="1" t="s">
        <v>157</v>
      </c>
      <c r="B107" s="2" t="s">
        <v>43</v>
      </c>
      <c r="C107" s="3" t="s">
        <v>91</v>
      </c>
      <c r="D107" s="3">
        <v>2023</v>
      </c>
      <c r="E107" s="2" t="s">
        <v>31</v>
      </c>
      <c r="F107" s="2" t="s">
        <v>13</v>
      </c>
      <c r="G107" s="2" t="s">
        <v>14</v>
      </c>
      <c r="H107" s="4">
        <v>57448.98</v>
      </c>
      <c r="I107" s="3">
        <v>18</v>
      </c>
      <c r="J107" s="5" t="s">
        <v>32</v>
      </c>
    </row>
    <row r="108" spans="1:10" ht="23.4" x14ac:dyDescent="0.45">
      <c r="A108" s="1" t="s">
        <v>158</v>
      </c>
      <c r="B108" s="2" t="s">
        <v>26</v>
      </c>
      <c r="C108" s="3" t="s">
        <v>74</v>
      </c>
      <c r="D108" s="3">
        <v>2021</v>
      </c>
      <c r="E108" s="2" t="s">
        <v>40</v>
      </c>
      <c r="F108" s="2" t="s">
        <v>19</v>
      </c>
      <c r="G108" s="2" t="s">
        <v>14</v>
      </c>
      <c r="H108" s="4">
        <v>46740.58</v>
      </c>
      <c r="I108" s="3">
        <v>14</v>
      </c>
      <c r="J108" s="5" t="s">
        <v>36</v>
      </c>
    </row>
    <row r="109" spans="1:10" ht="23.4" x14ac:dyDescent="0.45">
      <c r="A109" s="1" t="s">
        <v>159</v>
      </c>
      <c r="B109" s="2" t="s">
        <v>43</v>
      </c>
      <c r="C109" s="3" t="s">
        <v>44</v>
      </c>
      <c r="D109" s="3">
        <v>2019</v>
      </c>
      <c r="E109" s="2" t="s">
        <v>40</v>
      </c>
      <c r="F109" s="2" t="s">
        <v>19</v>
      </c>
      <c r="G109" s="2" t="s">
        <v>14</v>
      </c>
      <c r="H109" s="4">
        <v>68415</v>
      </c>
      <c r="I109" s="3">
        <v>14</v>
      </c>
      <c r="J109" s="5" t="s">
        <v>36</v>
      </c>
    </row>
    <row r="110" spans="1:10" ht="23.4" x14ac:dyDescent="0.45">
      <c r="A110" s="1" t="s">
        <v>160</v>
      </c>
      <c r="B110" s="2" t="s">
        <v>10</v>
      </c>
      <c r="C110" s="3" t="s">
        <v>30</v>
      </c>
      <c r="D110" s="3">
        <v>2022</v>
      </c>
      <c r="E110" s="2" t="s">
        <v>31</v>
      </c>
      <c r="F110" s="2" t="s">
        <v>19</v>
      </c>
      <c r="G110" s="2" t="s">
        <v>20</v>
      </c>
      <c r="H110" s="4">
        <v>97204.59</v>
      </c>
      <c r="I110" s="3">
        <v>0</v>
      </c>
      <c r="J110" s="5" t="s">
        <v>32</v>
      </c>
    </row>
    <row r="111" spans="1:10" ht="23.4" x14ac:dyDescent="0.45">
      <c r="A111" s="1" t="s">
        <v>161</v>
      </c>
      <c r="B111" s="2" t="s">
        <v>22</v>
      </c>
      <c r="C111" s="3" t="s">
        <v>105</v>
      </c>
      <c r="D111" s="3">
        <v>2018</v>
      </c>
      <c r="E111" s="2" t="s">
        <v>40</v>
      </c>
      <c r="F111" s="2" t="s">
        <v>13</v>
      </c>
      <c r="G111" s="2" t="s">
        <v>20</v>
      </c>
      <c r="H111" s="4">
        <v>40546.31</v>
      </c>
      <c r="I111" s="3">
        <v>2</v>
      </c>
      <c r="J111" s="5" t="s">
        <v>15</v>
      </c>
    </row>
    <row r="112" spans="1:10" ht="23.4" x14ac:dyDescent="0.45">
      <c r="A112" s="1" t="s">
        <v>162</v>
      </c>
      <c r="B112" s="2" t="s">
        <v>70</v>
      </c>
      <c r="C112" s="3" t="s">
        <v>71</v>
      </c>
      <c r="D112" s="3">
        <v>2016</v>
      </c>
      <c r="E112" s="2" t="s">
        <v>55</v>
      </c>
      <c r="F112" s="2" t="s">
        <v>13</v>
      </c>
      <c r="G112" s="2" t="s">
        <v>14</v>
      </c>
      <c r="H112" s="4">
        <v>96742.24</v>
      </c>
      <c r="I112" s="3">
        <v>17</v>
      </c>
      <c r="J112" s="5" t="s">
        <v>36</v>
      </c>
    </row>
    <row r="113" spans="1:10" ht="23.4" x14ac:dyDescent="0.45">
      <c r="A113" s="1" t="s">
        <v>163</v>
      </c>
      <c r="B113" s="2" t="s">
        <v>22</v>
      </c>
      <c r="C113" s="3" t="s">
        <v>53</v>
      </c>
      <c r="D113" s="3">
        <v>2021</v>
      </c>
      <c r="E113" s="2" t="s">
        <v>12</v>
      </c>
      <c r="F113" s="2" t="s">
        <v>28</v>
      </c>
      <c r="G113" s="2" t="s">
        <v>20</v>
      </c>
      <c r="H113" s="4">
        <v>46778.03</v>
      </c>
      <c r="I113" s="3">
        <v>10</v>
      </c>
      <c r="J113" s="5" t="s">
        <v>36</v>
      </c>
    </row>
    <row r="114" spans="1:10" ht="23.4" x14ac:dyDescent="0.45">
      <c r="A114" s="1" t="s">
        <v>164</v>
      </c>
      <c r="B114" s="2" t="s">
        <v>10</v>
      </c>
      <c r="C114" s="3" t="s">
        <v>30</v>
      </c>
      <c r="D114" s="3">
        <v>2024</v>
      </c>
      <c r="E114" s="2" t="s">
        <v>31</v>
      </c>
      <c r="F114" s="2" t="s">
        <v>35</v>
      </c>
      <c r="G114" s="2" t="s">
        <v>14</v>
      </c>
      <c r="H114" s="4">
        <v>35194.67</v>
      </c>
      <c r="I114" s="3">
        <v>6</v>
      </c>
      <c r="J114" s="5" t="s">
        <v>15</v>
      </c>
    </row>
    <row r="115" spans="1:10" ht="23.4" x14ac:dyDescent="0.45">
      <c r="A115" s="1" t="s">
        <v>165</v>
      </c>
      <c r="B115" s="2" t="s">
        <v>26</v>
      </c>
      <c r="C115" s="3" t="s">
        <v>74</v>
      </c>
      <c r="D115" s="3">
        <v>2024</v>
      </c>
      <c r="E115" s="2" t="s">
        <v>24</v>
      </c>
      <c r="F115" s="2" t="s">
        <v>28</v>
      </c>
      <c r="G115" s="2" t="s">
        <v>20</v>
      </c>
      <c r="H115" s="4">
        <v>63367.44</v>
      </c>
      <c r="I115" s="3">
        <v>16</v>
      </c>
      <c r="J115" s="5" t="s">
        <v>15</v>
      </c>
    </row>
    <row r="116" spans="1:10" ht="23.4" x14ac:dyDescent="0.45">
      <c r="A116" s="1" t="s">
        <v>166</v>
      </c>
      <c r="B116" s="2" t="s">
        <v>17</v>
      </c>
      <c r="C116" s="3" t="s">
        <v>62</v>
      </c>
      <c r="D116" s="3">
        <v>2015</v>
      </c>
      <c r="E116" s="2" t="s">
        <v>12</v>
      </c>
      <c r="F116" s="2" t="s">
        <v>19</v>
      </c>
      <c r="G116" s="2" t="s">
        <v>20</v>
      </c>
      <c r="H116" s="4">
        <v>98105.600000000006</v>
      </c>
      <c r="I116" s="3">
        <v>17</v>
      </c>
      <c r="J116" s="5" t="s">
        <v>36</v>
      </c>
    </row>
    <row r="117" spans="1:10" ht="23.4" x14ac:dyDescent="0.45">
      <c r="A117" s="1" t="s">
        <v>167</v>
      </c>
      <c r="B117" s="2" t="s">
        <v>17</v>
      </c>
      <c r="C117" s="3" t="s">
        <v>62</v>
      </c>
      <c r="D117" s="3">
        <v>2020</v>
      </c>
      <c r="E117" s="2" t="s">
        <v>55</v>
      </c>
      <c r="F117" s="2" t="s">
        <v>13</v>
      </c>
      <c r="G117" s="2" t="s">
        <v>14</v>
      </c>
      <c r="H117" s="4">
        <v>43309.15</v>
      </c>
      <c r="I117" s="3">
        <v>0</v>
      </c>
      <c r="J117" s="5" t="s">
        <v>32</v>
      </c>
    </row>
    <row r="118" spans="1:10" ht="23.4" x14ac:dyDescent="0.45">
      <c r="A118" s="1" t="s">
        <v>168</v>
      </c>
      <c r="B118" s="2" t="s">
        <v>10</v>
      </c>
      <c r="C118" s="3" t="s">
        <v>110</v>
      </c>
      <c r="D118" s="3">
        <v>2016</v>
      </c>
      <c r="E118" s="2" t="s">
        <v>40</v>
      </c>
      <c r="F118" s="2" t="s">
        <v>13</v>
      </c>
      <c r="G118" s="2" t="s">
        <v>20</v>
      </c>
      <c r="H118" s="4">
        <v>25746.43</v>
      </c>
      <c r="I118" s="3">
        <v>14</v>
      </c>
      <c r="J118" s="5" t="s">
        <v>32</v>
      </c>
    </row>
    <row r="119" spans="1:10" ht="23.4" x14ac:dyDescent="0.45">
      <c r="A119" s="1" t="s">
        <v>169</v>
      </c>
      <c r="B119" s="2" t="s">
        <v>43</v>
      </c>
      <c r="C119" s="3" t="s">
        <v>93</v>
      </c>
      <c r="D119" s="3">
        <v>2023</v>
      </c>
      <c r="E119" s="2" t="s">
        <v>12</v>
      </c>
      <c r="F119" s="2" t="s">
        <v>13</v>
      </c>
      <c r="G119" s="2" t="s">
        <v>14</v>
      </c>
      <c r="H119" s="4">
        <v>77133.350000000006</v>
      </c>
      <c r="I119" s="3">
        <v>13</v>
      </c>
      <c r="J119" s="5" t="s">
        <v>36</v>
      </c>
    </row>
    <row r="120" spans="1:10" ht="23.4" x14ac:dyDescent="0.45">
      <c r="A120" s="1" t="s">
        <v>170</v>
      </c>
      <c r="B120" s="2" t="s">
        <v>38</v>
      </c>
      <c r="C120" s="3" t="s">
        <v>96</v>
      </c>
      <c r="D120" s="3">
        <v>2018</v>
      </c>
      <c r="E120" s="2" t="s">
        <v>55</v>
      </c>
      <c r="F120" s="2" t="s">
        <v>28</v>
      </c>
      <c r="G120" s="2" t="s">
        <v>20</v>
      </c>
      <c r="H120" s="4">
        <v>23200.240000000002</v>
      </c>
      <c r="I120" s="3">
        <v>17</v>
      </c>
      <c r="J120" s="5" t="s">
        <v>15</v>
      </c>
    </row>
    <row r="121" spans="1:10" ht="23.4" x14ac:dyDescent="0.45">
      <c r="A121" s="1" t="s">
        <v>171</v>
      </c>
      <c r="B121" s="2" t="s">
        <v>22</v>
      </c>
      <c r="C121" s="3" t="s">
        <v>23</v>
      </c>
      <c r="D121" s="3">
        <v>2016</v>
      </c>
      <c r="E121" s="2" t="s">
        <v>55</v>
      </c>
      <c r="F121" s="2" t="s">
        <v>13</v>
      </c>
      <c r="G121" s="2" t="s">
        <v>20</v>
      </c>
      <c r="H121" s="4">
        <v>56469.05</v>
      </c>
      <c r="I121" s="3">
        <v>2</v>
      </c>
      <c r="J121" s="5" t="s">
        <v>32</v>
      </c>
    </row>
    <row r="122" spans="1:10" ht="23.4" x14ac:dyDescent="0.45">
      <c r="A122" s="1" t="s">
        <v>172</v>
      </c>
      <c r="B122" s="2" t="s">
        <v>22</v>
      </c>
      <c r="C122" s="3" t="s">
        <v>105</v>
      </c>
      <c r="D122" s="3">
        <v>2022</v>
      </c>
      <c r="E122" s="2" t="s">
        <v>48</v>
      </c>
      <c r="F122" s="2" t="s">
        <v>35</v>
      </c>
      <c r="G122" s="2" t="s">
        <v>20</v>
      </c>
      <c r="H122" s="4">
        <v>62501.37</v>
      </c>
      <c r="I122" s="3">
        <v>20</v>
      </c>
      <c r="J122" s="5" t="s">
        <v>32</v>
      </c>
    </row>
    <row r="123" spans="1:10" ht="23.4" x14ac:dyDescent="0.45">
      <c r="A123" s="1" t="s">
        <v>173</v>
      </c>
      <c r="B123" s="2" t="s">
        <v>17</v>
      </c>
      <c r="C123" s="3" t="s">
        <v>18</v>
      </c>
      <c r="D123" s="3">
        <v>2018</v>
      </c>
      <c r="E123" s="2" t="s">
        <v>24</v>
      </c>
      <c r="F123" s="2" t="s">
        <v>13</v>
      </c>
      <c r="G123" s="2" t="s">
        <v>20</v>
      </c>
      <c r="H123" s="4">
        <v>85848.09</v>
      </c>
      <c r="I123" s="3">
        <v>20</v>
      </c>
      <c r="J123" s="5" t="s">
        <v>15</v>
      </c>
    </row>
    <row r="124" spans="1:10" ht="23.4" x14ac:dyDescent="0.45">
      <c r="A124" s="1" t="s">
        <v>174</v>
      </c>
      <c r="B124" s="2" t="s">
        <v>38</v>
      </c>
      <c r="C124" s="3" t="s">
        <v>65</v>
      </c>
      <c r="D124" s="3">
        <v>2021</v>
      </c>
      <c r="E124" s="2" t="s">
        <v>31</v>
      </c>
      <c r="F124" s="2" t="s">
        <v>13</v>
      </c>
      <c r="G124" s="2" t="s">
        <v>14</v>
      </c>
      <c r="H124" s="4">
        <v>23630.560000000001</v>
      </c>
      <c r="I124" s="3">
        <v>19</v>
      </c>
      <c r="J124" s="5" t="s">
        <v>32</v>
      </c>
    </row>
    <row r="125" spans="1:10" ht="23.4" x14ac:dyDescent="0.45">
      <c r="A125" s="1" t="s">
        <v>175</v>
      </c>
      <c r="B125" s="2" t="s">
        <v>22</v>
      </c>
      <c r="C125" s="3" t="s">
        <v>105</v>
      </c>
      <c r="D125" s="3">
        <v>2015</v>
      </c>
      <c r="E125" s="2" t="s">
        <v>24</v>
      </c>
      <c r="F125" s="2" t="s">
        <v>35</v>
      </c>
      <c r="G125" s="2" t="s">
        <v>20</v>
      </c>
      <c r="H125" s="4">
        <v>44875.07</v>
      </c>
      <c r="I125" s="3">
        <v>18</v>
      </c>
      <c r="J125" s="5" t="s">
        <v>32</v>
      </c>
    </row>
    <row r="126" spans="1:10" ht="23.4" x14ac:dyDescent="0.45">
      <c r="A126" s="1" t="s">
        <v>176</v>
      </c>
      <c r="B126" s="2" t="s">
        <v>17</v>
      </c>
      <c r="C126" s="3" t="s">
        <v>46</v>
      </c>
      <c r="D126" s="3">
        <v>2017</v>
      </c>
      <c r="E126" s="2" t="s">
        <v>48</v>
      </c>
      <c r="F126" s="2" t="s">
        <v>19</v>
      </c>
      <c r="G126" s="2" t="s">
        <v>14</v>
      </c>
      <c r="H126" s="4">
        <v>35200.68</v>
      </c>
      <c r="I126" s="3">
        <v>9</v>
      </c>
      <c r="J126" s="5" t="s">
        <v>15</v>
      </c>
    </row>
    <row r="127" spans="1:10" ht="23.4" x14ac:dyDescent="0.45">
      <c r="A127" s="1" t="s">
        <v>177</v>
      </c>
      <c r="B127" s="2" t="s">
        <v>22</v>
      </c>
      <c r="C127" s="3" t="s">
        <v>105</v>
      </c>
      <c r="D127" s="3">
        <v>2024</v>
      </c>
      <c r="E127" s="2" t="s">
        <v>31</v>
      </c>
      <c r="F127" s="2" t="s">
        <v>19</v>
      </c>
      <c r="G127" s="2" t="s">
        <v>14</v>
      </c>
      <c r="H127" s="4">
        <v>67563.87</v>
      </c>
      <c r="I127" s="3">
        <v>2</v>
      </c>
      <c r="J127" s="5" t="s">
        <v>36</v>
      </c>
    </row>
    <row r="128" spans="1:10" ht="23.4" x14ac:dyDescent="0.45">
      <c r="A128" s="1" t="s">
        <v>178</v>
      </c>
      <c r="B128" s="2" t="s">
        <v>10</v>
      </c>
      <c r="C128" s="3" t="s">
        <v>11</v>
      </c>
      <c r="D128" s="3">
        <v>2025</v>
      </c>
      <c r="E128" s="2" t="s">
        <v>12</v>
      </c>
      <c r="F128" s="2" t="s">
        <v>35</v>
      </c>
      <c r="G128" s="2" t="s">
        <v>20</v>
      </c>
      <c r="H128" s="4">
        <v>93219.23</v>
      </c>
      <c r="I128" s="3">
        <v>3</v>
      </c>
      <c r="J128" s="5" t="s">
        <v>32</v>
      </c>
    </row>
    <row r="129" spans="1:10" ht="23.4" x14ac:dyDescent="0.45">
      <c r="A129" s="1" t="s">
        <v>179</v>
      </c>
      <c r="B129" s="2" t="s">
        <v>70</v>
      </c>
      <c r="C129" s="3" t="s">
        <v>114</v>
      </c>
      <c r="D129" s="3">
        <v>2019</v>
      </c>
      <c r="E129" s="2" t="s">
        <v>40</v>
      </c>
      <c r="F129" s="2" t="s">
        <v>35</v>
      </c>
      <c r="G129" s="2" t="s">
        <v>20</v>
      </c>
      <c r="H129" s="4">
        <v>84135.49</v>
      </c>
      <c r="I129" s="3">
        <v>12</v>
      </c>
      <c r="J129" s="5" t="s">
        <v>15</v>
      </c>
    </row>
    <row r="130" spans="1:10" ht="23.4" x14ac:dyDescent="0.45">
      <c r="A130" s="1" t="s">
        <v>180</v>
      </c>
      <c r="B130" s="2" t="s">
        <v>70</v>
      </c>
      <c r="C130" s="3" t="s">
        <v>71</v>
      </c>
      <c r="D130" s="3">
        <v>2016</v>
      </c>
      <c r="E130" s="2" t="s">
        <v>24</v>
      </c>
      <c r="F130" s="2" t="s">
        <v>28</v>
      </c>
      <c r="G130" s="2" t="s">
        <v>14</v>
      </c>
      <c r="H130" s="4">
        <v>95882.76</v>
      </c>
      <c r="I130" s="3">
        <v>15</v>
      </c>
      <c r="J130" s="5" t="s">
        <v>32</v>
      </c>
    </row>
    <row r="131" spans="1:10" ht="23.4" x14ac:dyDescent="0.45">
      <c r="A131" s="1" t="s">
        <v>181</v>
      </c>
      <c r="B131" s="2" t="s">
        <v>38</v>
      </c>
      <c r="C131" s="3" t="s">
        <v>96</v>
      </c>
      <c r="D131" s="3">
        <v>2021</v>
      </c>
      <c r="E131" s="2" t="s">
        <v>31</v>
      </c>
      <c r="F131" s="2" t="s">
        <v>28</v>
      </c>
      <c r="G131" s="2" t="s">
        <v>14</v>
      </c>
      <c r="H131" s="4">
        <v>48149.33</v>
      </c>
      <c r="I131" s="3">
        <v>6</v>
      </c>
      <c r="J131" s="5" t="s">
        <v>15</v>
      </c>
    </row>
    <row r="132" spans="1:10" ht="23.4" x14ac:dyDescent="0.45">
      <c r="A132" s="1" t="s">
        <v>182</v>
      </c>
      <c r="B132" s="2" t="s">
        <v>10</v>
      </c>
      <c r="C132" s="3" t="s">
        <v>30</v>
      </c>
      <c r="D132" s="3">
        <v>2025</v>
      </c>
      <c r="E132" s="2" t="s">
        <v>24</v>
      </c>
      <c r="F132" s="2" t="s">
        <v>19</v>
      </c>
      <c r="G132" s="2" t="s">
        <v>14</v>
      </c>
      <c r="H132" s="4">
        <v>61924.42</v>
      </c>
      <c r="I132" s="3">
        <v>9</v>
      </c>
      <c r="J132" s="5" t="s">
        <v>36</v>
      </c>
    </row>
    <row r="133" spans="1:10" ht="23.4" x14ac:dyDescent="0.45">
      <c r="A133" s="1" t="s">
        <v>183</v>
      </c>
      <c r="B133" s="2" t="s">
        <v>26</v>
      </c>
      <c r="C133" s="3" t="s">
        <v>27</v>
      </c>
      <c r="D133" s="3">
        <v>2022</v>
      </c>
      <c r="E133" s="2" t="s">
        <v>48</v>
      </c>
      <c r="F133" s="2" t="s">
        <v>19</v>
      </c>
      <c r="G133" s="2" t="s">
        <v>14</v>
      </c>
      <c r="H133" s="4">
        <v>58245.71</v>
      </c>
      <c r="I133" s="3">
        <v>19</v>
      </c>
      <c r="J133" s="5" t="s">
        <v>32</v>
      </c>
    </row>
    <row r="134" spans="1:10" ht="23.4" x14ac:dyDescent="0.45">
      <c r="A134" s="1" t="s">
        <v>184</v>
      </c>
      <c r="B134" s="2" t="s">
        <v>70</v>
      </c>
      <c r="C134" s="3" t="s">
        <v>71</v>
      </c>
      <c r="D134" s="3">
        <v>2020</v>
      </c>
      <c r="E134" s="2" t="s">
        <v>55</v>
      </c>
      <c r="F134" s="2" t="s">
        <v>35</v>
      </c>
      <c r="G134" s="2" t="s">
        <v>20</v>
      </c>
      <c r="H134" s="4">
        <v>20192.759999999998</v>
      </c>
      <c r="I134" s="3">
        <v>7</v>
      </c>
      <c r="J134" s="5" t="s">
        <v>32</v>
      </c>
    </row>
    <row r="135" spans="1:10" ht="23.4" x14ac:dyDescent="0.45">
      <c r="A135" s="1" t="s">
        <v>185</v>
      </c>
      <c r="B135" s="2" t="s">
        <v>10</v>
      </c>
      <c r="C135" s="3" t="s">
        <v>11</v>
      </c>
      <c r="D135" s="3">
        <v>2016</v>
      </c>
      <c r="E135" s="2" t="s">
        <v>40</v>
      </c>
      <c r="F135" s="2" t="s">
        <v>35</v>
      </c>
      <c r="G135" s="2" t="s">
        <v>14</v>
      </c>
      <c r="H135" s="4">
        <v>51529.96</v>
      </c>
      <c r="I135" s="3">
        <v>8</v>
      </c>
      <c r="J135" s="5" t="s">
        <v>36</v>
      </c>
    </row>
    <row r="136" spans="1:10" ht="23.4" x14ac:dyDescent="0.45">
      <c r="A136" s="1" t="s">
        <v>186</v>
      </c>
      <c r="B136" s="2" t="s">
        <v>38</v>
      </c>
      <c r="C136" s="3" t="s">
        <v>39</v>
      </c>
      <c r="D136" s="3">
        <v>2015</v>
      </c>
      <c r="E136" s="2" t="s">
        <v>31</v>
      </c>
      <c r="F136" s="2" t="s">
        <v>28</v>
      </c>
      <c r="G136" s="2" t="s">
        <v>14</v>
      </c>
      <c r="H136" s="4">
        <v>55815.59</v>
      </c>
      <c r="I136" s="3">
        <v>5</v>
      </c>
      <c r="J136" s="5" t="s">
        <v>36</v>
      </c>
    </row>
    <row r="137" spans="1:10" ht="23.4" x14ac:dyDescent="0.45">
      <c r="A137" s="1" t="s">
        <v>187</v>
      </c>
      <c r="B137" s="2" t="s">
        <v>43</v>
      </c>
      <c r="C137" s="3" t="s">
        <v>44</v>
      </c>
      <c r="D137" s="3">
        <v>2019</v>
      </c>
      <c r="E137" s="2" t="s">
        <v>40</v>
      </c>
      <c r="F137" s="2" t="s">
        <v>13</v>
      </c>
      <c r="G137" s="2" t="s">
        <v>20</v>
      </c>
      <c r="H137" s="4">
        <v>84503.94</v>
      </c>
      <c r="I137" s="3">
        <v>20</v>
      </c>
      <c r="J137" s="5" t="s">
        <v>36</v>
      </c>
    </row>
    <row r="138" spans="1:10" ht="23.4" x14ac:dyDescent="0.45">
      <c r="A138" s="1" t="s">
        <v>188</v>
      </c>
      <c r="B138" s="2" t="s">
        <v>43</v>
      </c>
      <c r="C138" s="3" t="s">
        <v>93</v>
      </c>
      <c r="D138" s="3">
        <v>2016</v>
      </c>
      <c r="E138" s="2" t="s">
        <v>48</v>
      </c>
      <c r="F138" s="2" t="s">
        <v>13</v>
      </c>
      <c r="G138" s="2" t="s">
        <v>20</v>
      </c>
      <c r="H138" s="4">
        <v>49659.73</v>
      </c>
      <c r="I138" s="3">
        <v>12</v>
      </c>
      <c r="J138" s="5" t="s">
        <v>36</v>
      </c>
    </row>
    <row r="139" spans="1:10" ht="23.4" x14ac:dyDescent="0.45">
      <c r="A139" s="1" t="s">
        <v>189</v>
      </c>
      <c r="B139" s="2" t="s">
        <v>10</v>
      </c>
      <c r="C139" s="3" t="s">
        <v>11</v>
      </c>
      <c r="D139" s="3">
        <v>2024</v>
      </c>
      <c r="E139" s="2" t="s">
        <v>24</v>
      </c>
      <c r="F139" s="2" t="s">
        <v>28</v>
      </c>
      <c r="G139" s="2" t="s">
        <v>14</v>
      </c>
      <c r="H139" s="4">
        <v>71116.490000000005</v>
      </c>
      <c r="I139" s="3">
        <v>7</v>
      </c>
      <c r="J139" s="5" t="s">
        <v>36</v>
      </c>
    </row>
    <row r="140" spans="1:10" ht="23.4" x14ac:dyDescent="0.45">
      <c r="A140" s="1" t="s">
        <v>190</v>
      </c>
      <c r="B140" s="2" t="s">
        <v>17</v>
      </c>
      <c r="C140" s="3" t="s">
        <v>18</v>
      </c>
      <c r="D140" s="3">
        <v>2019</v>
      </c>
      <c r="E140" s="2" t="s">
        <v>31</v>
      </c>
      <c r="F140" s="2" t="s">
        <v>35</v>
      </c>
      <c r="G140" s="2" t="s">
        <v>14</v>
      </c>
      <c r="H140" s="4">
        <v>63900.82</v>
      </c>
      <c r="I140" s="3">
        <v>13</v>
      </c>
      <c r="J140" s="5" t="s">
        <v>15</v>
      </c>
    </row>
    <row r="141" spans="1:10" ht="23.4" x14ac:dyDescent="0.45">
      <c r="A141" s="1" t="s">
        <v>191</v>
      </c>
      <c r="B141" s="2" t="s">
        <v>43</v>
      </c>
      <c r="C141" s="3" t="s">
        <v>93</v>
      </c>
      <c r="D141" s="3">
        <v>2025</v>
      </c>
      <c r="E141" s="2" t="s">
        <v>12</v>
      </c>
      <c r="F141" s="2" t="s">
        <v>28</v>
      </c>
      <c r="G141" s="2" t="s">
        <v>20</v>
      </c>
      <c r="H141" s="4">
        <v>22543.49</v>
      </c>
      <c r="I141" s="3">
        <v>11</v>
      </c>
      <c r="J141" s="5" t="s">
        <v>36</v>
      </c>
    </row>
    <row r="142" spans="1:10" ht="23.4" x14ac:dyDescent="0.45">
      <c r="A142" s="1" t="s">
        <v>192</v>
      </c>
      <c r="B142" s="2" t="s">
        <v>17</v>
      </c>
      <c r="C142" s="3" t="s">
        <v>62</v>
      </c>
      <c r="D142" s="3">
        <v>2022</v>
      </c>
      <c r="E142" s="2" t="s">
        <v>40</v>
      </c>
      <c r="F142" s="2" t="s">
        <v>19</v>
      </c>
      <c r="G142" s="2" t="s">
        <v>20</v>
      </c>
      <c r="H142" s="4">
        <v>49552.44</v>
      </c>
      <c r="I142" s="3">
        <v>8</v>
      </c>
      <c r="J142" s="5" t="s">
        <v>32</v>
      </c>
    </row>
    <row r="143" spans="1:10" ht="23.4" x14ac:dyDescent="0.45">
      <c r="A143" s="1" t="s">
        <v>193</v>
      </c>
      <c r="B143" s="2" t="s">
        <v>26</v>
      </c>
      <c r="C143" s="3" t="s">
        <v>74</v>
      </c>
      <c r="D143" s="3">
        <v>2016</v>
      </c>
      <c r="E143" s="2" t="s">
        <v>24</v>
      </c>
      <c r="F143" s="2" t="s">
        <v>35</v>
      </c>
      <c r="G143" s="2" t="s">
        <v>14</v>
      </c>
      <c r="H143" s="4">
        <v>39878.32</v>
      </c>
      <c r="I143" s="3">
        <v>5</v>
      </c>
      <c r="J143" s="5" t="s">
        <v>15</v>
      </c>
    </row>
    <row r="144" spans="1:10" ht="23.4" x14ac:dyDescent="0.45">
      <c r="A144" s="1" t="s">
        <v>194</v>
      </c>
      <c r="B144" s="2" t="s">
        <v>43</v>
      </c>
      <c r="C144" s="3" t="s">
        <v>93</v>
      </c>
      <c r="D144" s="3">
        <v>2019</v>
      </c>
      <c r="E144" s="2" t="s">
        <v>12</v>
      </c>
      <c r="F144" s="2" t="s">
        <v>19</v>
      </c>
      <c r="G144" s="2" t="s">
        <v>20</v>
      </c>
      <c r="H144" s="4">
        <v>97300.14</v>
      </c>
      <c r="I144" s="3">
        <v>4</v>
      </c>
      <c r="J144" s="5" t="s">
        <v>36</v>
      </c>
    </row>
    <row r="145" spans="1:10" ht="23.4" x14ac:dyDescent="0.45">
      <c r="A145" s="1" t="s">
        <v>195</v>
      </c>
      <c r="B145" s="2" t="s">
        <v>43</v>
      </c>
      <c r="C145" s="3" t="s">
        <v>91</v>
      </c>
      <c r="D145" s="3">
        <v>2021</v>
      </c>
      <c r="E145" s="2" t="s">
        <v>55</v>
      </c>
      <c r="F145" s="2" t="s">
        <v>19</v>
      </c>
      <c r="G145" s="2" t="s">
        <v>14</v>
      </c>
      <c r="H145" s="4">
        <v>71068.19</v>
      </c>
      <c r="I145" s="3">
        <v>7</v>
      </c>
      <c r="J145" s="5" t="s">
        <v>36</v>
      </c>
    </row>
    <row r="146" spans="1:10" ht="23.4" x14ac:dyDescent="0.45">
      <c r="A146" s="1" t="s">
        <v>196</v>
      </c>
      <c r="B146" s="2" t="s">
        <v>38</v>
      </c>
      <c r="C146" s="3" t="s">
        <v>39</v>
      </c>
      <c r="D146" s="3">
        <v>2019</v>
      </c>
      <c r="E146" s="2" t="s">
        <v>24</v>
      </c>
      <c r="F146" s="2" t="s">
        <v>13</v>
      </c>
      <c r="G146" s="2" t="s">
        <v>20</v>
      </c>
      <c r="H146" s="4">
        <v>89690.07</v>
      </c>
      <c r="I146" s="3">
        <v>10</v>
      </c>
      <c r="J146" s="5" t="s">
        <v>36</v>
      </c>
    </row>
    <row r="147" spans="1:10" ht="23.4" x14ac:dyDescent="0.45">
      <c r="A147" s="1" t="s">
        <v>197</v>
      </c>
      <c r="B147" s="2" t="s">
        <v>70</v>
      </c>
      <c r="C147" s="3" t="s">
        <v>114</v>
      </c>
      <c r="D147" s="3">
        <v>2024</v>
      </c>
      <c r="E147" s="2" t="s">
        <v>31</v>
      </c>
      <c r="F147" s="2" t="s">
        <v>13</v>
      </c>
      <c r="G147" s="2" t="s">
        <v>20</v>
      </c>
      <c r="H147" s="4">
        <v>32150.03</v>
      </c>
      <c r="I147" s="3">
        <v>14</v>
      </c>
      <c r="J147" s="5" t="s">
        <v>32</v>
      </c>
    </row>
    <row r="148" spans="1:10" ht="23.4" x14ac:dyDescent="0.45">
      <c r="A148" s="1" t="s">
        <v>198</v>
      </c>
      <c r="B148" s="2" t="s">
        <v>38</v>
      </c>
      <c r="C148" s="3" t="s">
        <v>96</v>
      </c>
      <c r="D148" s="3">
        <v>2018</v>
      </c>
      <c r="E148" s="2" t="s">
        <v>31</v>
      </c>
      <c r="F148" s="2" t="s">
        <v>19</v>
      </c>
      <c r="G148" s="2" t="s">
        <v>14</v>
      </c>
      <c r="H148" s="4">
        <v>40101.919999999998</v>
      </c>
      <c r="I148" s="3">
        <v>13</v>
      </c>
      <c r="J148" s="5" t="s">
        <v>15</v>
      </c>
    </row>
    <row r="149" spans="1:10" ht="23.4" x14ac:dyDescent="0.45">
      <c r="A149" s="1" t="s">
        <v>199</v>
      </c>
      <c r="B149" s="2" t="s">
        <v>10</v>
      </c>
      <c r="C149" s="3" t="s">
        <v>30</v>
      </c>
      <c r="D149" s="3">
        <v>2015</v>
      </c>
      <c r="E149" s="2" t="s">
        <v>40</v>
      </c>
      <c r="F149" s="2" t="s">
        <v>35</v>
      </c>
      <c r="G149" s="2" t="s">
        <v>20</v>
      </c>
      <c r="H149" s="4">
        <v>60714.01</v>
      </c>
      <c r="I149" s="3">
        <v>13</v>
      </c>
      <c r="J149" s="5" t="s">
        <v>32</v>
      </c>
    </row>
    <row r="150" spans="1:10" ht="23.4" x14ac:dyDescent="0.45">
      <c r="A150" s="1" t="s">
        <v>200</v>
      </c>
      <c r="B150" s="2" t="s">
        <v>22</v>
      </c>
      <c r="C150" s="3" t="s">
        <v>105</v>
      </c>
      <c r="D150" s="3">
        <v>2016</v>
      </c>
      <c r="E150" s="2" t="s">
        <v>31</v>
      </c>
      <c r="F150" s="2" t="s">
        <v>35</v>
      </c>
      <c r="G150" s="2" t="s">
        <v>20</v>
      </c>
      <c r="H150" s="4">
        <v>89010.17</v>
      </c>
      <c r="I150" s="3">
        <v>18</v>
      </c>
      <c r="J150" s="5" t="s">
        <v>15</v>
      </c>
    </row>
    <row r="151" spans="1:10" ht="23.4" x14ac:dyDescent="0.45">
      <c r="A151" s="1" t="s">
        <v>201</v>
      </c>
      <c r="B151" s="2" t="s">
        <v>26</v>
      </c>
      <c r="C151" s="3" t="s">
        <v>74</v>
      </c>
      <c r="D151" s="3">
        <v>2017</v>
      </c>
      <c r="E151" s="2" t="s">
        <v>24</v>
      </c>
      <c r="F151" s="2" t="s">
        <v>13</v>
      </c>
      <c r="G151" s="2" t="s">
        <v>20</v>
      </c>
      <c r="H151" s="4">
        <v>78555.28</v>
      </c>
      <c r="I151" s="3">
        <v>10</v>
      </c>
      <c r="J151" s="5" t="s">
        <v>15</v>
      </c>
    </row>
    <row r="152" spans="1:10" ht="23.4" x14ac:dyDescent="0.45">
      <c r="A152" s="1" t="s">
        <v>202</v>
      </c>
      <c r="B152" s="2" t="s">
        <v>26</v>
      </c>
      <c r="C152" s="3" t="s">
        <v>27</v>
      </c>
      <c r="D152" s="3">
        <v>2017</v>
      </c>
      <c r="E152" s="2" t="s">
        <v>40</v>
      </c>
      <c r="F152" s="2" t="s">
        <v>13</v>
      </c>
      <c r="G152" s="2" t="s">
        <v>20</v>
      </c>
      <c r="H152" s="4">
        <v>44911.18</v>
      </c>
      <c r="I152" s="3">
        <v>6</v>
      </c>
      <c r="J152" s="5" t="s">
        <v>36</v>
      </c>
    </row>
    <row r="153" spans="1:10" ht="23.4" x14ac:dyDescent="0.45">
      <c r="A153" s="1" t="s">
        <v>203</v>
      </c>
      <c r="B153" s="2" t="s">
        <v>26</v>
      </c>
      <c r="C153" s="3" t="s">
        <v>34</v>
      </c>
      <c r="D153" s="3">
        <v>2022</v>
      </c>
      <c r="E153" s="2" t="s">
        <v>12</v>
      </c>
      <c r="F153" s="2" t="s">
        <v>28</v>
      </c>
      <c r="G153" s="2" t="s">
        <v>14</v>
      </c>
      <c r="H153" s="4">
        <v>18449.830000000002</v>
      </c>
      <c r="I153" s="3">
        <v>1</v>
      </c>
      <c r="J153" s="5" t="s">
        <v>36</v>
      </c>
    </row>
    <row r="154" spans="1:10" ht="23.4" x14ac:dyDescent="0.45">
      <c r="A154" s="1" t="s">
        <v>204</v>
      </c>
      <c r="B154" s="2" t="s">
        <v>70</v>
      </c>
      <c r="C154" s="3" t="s">
        <v>80</v>
      </c>
      <c r="D154" s="3">
        <v>2016</v>
      </c>
      <c r="E154" s="2" t="s">
        <v>55</v>
      </c>
      <c r="F154" s="2" t="s">
        <v>28</v>
      </c>
      <c r="G154" s="2" t="s">
        <v>14</v>
      </c>
      <c r="H154" s="4">
        <v>86495.32</v>
      </c>
      <c r="I154" s="3">
        <v>15</v>
      </c>
      <c r="J154" s="5" t="s">
        <v>32</v>
      </c>
    </row>
    <row r="155" spans="1:10" ht="23.4" x14ac:dyDescent="0.45">
      <c r="A155" s="1" t="s">
        <v>205</v>
      </c>
      <c r="B155" s="2" t="s">
        <v>17</v>
      </c>
      <c r="C155" s="3" t="s">
        <v>18</v>
      </c>
      <c r="D155" s="3">
        <v>2018</v>
      </c>
      <c r="E155" s="2" t="s">
        <v>48</v>
      </c>
      <c r="F155" s="2" t="s">
        <v>13</v>
      </c>
      <c r="G155" s="2" t="s">
        <v>20</v>
      </c>
      <c r="H155" s="4">
        <v>41195.199999999997</v>
      </c>
      <c r="I155" s="3">
        <v>19</v>
      </c>
      <c r="J155" s="5" t="s">
        <v>32</v>
      </c>
    </row>
    <row r="156" spans="1:10" ht="23.4" x14ac:dyDescent="0.45">
      <c r="A156" s="1" t="s">
        <v>206</v>
      </c>
      <c r="B156" s="2" t="s">
        <v>38</v>
      </c>
      <c r="C156" s="3" t="s">
        <v>39</v>
      </c>
      <c r="D156" s="3">
        <v>2022</v>
      </c>
      <c r="E156" s="2" t="s">
        <v>24</v>
      </c>
      <c r="F156" s="2" t="s">
        <v>13</v>
      </c>
      <c r="G156" s="2" t="s">
        <v>14</v>
      </c>
      <c r="H156" s="4">
        <v>15064.15</v>
      </c>
      <c r="I156" s="3">
        <v>16</v>
      </c>
      <c r="J156" s="5" t="s">
        <v>15</v>
      </c>
    </row>
    <row r="157" spans="1:10" ht="23.4" x14ac:dyDescent="0.45">
      <c r="A157" s="1" t="s">
        <v>207</v>
      </c>
      <c r="B157" s="2" t="s">
        <v>26</v>
      </c>
      <c r="C157" s="3" t="s">
        <v>27</v>
      </c>
      <c r="D157" s="3">
        <v>2015</v>
      </c>
      <c r="E157" s="2" t="s">
        <v>40</v>
      </c>
      <c r="F157" s="2" t="s">
        <v>28</v>
      </c>
      <c r="G157" s="2" t="s">
        <v>20</v>
      </c>
      <c r="H157" s="4">
        <v>22779.54</v>
      </c>
      <c r="I157" s="3">
        <v>13</v>
      </c>
      <c r="J157" s="5" t="s">
        <v>15</v>
      </c>
    </row>
    <row r="158" spans="1:10" ht="23.4" x14ac:dyDescent="0.45">
      <c r="A158" s="1" t="s">
        <v>208</v>
      </c>
      <c r="B158" s="2" t="s">
        <v>38</v>
      </c>
      <c r="C158" s="3" t="s">
        <v>65</v>
      </c>
      <c r="D158" s="3">
        <v>2024</v>
      </c>
      <c r="E158" s="2" t="s">
        <v>48</v>
      </c>
      <c r="F158" s="2" t="s">
        <v>28</v>
      </c>
      <c r="G158" s="2" t="s">
        <v>20</v>
      </c>
      <c r="H158" s="4">
        <v>54478.11</v>
      </c>
      <c r="I158" s="3">
        <v>5</v>
      </c>
      <c r="J158" s="5" t="s">
        <v>15</v>
      </c>
    </row>
    <row r="159" spans="1:10" ht="23.4" x14ac:dyDescent="0.45">
      <c r="A159" s="1" t="s">
        <v>209</v>
      </c>
      <c r="B159" s="2" t="s">
        <v>26</v>
      </c>
      <c r="C159" s="3" t="s">
        <v>34</v>
      </c>
      <c r="D159" s="3">
        <v>2018</v>
      </c>
      <c r="E159" s="2" t="s">
        <v>31</v>
      </c>
      <c r="F159" s="2" t="s">
        <v>28</v>
      </c>
      <c r="G159" s="2" t="s">
        <v>20</v>
      </c>
      <c r="H159" s="4">
        <v>15564.23</v>
      </c>
      <c r="I159" s="3">
        <v>18</v>
      </c>
      <c r="J159" s="5" t="s">
        <v>32</v>
      </c>
    </row>
    <row r="160" spans="1:10" ht="23.4" x14ac:dyDescent="0.45">
      <c r="A160" s="1" t="s">
        <v>210</v>
      </c>
      <c r="B160" s="2" t="s">
        <v>10</v>
      </c>
      <c r="C160" s="3" t="s">
        <v>30</v>
      </c>
      <c r="D160" s="3">
        <v>2019</v>
      </c>
      <c r="E160" s="2" t="s">
        <v>55</v>
      </c>
      <c r="F160" s="2" t="s">
        <v>35</v>
      </c>
      <c r="G160" s="2" t="s">
        <v>14</v>
      </c>
      <c r="H160" s="4">
        <v>37017.339999999997</v>
      </c>
      <c r="I160" s="3">
        <v>6</v>
      </c>
      <c r="J160" s="5" t="s">
        <v>36</v>
      </c>
    </row>
    <row r="161" spans="1:10" ht="23.4" x14ac:dyDescent="0.45">
      <c r="A161" s="1" t="s">
        <v>211</v>
      </c>
      <c r="B161" s="2" t="s">
        <v>43</v>
      </c>
      <c r="C161" s="3" t="s">
        <v>93</v>
      </c>
      <c r="D161" s="3">
        <v>2018</v>
      </c>
      <c r="E161" s="2" t="s">
        <v>12</v>
      </c>
      <c r="F161" s="2" t="s">
        <v>13</v>
      </c>
      <c r="G161" s="2" t="s">
        <v>20</v>
      </c>
      <c r="H161" s="4">
        <v>56409.55</v>
      </c>
      <c r="I161" s="3">
        <v>20</v>
      </c>
      <c r="J161" s="5" t="s">
        <v>36</v>
      </c>
    </row>
    <row r="162" spans="1:10" ht="23.4" x14ac:dyDescent="0.45">
      <c r="A162" s="1" t="s">
        <v>212</v>
      </c>
      <c r="B162" s="2" t="s">
        <v>38</v>
      </c>
      <c r="C162" s="3" t="s">
        <v>39</v>
      </c>
      <c r="D162" s="3">
        <v>2016</v>
      </c>
      <c r="E162" s="2" t="s">
        <v>48</v>
      </c>
      <c r="F162" s="2" t="s">
        <v>13</v>
      </c>
      <c r="G162" s="2" t="s">
        <v>20</v>
      </c>
      <c r="H162" s="4">
        <v>26413.01</v>
      </c>
      <c r="I162" s="3">
        <v>8</v>
      </c>
      <c r="J162" s="5" t="s">
        <v>32</v>
      </c>
    </row>
    <row r="163" spans="1:10" ht="23.4" x14ac:dyDescent="0.45">
      <c r="A163" s="1" t="s">
        <v>213</v>
      </c>
      <c r="B163" s="2" t="s">
        <v>22</v>
      </c>
      <c r="C163" s="3" t="s">
        <v>23</v>
      </c>
      <c r="D163" s="3">
        <v>2015</v>
      </c>
      <c r="E163" s="2" t="s">
        <v>40</v>
      </c>
      <c r="F163" s="2" t="s">
        <v>19</v>
      </c>
      <c r="G163" s="2" t="s">
        <v>20</v>
      </c>
      <c r="H163" s="4">
        <v>53008.54</v>
      </c>
      <c r="I163" s="3">
        <v>7</v>
      </c>
      <c r="J163" s="5" t="s">
        <v>15</v>
      </c>
    </row>
    <row r="164" spans="1:10" ht="23.4" x14ac:dyDescent="0.45">
      <c r="A164" s="1" t="s">
        <v>214</v>
      </c>
      <c r="B164" s="2" t="s">
        <v>17</v>
      </c>
      <c r="C164" s="3" t="s">
        <v>62</v>
      </c>
      <c r="D164" s="3">
        <v>2020</v>
      </c>
      <c r="E164" s="2" t="s">
        <v>40</v>
      </c>
      <c r="F164" s="2" t="s">
        <v>35</v>
      </c>
      <c r="G164" s="2" t="s">
        <v>20</v>
      </c>
      <c r="H164" s="4">
        <v>46277.93</v>
      </c>
      <c r="I164" s="3">
        <v>17</v>
      </c>
      <c r="J164" s="5" t="s">
        <v>32</v>
      </c>
    </row>
    <row r="165" spans="1:10" ht="23.4" x14ac:dyDescent="0.45">
      <c r="A165" s="1" t="s">
        <v>215</v>
      </c>
      <c r="B165" s="2" t="s">
        <v>17</v>
      </c>
      <c r="C165" s="3" t="s">
        <v>46</v>
      </c>
      <c r="D165" s="3">
        <v>2023</v>
      </c>
      <c r="E165" s="2" t="s">
        <v>31</v>
      </c>
      <c r="F165" s="2" t="s">
        <v>13</v>
      </c>
      <c r="G165" s="2" t="s">
        <v>14</v>
      </c>
      <c r="H165" s="4">
        <v>42464.66</v>
      </c>
      <c r="I165" s="3">
        <v>3</v>
      </c>
      <c r="J165" s="5" t="s">
        <v>15</v>
      </c>
    </row>
    <row r="166" spans="1:10" ht="23.4" x14ac:dyDescent="0.45">
      <c r="A166" s="1" t="s">
        <v>216</v>
      </c>
      <c r="B166" s="2" t="s">
        <v>17</v>
      </c>
      <c r="C166" s="3" t="s">
        <v>46</v>
      </c>
      <c r="D166" s="3">
        <v>2016</v>
      </c>
      <c r="E166" s="2" t="s">
        <v>40</v>
      </c>
      <c r="F166" s="2" t="s">
        <v>13</v>
      </c>
      <c r="G166" s="2" t="s">
        <v>20</v>
      </c>
      <c r="H166" s="4">
        <v>64280.26</v>
      </c>
      <c r="I166" s="3">
        <v>17</v>
      </c>
      <c r="J166" s="5" t="s">
        <v>32</v>
      </c>
    </row>
    <row r="167" spans="1:10" ht="23.4" x14ac:dyDescent="0.45">
      <c r="A167" s="1" t="s">
        <v>217</v>
      </c>
      <c r="B167" s="2" t="s">
        <v>17</v>
      </c>
      <c r="C167" s="3" t="s">
        <v>62</v>
      </c>
      <c r="D167" s="3">
        <v>2022</v>
      </c>
      <c r="E167" s="2" t="s">
        <v>31</v>
      </c>
      <c r="F167" s="2" t="s">
        <v>13</v>
      </c>
      <c r="G167" s="2" t="s">
        <v>14</v>
      </c>
      <c r="H167" s="4">
        <v>44421.49</v>
      </c>
      <c r="I167" s="3">
        <v>9</v>
      </c>
      <c r="J167" s="5" t="s">
        <v>36</v>
      </c>
    </row>
    <row r="168" spans="1:10" ht="23.4" x14ac:dyDescent="0.45">
      <c r="A168" s="1" t="s">
        <v>218</v>
      </c>
      <c r="B168" s="2" t="s">
        <v>38</v>
      </c>
      <c r="C168" s="3" t="s">
        <v>96</v>
      </c>
      <c r="D168" s="3">
        <v>2021</v>
      </c>
      <c r="E168" s="2" t="s">
        <v>48</v>
      </c>
      <c r="F168" s="2" t="s">
        <v>28</v>
      </c>
      <c r="G168" s="2" t="s">
        <v>14</v>
      </c>
      <c r="H168" s="4">
        <v>56347.83</v>
      </c>
      <c r="I168" s="3">
        <v>6</v>
      </c>
      <c r="J168" s="5" t="s">
        <v>15</v>
      </c>
    </row>
    <row r="169" spans="1:10" ht="23.4" x14ac:dyDescent="0.45">
      <c r="A169" s="1" t="s">
        <v>219</v>
      </c>
      <c r="B169" s="2" t="s">
        <v>10</v>
      </c>
      <c r="C169" s="3" t="s">
        <v>11</v>
      </c>
      <c r="D169" s="3">
        <v>2019</v>
      </c>
      <c r="E169" s="2" t="s">
        <v>40</v>
      </c>
      <c r="F169" s="2" t="s">
        <v>35</v>
      </c>
      <c r="G169" s="2" t="s">
        <v>20</v>
      </c>
      <c r="H169" s="4">
        <v>34744.17</v>
      </c>
      <c r="I169" s="3">
        <v>20</v>
      </c>
      <c r="J169" s="5" t="s">
        <v>32</v>
      </c>
    </row>
    <row r="170" spans="1:10" ht="23.4" x14ac:dyDescent="0.45">
      <c r="A170" s="1" t="s">
        <v>220</v>
      </c>
      <c r="B170" s="2" t="s">
        <v>10</v>
      </c>
      <c r="C170" s="3" t="s">
        <v>110</v>
      </c>
      <c r="D170" s="3">
        <v>2023</v>
      </c>
      <c r="E170" s="2" t="s">
        <v>31</v>
      </c>
      <c r="F170" s="2" t="s">
        <v>13</v>
      </c>
      <c r="G170" s="2" t="s">
        <v>20</v>
      </c>
      <c r="H170" s="4">
        <v>77945.94</v>
      </c>
      <c r="I170" s="3">
        <v>1</v>
      </c>
      <c r="J170" s="5" t="s">
        <v>36</v>
      </c>
    </row>
    <row r="171" spans="1:10" ht="23.4" x14ac:dyDescent="0.45">
      <c r="A171" s="1" t="s">
        <v>221</v>
      </c>
      <c r="B171" s="2" t="s">
        <v>10</v>
      </c>
      <c r="C171" s="3" t="s">
        <v>11</v>
      </c>
      <c r="D171" s="3">
        <v>2024</v>
      </c>
      <c r="E171" s="2" t="s">
        <v>55</v>
      </c>
      <c r="F171" s="2" t="s">
        <v>19</v>
      </c>
      <c r="G171" s="2" t="s">
        <v>20</v>
      </c>
      <c r="H171" s="4">
        <v>25733.99</v>
      </c>
      <c r="I171" s="3">
        <v>14</v>
      </c>
      <c r="J171" s="5" t="s">
        <v>36</v>
      </c>
    </row>
    <row r="172" spans="1:10" ht="23.4" x14ac:dyDescent="0.45">
      <c r="A172" s="1" t="s">
        <v>222</v>
      </c>
      <c r="B172" s="2" t="s">
        <v>17</v>
      </c>
      <c r="C172" s="3" t="s">
        <v>62</v>
      </c>
      <c r="D172" s="3">
        <v>2024</v>
      </c>
      <c r="E172" s="2" t="s">
        <v>12</v>
      </c>
      <c r="F172" s="2" t="s">
        <v>13</v>
      </c>
      <c r="G172" s="2" t="s">
        <v>14</v>
      </c>
      <c r="H172" s="4">
        <v>23723.97</v>
      </c>
      <c r="I172" s="3">
        <v>9</v>
      </c>
      <c r="J172" s="5" t="s">
        <v>32</v>
      </c>
    </row>
    <row r="173" spans="1:10" ht="23.4" x14ac:dyDescent="0.45">
      <c r="A173" s="1" t="s">
        <v>223</v>
      </c>
      <c r="B173" s="2" t="s">
        <v>38</v>
      </c>
      <c r="C173" s="3" t="s">
        <v>39</v>
      </c>
      <c r="D173" s="3">
        <v>2015</v>
      </c>
      <c r="E173" s="2" t="s">
        <v>40</v>
      </c>
      <c r="F173" s="2" t="s">
        <v>28</v>
      </c>
      <c r="G173" s="2" t="s">
        <v>20</v>
      </c>
      <c r="H173" s="4">
        <v>25393.08</v>
      </c>
      <c r="I173" s="3">
        <v>8</v>
      </c>
      <c r="J173" s="5" t="s">
        <v>36</v>
      </c>
    </row>
    <row r="174" spans="1:10" ht="23.4" x14ac:dyDescent="0.45">
      <c r="A174" s="1" t="s">
        <v>224</v>
      </c>
      <c r="B174" s="2" t="s">
        <v>10</v>
      </c>
      <c r="C174" s="3" t="s">
        <v>11</v>
      </c>
      <c r="D174" s="3">
        <v>2020</v>
      </c>
      <c r="E174" s="2" t="s">
        <v>24</v>
      </c>
      <c r="F174" s="2" t="s">
        <v>13</v>
      </c>
      <c r="G174" s="2" t="s">
        <v>14</v>
      </c>
      <c r="H174" s="4">
        <v>57344.63</v>
      </c>
      <c r="I174" s="3">
        <v>10</v>
      </c>
      <c r="J174" s="5" t="s">
        <v>15</v>
      </c>
    </row>
    <row r="175" spans="1:10" ht="23.4" x14ac:dyDescent="0.45">
      <c r="A175" s="1" t="s">
        <v>225</v>
      </c>
      <c r="B175" s="2" t="s">
        <v>10</v>
      </c>
      <c r="C175" s="3" t="s">
        <v>110</v>
      </c>
      <c r="D175" s="3">
        <v>2025</v>
      </c>
      <c r="E175" s="2" t="s">
        <v>31</v>
      </c>
      <c r="F175" s="2" t="s">
        <v>19</v>
      </c>
      <c r="G175" s="2" t="s">
        <v>14</v>
      </c>
      <c r="H175" s="4">
        <v>18521.5</v>
      </c>
      <c r="I175" s="3">
        <v>12</v>
      </c>
      <c r="J175" s="5" t="s">
        <v>15</v>
      </c>
    </row>
    <row r="176" spans="1:10" ht="23.4" x14ac:dyDescent="0.45">
      <c r="A176" s="1" t="s">
        <v>226</v>
      </c>
      <c r="B176" s="2" t="s">
        <v>22</v>
      </c>
      <c r="C176" s="3" t="s">
        <v>105</v>
      </c>
      <c r="D176" s="3">
        <v>2024</v>
      </c>
      <c r="E176" s="2" t="s">
        <v>40</v>
      </c>
      <c r="F176" s="2" t="s">
        <v>28</v>
      </c>
      <c r="G176" s="2" t="s">
        <v>14</v>
      </c>
      <c r="H176" s="4">
        <v>74816.25</v>
      </c>
      <c r="I176" s="3">
        <v>19</v>
      </c>
      <c r="J176" s="5" t="s">
        <v>32</v>
      </c>
    </row>
    <row r="177" spans="1:10" ht="23.4" x14ac:dyDescent="0.45">
      <c r="A177" s="1" t="s">
        <v>227</v>
      </c>
      <c r="B177" s="2" t="s">
        <v>43</v>
      </c>
      <c r="C177" s="3" t="s">
        <v>44</v>
      </c>
      <c r="D177" s="3">
        <v>2022</v>
      </c>
      <c r="E177" s="2" t="s">
        <v>55</v>
      </c>
      <c r="F177" s="2" t="s">
        <v>28</v>
      </c>
      <c r="G177" s="2" t="s">
        <v>20</v>
      </c>
      <c r="H177" s="4">
        <v>95524.52</v>
      </c>
      <c r="I177" s="3">
        <v>6</v>
      </c>
      <c r="J177" s="5" t="s">
        <v>32</v>
      </c>
    </row>
    <row r="178" spans="1:10" ht="23.4" x14ac:dyDescent="0.45">
      <c r="A178" s="1" t="s">
        <v>228</v>
      </c>
      <c r="B178" s="2" t="s">
        <v>43</v>
      </c>
      <c r="C178" s="3" t="s">
        <v>91</v>
      </c>
      <c r="D178" s="3">
        <v>2021</v>
      </c>
      <c r="E178" s="2" t="s">
        <v>12</v>
      </c>
      <c r="F178" s="2" t="s">
        <v>13</v>
      </c>
      <c r="G178" s="2" t="s">
        <v>14</v>
      </c>
      <c r="H178" s="4">
        <v>94367.33</v>
      </c>
      <c r="I178" s="3">
        <v>8</v>
      </c>
      <c r="J178" s="5" t="s">
        <v>32</v>
      </c>
    </row>
    <row r="179" spans="1:10" ht="23.4" x14ac:dyDescent="0.45">
      <c r="A179" s="1" t="s">
        <v>229</v>
      </c>
      <c r="B179" s="2" t="s">
        <v>70</v>
      </c>
      <c r="C179" s="3" t="s">
        <v>80</v>
      </c>
      <c r="D179" s="3">
        <v>2025</v>
      </c>
      <c r="E179" s="2" t="s">
        <v>31</v>
      </c>
      <c r="F179" s="2" t="s">
        <v>13</v>
      </c>
      <c r="G179" s="2" t="s">
        <v>14</v>
      </c>
      <c r="H179" s="4">
        <v>77094.759999999995</v>
      </c>
      <c r="I179" s="3">
        <v>6</v>
      </c>
      <c r="J179" s="5" t="s">
        <v>36</v>
      </c>
    </row>
    <row r="180" spans="1:10" ht="23.4" x14ac:dyDescent="0.45">
      <c r="A180" s="1" t="s">
        <v>230</v>
      </c>
      <c r="B180" s="2" t="s">
        <v>22</v>
      </c>
      <c r="C180" s="3" t="s">
        <v>105</v>
      </c>
      <c r="D180" s="3">
        <v>2020</v>
      </c>
      <c r="E180" s="2" t="s">
        <v>40</v>
      </c>
      <c r="F180" s="2" t="s">
        <v>13</v>
      </c>
      <c r="G180" s="2" t="s">
        <v>20</v>
      </c>
      <c r="H180" s="4">
        <v>43838.33</v>
      </c>
      <c r="I180" s="3">
        <v>5</v>
      </c>
      <c r="J180" s="5" t="s">
        <v>32</v>
      </c>
    </row>
    <row r="181" spans="1:10" ht="23.4" x14ac:dyDescent="0.45">
      <c r="A181" s="1" t="s">
        <v>231</v>
      </c>
      <c r="B181" s="2" t="s">
        <v>22</v>
      </c>
      <c r="C181" s="3" t="s">
        <v>105</v>
      </c>
      <c r="D181" s="3">
        <v>2025</v>
      </c>
      <c r="E181" s="2" t="s">
        <v>24</v>
      </c>
      <c r="F181" s="2" t="s">
        <v>19</v>
      </c>
      <c r="G181" s="2" t="s">
        <v>20</v>
      </c>
      <c r="H181" s="4">
        <v>15712.77</v>
      </c>
      <c r="I181" s="3">
        <v>19</v>
      </c>
      <c r="J181" s="5" t="s">
        <v>32</v>
      </c>
    </row>
    <row r="182" spans="1:10" ht="23.4" x14ac:dyDescent="0.45">
      <c r="A182" s="1" t="s">
        <v>232</v>
      </c>
      <c r="B182" s="2" t="s">
        <v>17</v>
      </c>
      <c r="C182" s="3" t="s">
        <v>46</v>
      </c>
      <c r="D182" s="3">
        <v>2018</v>
      </c>
      <c r="E182" s="2" t="s">
        <v>12</v>
      </c>
      <c r="F182" s="2" t="s">
        <v>28</v>
      </c>
      <c r="G182" s="2" t="s">
        <v>14</v>
      </c>
      <c r="H182" s="4">
        <v>19270.259999999998</v>
      </c>
      <c r="I182" s="3">
        <v>16</v>
      </c>
      <c r="J182" s="5" t="s">
        <v>32</v>
      </c>
    </row>
    <row r="183" spans="1:10" ht="23.4" x14ac:dyDescent="0.45">
      <c r="A183" s="1" t="s">
        <v>233</v>
      </c>
      <c r="B183" s="2" t="s">
        <v>70</v>
      </c>
      <c r="C183" s="3" t="s">
        <v>80</v>
      </c>
      <c r="D183" s="3">
        <v>2018</v>
      </c>
      <c r="E183" s="2" t="s">
        <v>48</v>
      </c>
      <c r="F183" s="2" t="s">
        <v>35</v>
      </c>
      <c r="G183" s="2" t="s">
        <v>20</v>
      </c>
      <c r="H183" s="4">
        <v>94592.91</v>
      </c>
      <c r="I183" s="3">
        <v>16</v>
      </c>
      <c r="J183" s="5" t="s">
        <v>15</v>
      </c>
    </row>
    <row r="184" spans="1:10" ht="23.4" x14ac:dyDescent="0.45">
      <c r="A184" s="1" t="s">
        <v>234</v>
      </c>
      <c r="B184" s="2" t="s">
        <v>38</v>
      </c>
      <c r="C184" s="3" t="s">
        <v>65</v>
      </c>
      <c r="D184" s="3">
        <v>2022</v>
      </c>
      <c r="E184" s="2" t="s">
        <v>12</v>
      </c>
      <c r="F184" s="2" t="s">
        <v>13</v>
      </c>
      <c r="G184" s="2" t="s">
        <v>14</v>
      </c>
      <c r="H184" s="4">
        <v>40162.15</v>
      </c>
      <c r="I184" s="3">
        <v>3</v>
      </c>
      <c r="J184" s="5" t="s">
        <v>15</v>
      </c>
    </row>
    <row r="185" spans="1:10" ht="23.4" x14ac:dyDescent="0.45">
      <c r="A185" s="1" t="s">
        <v>235</v>
      </c>
      <c r="B185" s="2" t="s">
        <v>70</v>
      </c>
      <c r="C185" s="3" t="s">
        <v>114</v>
      </c>
      <c r="D185" s="3">
        <v>2015</v>
      </c>
      <c r="E185" s="2" t="s">
        <v>31</v>
      </c>
      <c r="F185" s="2" t="s">
        <v>28</v>
      </c>
      <c r="G185" s="2" t="s">
        <v>14</v>
      </c>
      <c r="H185" s="4">
        <v>90025.63</v>
      </c>
      <c r="I185" s="3">
        <v>6</v>
      </c>
      <c r="J185" s="5" t="s">
        <v>36</v>
      </c>
    </row>
    <row r="186" spans="1:10" ht="23.4" x14ac:dyDescent="0.45">
      <c r="A186" s="1" t="s">
        <v>236</v>
      </c>
      <c r="B186" s="2" t="s">
        <v>26</v>
      </c>
      <c r="C186" s="3" t="s">
        <v>74</v>
      </c>
      <c r="D186" s="3">
        <v>2015</v>
      </c>
      <c r="E186" s="2" t="s">
        <v>40</v>
      </c>
      <c r="F186" s="2" t="s">
        <v>19</v>
      </c>
      <c r="G186" s="2" t="s">
        <v>14</v>
      </c>
      <c r="H186" s="4">
        <v>22264.62</v>
      </c>
      <c r="I186" s="3">
        <v>2</v>
      </c>
      <c r="J186" s="5" t="s">
        <v>15</v>
      </c>
    </row>
    <row r="187" spans="1:10" ht="23.4" x14ac:dyDescent="0.45">
      <c r="A187" s="1" t="s">
        <v>237</v>
      </c>
      <c r="B187" s="2" t="s">
        <v>43</v>
      </c>
      <c r="C187" s="3" t="s">
        <v>93</v>
      </c>
      <c r="D187" s="3">
        <v>2016</v>
      </c>
      <c r="E187" s="2" t="s">
        <v>48</v>
      </c>
      <c r="F187" s="2" t="s">
        <v>35</v>
      </c>
      <c r="G187" s="2" t="s">
        <v>14</v>
      </c>
      <c r="H187" s="4">
        <v>95629</v>
      </c>
      <c r="I187" s="3">
        <v>4</v>
      </c>
      <c r="J187" s="5" t="s">
        <v>15</v>
      </c>
    </row>
    <row r="188" spans="1:10" ht="23.4" x14ac:dyDescent="0.45">
      <c r="A188" s="1" t="s">
        <v>238</v>
      </c>
      <c r="B188" s="2" t="s">
        <v>26</v>
      </c>
      <c r="C188" s="3" t="s">
        <v>74</v>
      </c>
      <c r="D188" s="3">
        <v>2021</v>
      </c>
      <c r="E188" s="2" t="s">
        <v>55</v>
      </c>
      <c r="F188" s="2" t="s">
        <v>19</v>
      </c>
      <c r="G188" s="2" t="s">
        <v>14</v>
      </c>
      <c r="H188" s="4">
        <v>62336.26</v>
      </c>
      <c r="I188" s="3">
        <v>20</v>
      </c>
      <c r="J188" s="5" t="s">
        <v>32</v>
      </c>
    </row>
    <row r="189" spans="1:10" ht="23.4" x14ac:dyDescent="0.45">
      <c r="A189" s="1" t="s">
        <v>239</v>
      </c>
      <c r="B189" s="2" t="s">
        <v>10</v>
      </c>
      <c r="C189" s="3" t="s">
        <v>110</v>
      </c>
      <c r="D189" s="3">
        <v>2018</v>
      </c>
      <c r="E189" s="2" t="s">
        <v>12</v>
      </c>
      <c r="F189" s="2" t="s">
        <v>35</v>
      </c>
      <c r="G189" s="2" t="s">
        <v>14</v>
      </c>
      <c r="H189" s="4">
        <v>62762.83</v>
      </c>
      <c r="I189" s="3">
        <v>8</v>
      </c>
      <c r="J189" s="5" t="s">
        <v>36</v>
      </c>
    </row>
    <row r="190" spans="1:10" ht="23.4" x14ac:dyDescent="0.45">
      <c r="A190" s="1" t="s">
        <v>240</v>
      </c>
      <c r="B190" s="2" t="s">
        <v>43</v>
      </c>
      <c r="C190" s="3" t="s">
        <v>44</v>
      </c>
      <c r="D190" s="3">
        <v>2020</v>
      </c>
      <c r="E190" s="2" t="s">
        <v>24</v>
      </c>
      <c r="F190" s="2" t="s">
        <v>19</v>
      </c>
      <c r="G190" s="2" t="s">
        <v>20</v>
      </c>
      <c r="H190" s="4">
        <v>66184.259999999995</v>
      </c>
      <c r="I190" s="3">
        <v>9</v>
      </c>
      <c r="J190" s="5" t="s">
        <v>15</v>
      </c>
    </row>
    <row r="191" spans="1:10" ht="23.4" x14ac:dyDescent="0.45">
      <c r="A191" s="1" t="s">
        <v>241</v>
      </c>
      <c r="B191" s="2" t="s">
        <v>43</v>
      </c>
      <c r="C191" s="3" t="s">
        <v>91</v>
      </c>
      <c r="D191" s="3">
        <v>2023</v>
      </c>
      <c r="E191" s="2" t="s">
        <v>24</v>
      </c>
      <c r="F191" s="2" t="s">
        <v>13</v>
      </c>
      <c r="G191" s="2" t="s">
        <v>20</v>
      </c>
      <c r="H191" s="4">
        <v>42304.160000000003</v>
      </c>
      <c r="I191" s="3">
        <v>9</v>
      </c>
      <c r="J191" s="5" t="s">
        <v>32</v>
      </c>
    </row>
    <row r="192" spans="1:10" ht="23.4" x14ac:dyDescent="0.45">
      <c r="A192" s="1" t="s">
        <v>242</v>
      </c>
      <c r="B192" s="2" t="s">
        <v>22</v>
      </c>
      <c r="C192" s="3" t="s">
        <v>23</v>
      </c>
      <c r="D192" s="3">
        <v>2025</v>
      </c>
      <c r="E192" s="2" t="s">
        <v>40</v>
      </c>
      <c r="F192" s="2" t="s">
        <v>13</v>
      </c>
      <c r="G192" s="2" t="s">
        <v>20</v>
      </c>
      <c r="H192" s="4">
        <v>42582.85</v>
      </c>
      <c r="I192" s="3">
        <v>4</v>
      </c>
      <c r="J192" s="5" t="s">
        <v>15</v>
      </c>
    </row>
    <row r="193" spans="1:10" ht="23.4" x14ac:dyDescent="0.45">
      <c r="A193" s="1" t="s">
        <v>243</v>
      </c>
      <c r="B193" s="2" t="s">
        <v>22</v>
      </c>
      <c r="C193" s="3" t="s">
        <v>105</v>
      </c>
      <c r="D193" s="3">
        <v>2015</v>
      </c>
      <c r="E193" s="2" t="s">
        <v>40</v>
      </c>
      <c r="F193" s="2" t="s">
        <v>35</v>
      </c>
      <c r="G193" s="2" t="s">
        <v>20</v>
      </c>
      <c r="H193" s="4">
        <v>92711.05</v>
      </c>
      <c r="I193" s="3">
        <v>2</v>
      </c>
      <c r="J193" s="5" t="s">
        <v>36</v>
      </c>
    </row>
    <row r="194" spans="1:10" ht="23.4" x14ac:dyDescent="0.45">
      <c r="A194" s="1" t="s">
        <v>244</v>
      </c>
      <c r="B194" s="2" t="s">
        <v>10</v>
      </c>
      <c r="C194" s="3" t="s">
        <v>11</v>
      </c>
      <c r="D194" s="3">
        <v>2020</v>
      </c>
      <c r="E194" s="2" t="s">
        <v>55</v>
      </c>
      <c r="F194" s="2" t="s">
        <v>13</v>
      </c>
      <c r="G194" s="2" t="s">
        <v>20</v>
      </c>
      <c r="H194" s="4">
        <v>91143.29</v>
      </c>
      <c r="I194" s="3">
        <v>6</v>
      </c>
      <c r="J194" s="5" t="s">
        <v>15</v>
      </c>
    </row>
    <row r="195" spans="1:10" ht="23.4" x14ac:dyDescent="0.45">
      <c r="A195" s="1" t="s">
        <v>245</v>
      </c>
      <c r="B195" s="2" t="s">
        <v>43</v>
      </c>
      <c r="C195" s="3" t="s">
        <v>91</v>
      </c>
      <c r="D195" s="3">
        <v>2020</v>
      </c>
      <c r="E195" s="2" t="s">
        <v>12</v>
      </c>
      <c r="F195" s="2" t="s">
        <v>19</v>
      </c>
      <c r="G195" s="2" t="s">
        <v>20</v>
      </c>
      <c r="H195" s="4">
        <v>47141.16</v>
      </c>
      <c r="I195" s="3">
        <v>8</v>
      </c>
      <c r="J195" s="5" t="s">
        <v>32</v>
      </c>
    </row>
    <row r="196" spans="1:10" ht="23.4" x14ac:dyDescent="0.45">
      <c r="A196" s="1" t="s">
        <v>246</v>
      </c>
      <c r="B196" s="2" t="s">
        <v>17</v>
      </c>
      <c r="C196" s="3" t="s">
        <v>62</v>
      </c>
      <c r="D196" s="3">
        <v>2020</v>
      </c>
      <c r="E196" s="2" t="s">
        <v>40</v>
      </c>
      <c r="F196" s="2" t="s">
        <v>35</v>
      </c>
      <c r="G196" s="2" t="s">
        <v>20</v>
      </c>
      <c r="H196" s="4">
        <v>36871.75</v>
      </c>
      <c r="I196" s="3">
        <v>2</v>
      </c>
      <c r="J196" s="5" t="s">
        <v>15</v>
      </c>
    </row>
    <row r="197" spans="1:10" ht="23.4" x14ac:dyDescent="0.45">
      <c r="A197" s="1" t="s">
        <v>247</v>
      </c>
      <c r="B197" s="2" t="s">
        <v>26</v>
      </c>
      <c r="C197" s="3" t="s">
        <v>34</v>
      </c>
      <c r="D197" s="3">
        <v>2021</v>
      </c>
      <c r="E197" s="2" t="s">
        <v>12</v>
      </c>
      <c r="F197" s="2" t="s">
        <v>13</v>
      </c>
      <c r="G197" s="2" t="s">
        <v>14</v>
      </c>
      <c r="H197" s="4">
        <v>44101.03</v>
      </c>
      <c r="I197" s="3">
        <v>14</v>
      </c>
      <c r="J197" s="5" t="s">
        <v>15</v>
      </c>
    </row>
    <row r="198" spans="1:10" ht="23.4" x14ac:dyDescent="0.45">
      <c r="A198" s="1" t="s">
        <v>248</v>
      </c>
      <c r="B198" s="2" t="s">
        <v>10</v>
      </c>
      <c r="C198" s="3" t="s">
        <v>11</v>
      </c>
      <c r="D198" s="3">
        <v>2021</v>
      </c>
      <c r="E198" s="2" t="s">
        <v>55</v>
      </c>
      <c r="F198" s="2" t="s">
        <v>13</v>
      </c>
      <c r="G198" s="2" t="s">
        <v>14</v>
      </c>
      <c r="H198" s="4">
        <v>85571.95</v>
      </c>
      <c r="I198" s="3">
        <v>18</v>
      </c>
      <c r="J198" s="5" t="s">
        <v>15</v>
      </c>
    </row>
    <row r="199" spans="1:10" ht="23.4" x14ac:dyDescent="0.45">
      <c r="A199" s="1" t="s">
        <v>249</v>
      </c>
      <c r="B199" s="2" t="s">
        <v>17</v>
      </c>
      <c r="C199" s="3" t="s">
        <v>62</v>
      </c>
      <c r="D199" s="3">
        <v>2022</v>
      </c>
      <c r="E199" s="2" t="s">
        <v>31</v>
      </c>
      <c r="F199" s="2" t="s">
        <v>28</v>
      </c>
      <c r="G199" s="2" t="s">
        <v>14</v>
      </c>
      <c r="H199" s="4">
        <v>35439.69</v>
      </c>
      <c r="I199" s="3">
        <v>12</v>
      </c>
      <c r="J199" s="5" t="s">
        <v>15</v>
      </c>
    </row>
    <row r="200" spans="1:10" ht="23.4" x14ac:dyDescent="0.45">
      <c r="A200" s="1" t="s">
        <v>250</v>
      </c>
      <c r="B200" s="2" t="s">
        <v>26</v>
      </c>
      <c r="C200" s="3" t="s">
        <v>34</v>
      </c>
      <c r="D200" s="3">
        <v>2025</v>
      </c>
      <c r="E200" s="2" t="s">
        <v>48</v>
      </c>
      <c r="F200" s="2" t="s">
        <v>35</v>
      </c>
      <c r="G200" s="2" t="s">
        <v>20</v>
      </c>
      <c r="H200" s="4">
        <v>42536.49</v>
      </c>
      <c r="I200" s="3">
        <v>4</v>
      </c>
      <c r="J200" s="5" t="s">
        <v>36</v>
      </c>
    </row>
    <row r="201" spans="1:10" ht="23.4" x14ac:dyDescent="0.45">
      <c r="A201" s="1" t="s">
        <v>251</v>
      </c>
      <c r="B201" s="2" t="s">
        <v>10</v>
      </c>
      <c r="C201" s="3" t="s">
        <v>110</v>
      </c>
      <c r="D201" s="3">
        <v>2022</v>
      </c>
      <c r="E201" s="2" t="s">
        <v>40</v>
      </c>
      <c r="F201" s="2" t="s">
        <v>13</v>
      </c>
      <c r="G201" s="2" t="s">
        <v>20</v>
      </c>
      <c r="H201" s="4">
        <v>71249.59</v>
      </c>
      <c r="I201" s="3">
        <v>20</v>
      </c>
      <c r="J201" s="5" t="s">
        <v>15</v>
      </c>
    </row>
    <row r="202" spans="1:10" ht="23.4" x14ac:dyDescent="0.45">
      <c r="A202" s="1" t="s">
        <v>252</v>
      </c>
      <c r="B202" s="2" t="s">
        <v>10</v>
      </c>
      <c r="C202" s="3" t="s">
        <v>11</v>
      </c>
      <c r="D202" s="3">
        <v>2023</v>
      </c>
      <c r="E202" s="2" t="s">
        <v>12</v>
      </c>
      <c r="F202" s="2" t="s">
        <v>28</v>
      </c>
      <c r="G202" s="2" t="s">
        <v>14</v>
      </c>
      <c r="H202" s="4">
        <v>57000.19</v>
      </c>
      <c r="I202" s="3">
        <v>17</v>
      </c>
      <c r="J202" s="5" t="s">
        <v>15</v>
      </c>
    </row>
    <row r="203" spans="1:10" ht="23.4" x14ac:dyDescent="0.45">
      <c r="A203" s="1" t="s">
        <v>253</v>
      </c>
      <c r="B203" s="2" t="s">
        <v>38</v>
      </c>
      <c r="C203" s="3" t="s">
        <v>39</v>
      </c>
      <c r="D203" s="3">
        <v>2018</v>
      </c>
      <c r="E203" s="2" t="s">
        <v>24</v>
      </c>
      <c r="F203" s="2" t="s">
        <v>35</v>
      </c>
      <c r="G203" s="2" t="s">
        <v>14</v>
      </c>
      <c r="H203" s="4">
        <v>35182.93</v>
      </c>
      <c r="I203" s="3">
        <v>8</v>
      </c>
      <c r="J203" s="5" t="s">
        <v>36</v>
      </c>
    </row>
    <row r="204" spans="1:10" ht="23.4" x14ac:dyDescent="0.45">
      <c r="A204" s="1" t="s">
        <v>254</v>
      </c>
      <c r="B204" s="2" t="s">
        <v>70</v>
      </c>
      <c r="C204" s="3" t="s">
        <v>80</v>
      </c>
      <c r="D204" s="3">
        <v>2025</v>
      </c>
      <c r="E204" s="2" t="s">
        <v>48</v>
      </c>
      <c r="F204" s="2" t="s">
        <v>28</v>
      </c>
      <c r="G204" s="2" t="s">
        <v>20</v>
      </c>
      <c r="H204" s="4">
        <v>26695.21</v>
      </c>
      <c r="I204" s="3">
        <v>0</v>
      </c>
      <c r="J204" s="5" t="s">
        <v>32</v>
      </c>
    </row>
    <row r="205" spans="1:10" ht="23.4" x14ac:dyDescent="0.45">
      <c r="A205" s="1" t="s">
        <v>255</v>
      </c>
      <c r="B205" s="2" t="s">
        <v>17</v>
      </c>
      <c r="C205" s="3" t="s">
        <v>46</v>
      </c>
      <c r="D205" s="3">
        <v>2019</v>
      </c>
      <c r="E205" s="2" t="s">
        <v>24</v>
      </c>
      <c r="F205" s="2" t="s">
        <v>19</v>
      </c>
      <c r="G205" s="2" t="s">
        <v>20</v>
      </c>
      <c r="H205" s="4">
        <v>19232.38</v>
      </c>
      <c r="I205" s="3">
        <v>17</v>
      </c>
      <c r="J205" s="5" t="s">
        <v>32</v>
      </c>
    </row>
    <row r="206" spans="1:10" ht="23.4" x14ac:dyDescent="0.45">
      <c r="A206" s="1" t="s">
        <v>256</v>
      </c>
      <c r="B206" s="2" t="s">
        <v>38</v>
      </c>
      <c r="C206" s="3" t="s">
        <v>96</v>
      </c>
      <c r="D206" s="3">
        <v>2018</v>
      </c>
      <c r="E206" s="2" t="s">
        <v>55</v>
      </c>
      <c r="F206" s="2" t="s">
        <v>19</v>
      </c>
      <c r="G206" s="2" t="s">
        <v>20</v>
      </c>
      <c r="H206" s="4">
        <v>91063.54</v>
      </c>
      <c r="I206" s="3">
        <v>9</v>
      </c>
      <c r="J206" s="5" t="s">
        <v>36</v>
      </c>
    </row>
    <row r="207" spans="1:10" ht="23.4" x14ac:dyDescent="0.45">
      <c r="A207" s="1" t="s">
        <v>257</v>
      </c>
      <c r="B207" s="2" t="s">
        <v>70</v>
      </c>
      <c r="C207" s="3" t="s">
        <v>71</v>
      </c>
      <c r="D207" s="3">
        <v>2019</v>
      </c>
      <c r="E207" s="2" t="s">
        <v>55</v>
      </c>
      <c r="F207" s="2" t="s">
        <v>13</v>
      </c>
      <c r="G207" s="2" t="s">
        <v>20</v>
      </c>
      <c r="H207" s="4">
        <v>95801.7</v>
      </c>
      <c r="I207" s="3">
        <v>1</v>
      </c>
      <c r="J207" s="5" t="s">
        <v>32</v>
      </c>
    </row>
    <row r="208" spans="1:10" ht="23.4" x14ac:dyDescent="0.45">
      <c r="A208" s="1" t="s">
        <v>258</v>
      </c>
      <c r="B208" s="2" t="s">
        <v>22</v>
      </c>
      <c r="C208" s="3" t="s">
        <v>105</v>
      </c>
      <c r="D208" s="3">
        <v>2022</v>
      </c>
      <c r="E208" s="2" t="s">
        <v>12</v>
      </c>
      <c r="F208" s="2" t="s">
        <v>13</v>
      </c>
      <c r="G208" s="2" t="s">
        <v>20</v>
      </c>
      <c r="H208" s="4">
        <v>36900.28</v>
      </c>
      <c r="I208" s="3">
        <v>8</v>
      </c>
      <c r="J208" s="5" t="s">
        <v>15</v>
      </c>
    </row>
    <row r="209" spans="1:10" ht="23.4" x14ac:dyDescent="0.45">
      <c r="A209" s="1" t="s">
        <v>259</v>
      </c>
      <c r="B209" s="2" t="s">
        <v>43</v>
      </c>
      <c r="C209" s="3" t="s">
        <v>44</v>
      </c>
      <c r="D209" s="3">
        <v>2024</v>
      </c>
      <c r="E209" s="2" t="s">
        <v>24</v>
      </c>
      <c r="F209" s="2" t="s">
        <v>19</v>
      </c>
      <c r="G209" s="2" t="s">
        <v>14</v>
      </c>
      <c r="H209" s="4">
        <v>43449.599999999999</v>
      </c>
      <c r="I209" s="3">
        <v>12</v>
      </c>
      <c r="J209" s="5" t="s">
        <v>32</v>
      </c>
    </row>
    <row r="210" spans="1:10" ht="23.4" x14ac:dyDescent="0.45">
      <c r="A210" s="1" t="s">
        <v>260</v>
      </c>
      <c r="B210" s="2" t="s">
        <v>38</v>
      </c>
      <c r="C210" s="3" t="s">
        <v>96</v>
      </c>
      <c r="D210" s="3">
        <v>2023</v>
      </c>
      <c r="E210" s="2" t="s">
        <v>31</v>
      </c>
      <c r="F210" s="2" t="s">
        <v>19</v>
      </c>
      <c r="G210" s="2" t="s">
        <v>20</v>
      </c>
      <c r="H210" s="4">
        <v>49027.17</v>
      </c>
      <c r="I210" s="3">
        <v>20</v>
      </c>
      <c r="J210" s="5" t="s">
        <v>36</v>
      </c>
    </row>
    <row r="211" spans="1:10" ht="23.4" x14ac:dyDescent="0.45">
      <c r="A211" s="1" t="s">
        <v>261</v>
      </c>
      <c r="B211" s="2" t="s">
        <v>17</v>
      </c>
      <c r="C211" s="3" t="s">
        <v>46</v>
      </c>
      <c r="D211" s="3">
        <v>2016</v>
      </c>
      <c r="E211" s="2" t="s">
        <v>40</v>
      </c>
      <c r="F211" s="2" t="s">
        <v>19</v>
      </c>
      <c r="G211" s="2" t="s">
        <v>14</v>
      </c>
      <c r="H211" s="4">
        <v>74916.759999999995</v>
      </c>
      <c r="I211" s="3">
        <v>13</v>
      </c>
      <c r="J211" s="5" t="s">
        <v>15</v>
      </c>
    </row>
    <row r="212" spans="1:10" ht="23.4" x14ac:dyDescent="0.45">
      <c r="A212" s="1" t="s">
        <v>262</v>
      </c>
      <c r="B212" s="2" t="s">
        <v>10</v>
      </c>
      <c r="C212" s="3" t="s">
        <v>11</v>
      </c>
      <c r="D212" s="3">
        <v>2018</v>
      </c>
      <c r="E212" s="2" t="s">
        <v>55</v>
      </c>
      <c r="F212" s="2" t="s">
        <v>35</v>
      </c>
      <c r="G212" s="2" t="s">
        <v>14</v>
      </c>
      <c r="H212" s="4">
        <v>68207.89</v>
      </c>
      <c r="I212" s="3">
        <v>18</v>
      </c>
      <c r="J212" s="5" t="s">
        <v>36</v>
      </c>
    </row>
    <row r="213" spans="1:10" ht="23.4" x14ac:dyDescent="0.45">
      <c r="A213" s="1" t="s">
        <v>263</v>
      </c>
      <c r="B213" s="2" t="s">
        <v>70</v>
      </c>
      <c r="C213" s="3" t="s">
        <v>80</v>
      </c>
      <c r="D213" s="3">
        <v>2016</v>
      </c>
      <c r="E213" s="2" t="s">
        <v>48</v>
      </c>
      <c r="F213" s="2" t="s">
        <v>19</v>
      </c>
      <c r="G213" s="2" t="s">
        <v>14</v>
      </c>
      <c r="H213" s="4">
        <v>29137.93</v>
      </c>
      <c r="I213" s="3">
        <v>1</v>
      </c>
      <c r="J213" s="5" t="s">
        <v>15</v>
      </c>
    </row>
    <row r="214" spans="1:10" ht="23.4" x14ac:dyDescent="0.45">
      <c r="A214" s="1" t="s">
        <v>264</v>
      </c>
      <c r="B214" s="2" t="s">
        <v>10</v>
      </c>
      <c r="C214" s="3" t="s">
        <v>110</v>
      </c>
      <c r="D214" s="3">
        <v>2018</v>
      </c>
      <c r="E214" s="2" t="s">
        <v>12</v>
      </c>
      <c r="F214" s="2" t="s">
        <v>19</v>
      </c>
      <c r="G214" s="2" t="s">
        <v>14</v>
      </c>
      <c r="H214" s="4">
        <v>86747.54</v>
      </c>
      <c r="I214" s="3">
        <v>8</v>
      </c>
      <c r="J214" s="5" t="s">
        <v>15</v>
      </c>
    </row>
    <row r="215" spans="1:10" ht="23.4" x14ac:dyDescent="0.45">
      <c r="A215" s="1" t="s">
        <v>265</v>
      </c>
      <c r="B215" s="2" t="s">
        <v>10</v>
      </c>
      <c r="C215" s="3" t="s">
        <v>30</v>
      </c>
      <c r="D215" s="3">
        <v>2023</v>
      </c>
      <c r="E215" s="2" t="s">
        <v>55</v>
      </c>
      <c r="F215" s="2" t="s">
        <v>35</v>
      </c>
      <c r="G215" s="2" t="s">
        <v>14</v>
      </c>
      <c r="H215" s="4">
        <v>64961.25</v>
      </c>
      <c r="I215" s="3">
        <v>6</v>
      </c>
      <c r="J215" s="5" t="s">
        <v>36</v>
      </c>
    </row>
    <row r="216" spans="1:10" ht="23.4" x14ac:dyDescent="0.45">
      <c r="A216" s="1" t="s">
        <v>266</v>
      </c>
      <c r="B216" s="2" t="s">
        <v>70</v>
      </c>
      <c r="C216" s="3" t="s">
        <v>80</v>
      </c>
      <c r="D216" s="3">
        <v>2024</v>
      </c>
      <c r="E216" s="2" t="s">
        <v>48</v>
      </c>
      <c r="F216" s="2" t="s">
        <v>19</v>
      </c>
      <c r="G216" s="2" t="s">
        <v>20</v>
      </c>
      <c r="H216" s="4">
        <v>56252.800000000003</v>
      </c>
      <c r="I216" s="3">
        <v>20</v>
      </c>
      <c r="J216" s="5" t="s">
        <v>36</v>
      </c>
    </row>
    <row r="217" spans="1:10" ht="23.4" x14ac:dyDescent="0.45">
      <c r="A217" s="1" t="s">
        <v>267</v>
      </c>
      <c r="B217" s="2" t="s">
        <v>43</v>
      </c>
      <c r="C217" s="3" t="s">
        <v>91</v>
      </c>
      <c r="D217" s="3">
        <v>2025</v>
      </c>
      <c r="E217" s="2" t="s">
        <v>24</v>
      </c>
      <c r="F217" s="2" t="s">
        <v>28</v>
      </c>
      <c r="G217" s="2" t="s">
        <v>14</v>
      </c>
      <c r="H217" s="4">
        <v>66993.77</v>
      </c>
      <c r="I217" s="3">
        <v>20</v>
      </c>
      <c r="J217" s="5" t="s">
        <v>15</v>
      </c>
    </row>
    <row r="218" spans="1:10" ht="23.4" x14ac:dyDescent="0.45">
      <c r="A218" s="1" t="s">
        <v>268</v>
      </c>
      <c r="B218" s="2" t="s">
        <v>70</v>
      </c>
      <c r="C218" s="3" t="s">
        <v>114</v>
      </c>
      <c r="D218" s="3">
        <v>2025</v>
      </c>
      <c r="E218" s="2" t="s">
        <v>48</v>
      </c>
      <c r="F218" s="2" t="s">
        <v>19</v>
      </c>
      <c r="G218" s="2" t="s">
        <v>20</v>
      </c>
      <c r="H218" s="4">
        <v>54557.440000000002</v>
      </c>
      <c r="I218" s="3">
        <v>6</v>
      </c>
      <c r="J218" s="5" t="s">
        <v>32</v>
      </c>
    </row>
    <row r="219" spans="1:10" ht="23.4" x14ac:dyDescent="0.45">
      <c r="A219" s="1" t="s">
        <v>269</v>
      </c>
      <c r="B219" s="2" t="s">
        <v>70</v>
      </c>
      <c r="C219" s="3" t="s">
        <v>71</v>
      </c>
      <c r="D219" s="3">
        <v>2018</v>
      </c>
      <c r="E219" s="2" t="s">
        <v>24</v>
      </c>
      <c r="F219" s="2" t="s">
        <v>19</v>
      </c>
      <c r="G219" s="2" t="s">
        <v>14</v>
      </c>
      <c r="H219" s="4">
        <v>18998.57</v>
      </c>
      <c r="I219" s="3">
        <v>10</v>
      </c>
      <c r="J219" s="5" t="s">
        <v>15</v>
      </c>
    </row>
    <row r="220" spans="1:10" ht="23.4" x14ac:dyDescent="0.45">
      <c r="A220" s="1" t="s">
        <v>270</v>
      </c>
      <c r="B220" s="2" t="s">
        <v>38</v>
      </c>
      <c r="C220" s="3" t="s">
        <v>96</v>
      </c>
      <c r="D220" s="3">
        <v>2020</v>
      </c>
      <c r="E220" s="2" t="s">
        <v>12</v>
      </c>
      <c r="F220" s="2" t="s">
        <v>35</v>
      </c>
      <c r="G220" s="2" t="s">
        <v>14</v>
      </c>
      <c r="H220" s="4">
        <v>36444.239999999998</v>
      </c>
      <c r="I220" s="3">
        <v>2</v>
      </c>
      <c r="J220" s="5" t="s">
        <v>15</v>
      </c>
    </row>
    <row r="221" spans="1:10" ht="23.4" x14ac:dyDescent="0.45">
      <c r="A221" s="1" t="s">
        <v>271</v>
      </c>
      <c r="B221" s="2" t="s">
        <v>10</v>
      </c>
      <c r="C221" s="3" t="s">
        <v>11</v>
      </c>
      <c r="D221" s="3">
        <v>2021</v>
      </c>
      <c r="E221" s="2" t="s">
        <v>31</v>
      </c>
      <c r="F221" s="2" t="s">
        <v>13</v>
      </c>
      <c r="G221" s="2" t="s">
        <v>20</v>
      </c>
      <c r="H221" s="4">
        <v>27036.18</v>
      </c>
      <c r="I221" s="3">
        <v>0</v>
      </c>
      <c r="J221" s="5" t="s">
        <v>36</v>
      </c>
    </row>
    <row r="222" spans="1:10" ht="23.4" x14ac:dyDescent="0.45">
      <c r="A222" s="1" t="s">
        <v>272</v>
      </c>
      <c r="B222" s="2" t="s">
        <v>10</v>
      </c>
      <c r="C222" s="3" t="s">
        <v>11</v>
      </c>
      <c r="D222" s="3">
        <v>2016</v>
      </c>
      <c r="E222" s="2" t="s">
        <v>31</v>
      </c>
      <c r="F222" s="2" t="s">
        <v>35</v>
      </c>
      <c r="G222" s="2" t="s">
        <v>14</v>
      </c>
      <c r="H222" s="4">
        <v>32320.79</v>
      </c>
      <c r="I222" s="3">
        <v>14</v>
      </c>
      <c r="J222" s="5" t="s">
        <v>36</v>
      </c>
    </row>
    <row r="223" spans="1:10" ht="23.4" x14ac:dyDescent="0.45">
      <c r="A223" s="1" t="s">
        <v>273</v>
      </c>
      <c r="B223" s="2" t="s">
        <v>17</v>
      </c>
      <c r="C223" s="3" t="s">
        <v>46</v>
      </c>
      <c r="D223" s="3">
        <v>2020</v>
      </c>
      <c r="E223" s="2" t="s">
        <v>12</v>
      </c>
      <c r="F223" s="2" t="s">
        <v>35</v>
      </c>
      <c r="G223" s="2" t="s">
        <v>14</v>
      </c>
      <c r="H223" s="4">
        <v>35547.410000000003</v>
      </c>
      <c r="I223" s="3">
        <v>0</v>
      </c>
      <c r="J223" s="5" t="s">
        <v>15</v>
      </c>
    </row>
    <row r="224" spans="1:10" ht="23.4" x14ac:dyDescent="0.45">
      <c r="A224" s="1" t="s">
        <v>274</v>
      </c>
      <c r="B224" s="2" t="s">
        <v>17</v>
      </c>
      <c r="C224" s="3" t="s">
        <v>46</v>
      </c>
      <c r="D224" s="3">
        <v>2020</v>
      </c>
      <c r="E224" s="2" t="s">
        <v>31</v>
      </c>
      <c r="F224" s="2" t="s">
        <v>13</v>
      </c>
      <c r="G224" s="2" t="s">
        <v>20</v>
      </c>
      <c r="H224" s="4">
        <v>66030.95</v>
      </c>
      <c r="I224" s="3">
        <v>5</v>
      </c>
      <c r="J224" s="5" t="s">
        <v>32</v>
      </c>
    </row>
    <row r="225" spans="1:10" ht="23.4" x14ac:dyDescent="0.45">
      <c r="A225" s="1" t="s">
        <v>275</v>
      </c>
      <c r="B225" s="2" t="s">
        <v>43</v>
      </c>
      <c r="C225" s="3" t="s">
        <v>91</v>
      </c>
      <c r="D225" s="3">
        <v>2022</v>
      </c>
      <c r="E225" s="2" t="s">
        <v>55</v>
      </c>
      <c r="F225" s="2" t="s">
        <v>19</v>
      </c>
      <c r="G225" s="2" t="s">
        <v>20</v>
      </c>
      <c r="H225" s="4">
        <v>17316.68</v>
      </c>
      <c r="I225" s="3">
        <v>19</v>
      </c>
      <c r="J225" s="5" t="s">
        <v>15</v>
      </c>
    </row>
    <row r="226" spans="1:10" ht="23.4" x14ac:dyDescent="0.45">
      <c r="A226" s="1" t="s">
        <v>276</v>
      </c>
      <c r="B226" s="2" t="s">
        <v>17</v>
      </c>
      <c r="C226" s="3" t="s">
        <v>46</v>
      </c>
      <c r="D226" s="3">
        <v>2019</v>
      </c>
      <c r="E226" s="2" t="s">
        <v>24</v>
      </c>
      <c r="F226" s="2" t="s">
        <v>13</v>
      </c>
      <c r="G226" s="2" t="s">
        <v>14</v>
      </c>
      <c r="H226" s="4">
        <v>30317.47</v>
      </c>
      <c r="I226" s="3">
        <v>18</v>
      </c>
      <c r="J226" s="5" t="s">
        <v>36</v>
      </c>
    </row>
    <row r="227" spans="1:10" ht="23.4" x14ac:dyDescent="0.45">
      <c r="A227" s="1" t="s">
        <v>277</v>
      </c>
      <c r="B227" s="2" t="s">
        <v>38</v>
      </c>
      <c r="C227" s="3" t="s">
        <v>96</v>
      </c>
      <c r="D227" s="3">
        <v>2016</v>
      </c>
      <c r="E227" s="2" t="s">
        <v>31</v>
      </c>
      <c r="F227" s="2" t="s">
        <v>35</v>
      </c>
      <c r="G227" s="2" t="s">
        <v>20</v>
      </c>
      <c r="H227" s="4">
        <v>73197.25</v>
      </c>
      <c r="I227" s="3">
        <v>6</v>
      </c>
      <c r="J227" s="5" t="s">
        <v>15</v>
      </c>
    </row>
    <row r="228" spans="1:10" ht="23.4" x14ac:dyDescent="0.45">
      <c r="A228" s="1" t="s">
        <v>278</v>
      </c>
      <c r="B228" s="2" t="s">
        <v>43</v>
      </c>
      <c r="C228" s="3" t="s">
        <v>44</v>
      </c>
      <c r="D228" s="3">
        <v>2015</v>
      </c>
      <c r="E228" s="2" t="s">
        <v>31</v>
      </c>
      <c r="F228" s="2" t="s">
        <v>28</v>
      </c>
      <c r="G228" s="2" t="s">
        <v>14</v>
      </c>
      <c r="H228" s="4">
        <v>33511.99</v>
      </c>
      <c r="I228" s="3">
        <v>10</v>
      </c>
      <c r="J228" s="5" t="s">
        <v>32</v>
      </c>
    </row>
    <row r="229" spans="1:10" ht="23.4" x14ac:dyDescent="0.45">
      <c r="A229" s="1" t="s">
        <v>279</v>
      </c>
      <c r="B229" s="2" t="s">
        <v>10</v>
      </c>
      <c r="C229" s="3" t="s">
        <v>110</v>
      </c>
      <c r="D229" s="3">
        <v>2021</v>
      </c>
      <c r="E229" s="2" t="s">
        <v>40</v>
      </c>
      <c r="F229" s="2" t="s">
        <v>13</v>
      </c>
      <c r="G229" s="2" t="s">
        <v>20</v>
      </c>
      <c r="H229" s="4">
        <v>80597.19</v>
      </c>
      <c r="I229" s="3">
        <v>0</v>
      </c>
      <c r="J229" s="5" t="s">
        <v>36</v>
      </c>
    </row>
    <row r="230" spans="1:10" ht="23.4" x14ac:dyDescent="0.45">
      <c r="A230" s="1" t="s">
        <v>280</v>
      </c>
      <c r="B230" s="2" t="s">
        <v>70</v>
      </c>
      <c r="C230" s="3" t="s">
        <v>80</v>
      </c>
      <c r="D230" s="3">
        <v>2022</v>
      </c>
      <c r="E230" s="2" t="s">
        <v>55</v>
      </c>
      <c r="F230" s="2" t="s">
        <v>13</v>
      </c>
      <c r="G230" s="2" t="s">
        <v>20</v>
      </c>
      <c r="H230" s="4">
        <v>49689.9</v>
      </c>
      <c r="I230" s="3">
        <v>18</v>
      </c>
      <c r="J230" s="5" t="s">
        <v>15</v>
      </c>
    </row>
    <row r="231" spans="1:10" ht="23.4" x14ac:dyDescent="0.45">
      <c r="A231" s="1" t="s">
        <v>281</v>
      </c>
      <c r="B231" s="2" t="s">
        <v>43</v>
      </c>
      <c r="C231" s="3" t="s">
        <v>44</v>
      </c>
      <c r="D231" s="3">
        <v>2016</v>
      </c>
      <c r="E231" s="2" t="s">
        <v>24</v>
      </c>
      <c r="F231" s="2" t="s">
        <v>28</v>
      </c>
      <c r="G231" s="2" t="s">
        <v>14</v>
      </c>
      <c r="H231" s="4">
        <v>75684.259999999995</v>
      </c>
      <c r="I231" s="3">
        <v>17</v>
      </c>
      <c r="J231" s="5" t="s">
        <v>32</v>
      </c>
    </row>
    <row r="232" spans="1:10" ht="23.4" x14ac:dyDescent="0.45">
      <c r="A232" s="1" t="s">
        <v>282</v>
      </c>
      <c r="B232" s="2" t="s">
        <v>10</v>
      </c>
      <c r="C232" s="3" t="s">
        <v>11</v>
      </c>
      <c r="D232" s="3">
        <v>2024</v>
      </c>
      <c r="E232" s="2" t="s">
        <v>31</v>
      </c>
      <c r="F232" s="2" t="s">
        <v>13</v>
      </c>
      <c r="G232" s="2" t="s">
        <v>20</v>
      </c>
      <c r="H232" s="4">
        <v>41318.81</v>
      </c>
      <c r="I232" s="3">
        <v>17</v>
      </c>
      <c r="J232" s="5" t="s">
        <v>15</v>
      </c>
    </row>
    <row r="233" spans="1:10" ht="23.4" x14ac:dyDescent="0.45">
      <c r="A233" s="1" t="s">
        <v>283</v>
      </c>
      <c r="B233" s="2" t="s">
        <v>38</v>
      </c>
      <c r="C233" s="3" t="s">
        <v>96</v>
      </c>
      <c r="D233" s="3">
        <v>2018</v>
      </c>
      <c r="E233" s="2" t="s">
        <v>40</v>
      </c>
      <c r="F233" s="2" t="s">
        <v>35</v>
      </c>
      <c r="G233" s="2" t="s">
        <v>14</v>
      </c>
      <c r="H233" s="4">
        <v>93984.87</v>
      </c>
      <c r="I233" s="3">
        <v>17</v>
      </c>
      <c r="J233" s="5" t="s">
        <v>32</v>
      </c>
    </row>
    <row r="234" spans="1:10" ht="23.4" x14ac:dyDescent="0.45">
      <c r="A234" s="1" t="s">
        <v>284</v>
      </c>
      <c r="B234" s="2" t="s">
        <v>10</v>
      </c>
      <c r="C234" s="3" t="s">
        <v>110</v>
      </c>
      <c r="D234" s="3">
        <v>2016</v>
      </c>
      <c r="E234" s="2" t="s">
        <v>24</v>
      </c>
      <c r="F234" s="2" t="s">
        <v>19</v>
      </c>
      <c r="G234" s="2" t="s">
        <v>14</v>
      </c>
      <c r="H234" s="4">
        <v>34356.67</v>
      </c>
      <c r="I234" s="3">
        <v>15</v>
      </c>
      <c r="J234" s="5" t="s">
        <v>15</v>
      </c>
    </row>
    <row r="235" spans="1:10" ht="23.4" x14ac:dyDescent="0.45">
      <c r="A235" s="1" t="s">
        <v>285</v>
      </c>
      <c r="B235" s="2" t="s">
        <v>22</v>
      </c>
      <c r="C235" s="3" t="s">
        <v>23</v>
      </c>
      <c r="D235" s="3">
        <v>2022</v>
      </c>
      <c r="E235" s="2" t="s">
        <v>40</v>
      </c>
      <c r="F235" s="2" t="s">
        <v>35</v>
      </c>
      <c r="G235" s="2" t="s">
        <v>14</v>
      </c>
      <c r="H235" s="4">
        <v>78320.67</v>
      </c>
      <c r="I235" s="3">
        <v>11</v>
      </c>
      <c r="J235" s="5" t="s">
        <v>15</v>
      </c>
    </row>
    <row r="236" spans="1:10" ht="23.4" x14ac:dyDescent="0.45">
      <c r="A236" s="1" t="s">
        <v>286</v>
      </c>
      <c r="B236" s="2" t="s">
        <v>70</v>
      </c>
      <c r="C236" s="3" t="s">
        <v>114</v>
      </c>
      <c r="D236" s="3">
        <v>2024</v>
      </c>
      <c r="E236" s="2" t="s">
        <v>48</v>
      </c>
      <c r="F236" s="2" t="s">
        <v>13</v>
      </c>
      <c r="G236" s="2" t="s">
        <v>14</v>
      </c>
      <c r="H236" s="4">
        <v>40425.82</v>
      </c>
      <c r="I236" s="3">
        <v>2</v>
      </c>
      <c r="J236" s="5" t="s">
        <v>36</v>
      </c>
    </row>
    <row r="237" spans="1:10" ht="23.4" x14ac:dyDescent="0.45">
      <c r="A237" s="1" t="s">
        <v>287</v>
      </c>
      <c r="B237" s="2" t="s">
        <v>38</v>
      </c>
      <c r="C237" s="3" t="s">
        <v>96</v>
      </c>
      <c r="D237" s="3">
        <v>2019</v>
      </c>
      <c r="E237" s="2" t="s">
        <v>48</v>
      </c>
      <c r="F237" s="2" t="s">
        <v>19</v>
      </c>
      <c r="G237" s="2" t="s">
        <v>20</v>
      </c>
      <c r="H237" s="4">
        <v>99664.31</v>
      </c>
      <c r="I237" s="3">
        <v>14</v>
      </c>
      <c r="J237" s="5" t="s">
        <v>36</v>
      </c>
    </row>
    <row r="238" spans="1:10" ht="23.4" x14ac:dyDescent="0.45">
      <c r="A238" s="1" t="s">
        <v>288</v>
      </c>
      <c r="B238" s="2" t="s">
        <v>38</v>
      </c>
      <c r="C238" s="3" t="s">
        <v>96</v>
      </c>
      <c r="D238" s="3">
        <v>2018</v>
      </c>
      <c r="E238" s="2" t="s">
        <v>24</v>
      </c>
      <c r="F238" s="2" t="s">
        <v>28</v>
      </c>
      <c r="G238" s="2" t="s">
        <v>20</v>
      </c>
      <c r="H238" s="4">
        <v>92692.93</v>
      </c>
      <c r="I238" s="3">
        <v>6</v>
      </c>
      <c r="J238" s="5" t="s">
        <v>32</v>
      </c>
    </row>
    <row r="239" spans="1:10" ht="23.4" x14ac:dyDescent="0.45">
      <c r="A239" s="1" t="s">
        <v>289</v>
      </c>
      <c r="B239" s="2" t="s">
        <v>43</v>
      </c>
      <c r="C239" s="3" t="s">
        <v>91</v>
      </c>
      <c r="D239" s="3">
        <v>2022</v>
      </c>
      <c r="E239" s="2" t="s">
        <v>40</v>
      </c>
      <c r="F239" s="2" t="s">
        <v>19</v>
      </c>
      <c r="G239" s="2" t="s">
        <v>14</v>
      </c>
      <c r="H239" s="4">
        <v>23452.33</v>
      </c>
      <c r="I239" s="3">
        <v>16</v>
      </c>
      <c r="J239" s="5" t="s">
        <v>15</v>
      </c>
    </row>
    <row r="240" spans="1:10" ht="23.4" x14ac:dyDescent="0.45">
      <c r="A240" s="1" t="s">
        <v>290</v>
      </c>
      <c r="B240" s="2" t="s">
        <v>10</v>
      </c>
      <c r="C240" s="3" t="s">
        <v>11</v>
      </c>
      <c r="D240" s="3">
        <v>2019</v>
      </c>
      <c r="E240" s="2" t="s">
        <v>24</v>
      </c>
      <c r="F240" s="2" t="s">
        <v>19</v>
      </c>
      <c r="G240" s="2" t="s">
        <v>14</v>
      </c>
      <c r="H240" s="4">
        <v>84197.99</v>
      </c>
      <c r="I240" s="3">
        <v>14</v>
      </c>
      <c r="J240" s="5" t="s">
        <v>15</v>
      </c>
    </row>
    <row r="241" spans="1:10" ht="23.4" x14ac:dyDescent="0.45">
      <c r="A241" s="1" t="s">
        <v>291</v>
      </c>
      <c r="B241" s="2" t="s">
        <v>43</v>
      </c>
      <c r="C241" s="3" t="s">
        <v>91</v>
      </c>
      <c r="D241" s="3">
        <v>2025</v>
      </c>
      <c r="E241" s="2" t="s">
        <v>48</v>
      </c>
      <c r="F241" s="2" t="s">
        <v>19</v>
      </c>
      <c r="G241" s="2" t="s">
        <v>20</v>
      </c>
      <c r="H241" s="4">
        <v>56336.78</v>
      </c>
      <c r="I241" s="3">
        <v>0</v>
      </c>
      <c r="J241" s="5" t="s">
        <v>36</v>
      </c>
    </row>
    <row r="242" spans="1:10" ht="23.4" x14ac:dyDescent="0.45">
      <c r="A242" s="1" t="s">
        <v>292</v>
      </c>
      <c r="B242" s="2" t="s">
        <v>10</v>
      </c>
      <c r="C242" s="3" t="s">
        <v>30</v>
      </c>
      <c r="D242" s="3">
        <v>2018</v>
      </c>
      <c r="E242" s="2" t="s">
        <v>12</v>
      </c>
      <c r="F242" s="2" t="s">
        <v>28</v>
      </c>
      <c r="G242" s="2" t="s">
        <v>14</v>
      </c>
      <c r="H242" s="4">
        <v>48576.42</v>
      </c>
      <c r="I242" s="3">
        <v>10</v>
      </c>
      <c r="J242" s="5" t="s">
        <v>15</v>
      </c>
    </row>
    <row r="243" spans="1:10" ht="23.4" x14ac:dyDescent="0.45">
      <c r="A243" s="1" t="s">
        <v>293</v>
      </c>
      <c r="B243" s="2" t="s">
        <v>17</v>
      </c>
      <c r="C243" s="3" t="s">
        <v>62</v>
      </c>
      <c r="D243" s="3">
        <v>2018</v>
      </c>
      <c r="E243" s="2" t="s">
        <v>12</v>
      </c>
      <c r="F243" s="2" t="s">
        <v>13</v>
      </c>
      <c r="G243" s="2" t="s">
        <v>14</v>
      </c>
      <c r="H243" s="4">
        <v>68211.039999999994</v>
      </c>
      <c r="I243" s="3">
        <v>0</v>
      </c>
      <c r="J243" s="5" t="s">
        <v>15</v>
      </c>
    </row>
    <row r="244" spans="1:10" ht="23.4" x14ac:dyDescent="0.45">
      <c r="A244" s="1" t="s">
        <v>294</v>
      </c>
      <c r="B244" s="2" t="s">
        <v>17</v>
      </c>
      <c r="C244" s="3" t="s">
        <v>46</v>
      </c>
      <c r="D244" s="3">
        <v>2018</v>
      </c>
      <c r="E244" s="2" t="s">
        <v>48</v>
      </c>
      <c r="F244" s="2" t="s">
        <v>28</v>
      </c>
      <c r="G244" s="2" t="s">
        <v>14</v>
      </c>
      <c r="H244" s="4">
        <v>63692.99</v>
      </c>
      <c r="I244" s="3">
        <v>3</v>
      </c>
      <c r="J244" s="5" t="s">
        <v>32</v>
      </c>
    </row>
    <row r="245" spans="1:10" ht="23.4" x14ac:dyDescent="0.45">
      <c r="A245" s="1" t="s">
        <v>295</v>
      </c>
      <c r="B245" s="2" t="s">
        <v>17</v>
      </c>
      <c r="C245" s="3" t="s">
        <v>62</v>
      </c>
      <c r="D245" s="3">
        <v>2025</v>
      </c>
      <c r="E245" s="2" t="s">
        <v>24</v>
      </c>
      <c r="F245" s="2" t="s">
        <v>28</v>
      </c>
      <c r="G245" s="2" t="s">
        <v>20</v>
      </c>
      <c r="H245" s="4">
        <v>67286.720000000001</v>
      </c>
      <c r="I245" s="3">
        <v>4</v>
      </c>
      <c r="J245" s="5" t="s">
        <v>15</v>
      </c>
    </row>
    <row r="246" spans="1:10" ht="23.4" x14ac:dyDescent="0.45">
      <c r="A246" s="1" t="s">
        <v>296</v>
      </c>
      <c r="B246" s="2" t="s">
        <v>38</v>
      </c>
      <c r="C246" s="3" t="s">
        <v>65</v>
      </c>
      <c r="D246" s="3">
        <v>2021</v>
      </c>
      <c r="E246" s="2" t="s">
        <v>55</v>
      </c>
      <c r="F246" s="2" t="s">
        <v>35</v>
      </c>
      <c r="G246" s="2" t="s">
        <v>14</v>
      </c>
      <c r="H246" s="4">
        <v>59861.26</v>
      </c>
      <c r="I246" s="3">
        <v>16</v>
      </c>
      <c r="J246" s="5" t="s">
        <v>15</v>
      </c>
    </row>
    <row r="247" spans="1:10" ht="23.4" x14ac:dyDescent="0.45">
      <c r="A247" s="1" t="s">
        <v>297</v>
      </c>
      <c r="B247" s="2" t="s">
        <v>38</v>
      </c>
      <c r="C247" s="3" t="s">
        <v>39</v>
      </c>
      <c r="D247" s="3">
        <v>2015</v>
      </c>
      <c r="E247" s="2" t="s">
        <v>55</v>
      </c>
      <c r="F247" s="2" t="s">
        <v>28</v>
      </c>
      <c r="G247" s="2" t="s">
        <v>20</v>
      </c>
      <c r="H247" s="4">
        <v>70409.5</v>
      </c>
      <c r="I247" s="3">
        <v>20</v>
      </c>
      <c r="J247" s="5" t="s">
        <v>15</v>
      </c>
    </row>
    <row r="248" spans="1:10" ht="23.4" x14ac:dyDescent="0.45">
      <c r="A248" s="1" t="s">
        <v>298</v>
      </c>
      <c r="B248" s="2" t="s">
        <v>38</v>
      </c>
      <c r="C248" s="3" t="s">
        <v>96</v>
      </c>
      <c r="D248" s="3">
        <v>2022</v>
      </c>
      <c r="E248" s="2" t="s">
        <v>24</v>
      </c>
      <c r="F248" s="2" t="s">
        <v>13</v>
      </c>
      <c r="G248" s="2" t="s">
        <v>14</v>
      </c>
      <c r="H248" s="4">
        <v>45148.19</v>
      </c>
      <c r="I248" s="3">
        <v>2</v>
      </c>
      <c r="J248" s="5" t="s">
        <v>15</v>
      </c>
    </row>
    <row r="249" spans="1:10" ht="23.4" x14ac:dyDescent="0.45">
      <c r="A249" s="1" t="s">
        <v>299</v>
      </c>
      <c r="B249" s="2" t="s">
        <v>22</v>
      </c>
      <c r="C249" s="3" t="s">
        <v>23</v>
      </c>
      <c r="D249" s="3">
        <v>2016</v>
      </c>
      <c r="E249" s="2" t="s">
        <v>40</v>
      </c>
      <c r="F249" s="2" t="s">
        <v>28</v>
      </c>
      <c r="G249" s="2" t="s">
        <v>20</v>
      </c>
      <c r="H249" s="4">
        <v>72386.63</v>
      </c>
      <c r="I249" s="3">
        <v>14</v>
      </c>
      <c r="J249" s="5" t="s">
        <v>32</v>
      </c>
    </row>
    <row r="250" spans="1:10" ht="23.4" x14ac:dyDescent="0.45">
      <c r="A250" s="1" t="s">
        <v>300</v>
      </c>
      <c r="B250" s="2" t="s">
        <v>26</v>
      </c>
      <c r="C250" s="3" t="s">
        <v>74</v>
      </c>
      <c r="D250" s="3">
        <v>2021</v>
      </c>
      <c r="E250" s="2" t="s">
        <v>31</v>
      </c>
      <c r="F250" s="2" t="s">
        <v>13</v>
      </c>
      <c r="G250" s="2" t="s">
        <v>20</v>
      </c>
      <c r="H250" s="4">
        <v>65306.64</v>
      </c>
      <c r="I250" s="3">
        <v>16</v>
      </c>
      <c r="J250" s="5" t="s">
        <v>15</v>
      </c>
    </row>
    <row r="251" spans="1:10" ht="23.4" x14ac:dyDescent="0.45">
      <c r="A251" s="1" t="s">
        <v>301</v>
      </c>
      <c r="B251" s="2" t="s">
        <v>22</v>
      </c>
      <c r="C251" s="3" t="s">
        <v>23</v>
      </c>
      <c r="D251" s="3">
        <v>2020</v>
      </c>
      <c r="E251" s="2" t="s">
        <v>40</v>
      </c>
      <c r="F251" s="2" t="s">
        <v>35</v>
      </c>
      <c r="G251" s="2" t="s">
        <v>14</v>
      </c>
      <c r="H251" s="4">
        <v>80442.75</v>
      </c>
      <c r="I251" s="3">
        <v>12</v>
      </c>
      <c r="J251" s="5" t="s">
        <v>15</v>
      </c>
    </row>
    <row r="252" spans="1:10" ht="23.4" x14ac:dyDescent="0.45">
      <c r="A252" s="1" t="s">
        <v>302</v>
      </c>
      <c r="B252" s="2" t="s">
        <v>26</v>
      </c>
      <c r="C252" s="3" t="s">
        <v>27</v>
      </c>
      <c r="D252" s="3">
        <v>2017</v>
      </c>
      <c r="E252" s="2" t="s">
        <v>12</v>
      </c>
      <c r="F252" s="2" t="s">
        <v>28</v>
      </c>
      <c r="G252" s="2" t="s">
        <v>20</v>
      </c>
      <c r="H252" s="4">
        <v>77125.679999999993</v>
      </c>
      <c r="I252" s="3">
        <v>5</v>
      </c>
      <c r="J252" s="5" t="s">
        <v>15</v>
      </c>
    </row>
    <row r="253" spans="1:10" ht="23.4" x14ac:dyDescent="0.45">
      <c r="A253" s="1" t="s">
        <v>303</v>
      </c>
      <c r="B253" s="2" t="s">
        <v>70</v>
      </c>
      <c r="C253" s="3" t="s">
        <v>114</v>
      </c>
      <c r="D253" s="3">
        <v>2015</v>
      </c>
      <c r="E253" s="2" t="s">
        <v>24</v>
      </c>
      <c r="F253" s="2" t="s">
        <v>19</v>
      </c>
      <c r="G253" s="2" t="s">
        <v>20</v>
      </c>
      <c r="H253" s="4">
        <v>65579.25</v>
      </c>
      <c r="I253" s="3">
        <v>4</v>
      </c>
      <c r="J253" s="5" t="s">
        <v>15</v>
      </c>
    </row>
    <row r="254" spans="1:10" ht="23.4" x14ac:dyDescent="0.45">
      <c r="A254" s="1" t="s">
        <v>304</v>
      </c>
      <c r="B254" s="2" t="s">
        <v>22</v>
      </c>
      <c r="C254" s="3" t="s">
        <v>105</v>
      </c>
      <c r="D254" s="3">
        <v>2023</v>
      </c>
      <c r="E254" s="2" t="s">
        <v>12</v>
      </c>
      <c r="F254" s="2" t="s">
        <v>13</v>
      </c>
      <c r="G254" s="2" t="s">
        <v>14</v>
      </c>
      <c r="H254" s="4">
        <v>40904.29</v>
      </c>
      <c r="I254" s="3">
        <v>14</v>
      </c>
      <c r="J254" s="5" t="s">
        <v>32</v>
      </c>
    </row>
    <row r="255" spans="1:10" ht="23.4" x14ac:dyDescent="0.45">
      <c r="A255" s="1" t="s">
        <v>305</v>
      </c>
      <c r="B255" s="2" t="s">
        <v>43</v>
      </c>
      <c r="C255" s="3" t="s">
        <v>93</v>
      </c>
      <c r="D255" s="3">
        <v>2025</v>
      </c>
      <c r="E255" s="2" t="s">
        <v>24</v>
      </c>
      <c r="F255" s="2" t="s">
        <v>35</v>
      </c>
      <c r="G255" s="2" t="s">
        <v>14</v>
      </c>
      <c r="H255" s="4">
        <v>34442.589999999997</v>
      </c>
      <c r="I255" s="3">
        <v>10</v>
      </c>
      <c r="J255" s="5" t="s">
        <v>32</v>
      </c>
    </row>
    <row r="256" spans="1:10" ht="23.4" x14ac:dyDescent="0.45">
      <c r="A256" s="1" t="s">
        <v>306</v>
      </c>
      <c r="B256" s="2" t="s">
        <v>43</v>
      </c>
      <c r="C256" s="3" t="s">
        <v>91</v>
      </c>
      <c r="D256" s="3">
        <v>2025</v>
      </c>
      <c r="E256" s="2" t="s">
        <v>55</v>
      </c>
      <c r="F256" s="2" t="s">
        <v>13</v>
      </c>
      <c r="G256" s="2" t="s">
        <v>14</v>
      </c>
      <c r="H256" s="4">
        <v>16073.13</v>
      </c>
      <c r="I256" s="3">
        <v>0</v>
      </c>
      <c r="J256" s="5" t="s">
        <v>32</v>
      </c>
    </row>
    <row r="257" spans="1:10" ht="23.4" x14ac:dyDescent="0.45">
      <c r="A257" s="1" t="s">
        <v>307</v>
      </c>
      <c r="B257" s="2" t="s">
        <v>22</v>
      </c>
      <c r="C257" s="3" t="s">
        <v>23</v>
      </c>
      <c r="D257" s="3">
        <v>2019</v>
      </c>
      <c r="E257" s="2" t="s">
        <v>40</v>
      </c>
      <c r="F257" s="2" t="s">
        <v>35</v>
      </c>
      <c r="G257" s="2" t="s">
        <v>20</v>
      </c>
      <c r="H257" s="4">
        <v>69403.31</v>
      </c>
      <c r="I257" s="3">
        <v>19</v>
      </c>
      <c r="J257" s="5" t="s">
        <v>15</v>
      </c>
    </row>
    <row r="258" spans="1:10" ht="23.4" x14ac:dyDescent="0.45">
      <c r="A258" s="1" t="s">
        <v>308</v>
      </c>
      <c r="B258" s="2" t="s">
        <v>43</v>
      </c>
      <c r="C258" s="3" t="s">
        <v>44</v>
      </c>
      <c r="D258" s="3">
        <v>2024</v>
      </c>
      <c r="E258" s="2" t="s">
        <v>24</v>
      </c>
      <c r="F258" s="2" t="s">
        <v>35</v>
      </c>
      <c r="G258" s="2" t="s">
        <v>20</v>
      </c>
      <c r="H258" s="4">
        <v>36852.07</v>
      </c>
      <c r="I258" s="3">
        <v>3</v>
      </c>
      <c r="J258" s="5" t="s">
        <v>36</v>
      </c>
    </row>
    <row r="259" spans="1:10" ht="23.4" x14ac:dyDescent="0.45">
      <c r="A259" s="1" t="s">
        <v>309</v>
      </c>
      <c r="B259" s="2" t="s">
        <v>10</v>
      </c>
      <c r="C259" s="3" t="s">
        <v>110</v>
      </c>
      <c r="D259" s="3">
        <v>2023</v>
      </c>
      <c r="E259" s="2" t="s">
        <v>55</v>
      </c>
      <c r="F259" s="2" t="s">
        <v>19</v>
      </c>
      <c r="G259" s="2" t="s">
        <v>14</v>
      </c>
      <c r="H259" s="4">
        <v>76450.539999999994</v>
      </c>
      <c r="I259" s="3">
        <v>0</v>
      </c>
      <c r="J259" s="5" t="s">
        <v>15</v>
      </c>
    </row>
    <row r="260" spans="1:10" ht="23.4" x14ac:dyDescent="0.45">
      <c r="A260" s="1" t="s">
        <v>310</v>
      </c>
      <c r="B260" s="2" t="s">
        <v>70</v>
      </c>
      <c r="C260" s="3" t="s">
        <v>71</v>
      </c>
      <c r="D260" s="3">
        <v>2024</v>
      </c>
      <c r="E260" s="2" t="s">
        <v>55</v>
      </c>
      <c r="F260" s="2" t="s">
        <v>35</v>
      </c>
      <c r="G260" s="2" t="s">
        <v>20</v>
      </c>
      <c r="H260" s="4">
        <v>15432.72</v>
      </c>
      <c r="I260" s="3">
        <v>0</v>
      </c>
      <c r="J260" s="5" t="s">
        <v>15</v>
      </c>
    </row>
    <row r="261" spans="1:10" ht="23.4" x14ac:dyDescent="0.45">
      <c r="A261" s="1" t="s">
        <v>311</v>
      </c>
      <c r="B261" s="2" t="s">
        <v>17</v>
      </c>
      <c r="C261" s="3" t="s">
        <v>46</v>
      </c>
      <c r="D261" s="3">
        <v>2024</v>
      </c>
      <c r="E261" s="2" t="s">
        <v>55</v>
      </c>
      <c r="F261" s="2" t="s">
        <v>28</v>
      </c>
      <c r="G261" s="2" t="s">
        <v>14</v>
      </c>
      <c r="H261" s="4">
        <v>75764.509999999995</v>
      </c>
      <c r="I261" s="3">
        <v>2</v>
      </c>
      <c r="J261" s="5" t="s">
        <v>36</v>
      </c>
    </row>
    <row r="262" spans="1:10" ht="23.4" x14ac:dyDescent="0.45">
      <c r="A262" s="1" t="s">
        <v>312</v>
      </c>
      <c r="B262" s="2" t="s">
        <v>17</v>
      </c>
      <c r="C262" s="3" t="s">
        <v>62</v>
      </c>
      <c r="D262" s="3">
        <v>2022</v>
      </c>
      <c r="E262" s="2" t="s">
        <v>48</v>
      </c>
      <c r="F262" s="2" t="s">
        <v>28</v>
      </c>
      <c r="G262" s="2" t="s">
        <v>14</v>
      </c>
      <c r="H262" s="4">
        <v>60188.37</v>
      </c>
      <c r="I262" s="3">
        <v>19</v>
      </c>
      <c r="J262" s="5" t="s">
        <v>32</v>
      </c>
    </row>
    <row r="263" spans="1:10" ht="23.4" x14ac:dyDescent="0.45">
      <c r="A263" s="1" t="s">
        <v>313</v>
      </c>
      <c r="B263" s="2" t="s">
        <v>22</v>
      </c>
      <c r="C263" s="3" t="s">
        <v>105</v>
      </c>
      <c r="D263" s="3">
        <v>2017</v>
      </c>
      <c r="E263" s="2" t="s">
        <v>12</v>
      </c>
      <c r="F263" s="2" t="s">
        <v>35</v>
      </c>
      <c r="G263" s="2" t="s">
        <v>14</v>
      </c>
      <c r="H263" s="4">
        <v>15731.73</v>
      </c>
      <c r="I263" s="3">
        <v>20</v>
      </c>
      <c r="J263" s="5" t="s">
        <v>32</v>
      </c>
    </row>
    <row r="264" spans="1:10" ht="23.4" x14ac:dyDescent="0.45">
      <c r="A264" s="1" t="s">
        <v>314</v>
      </c>
      <c r="B264" s="2" t="s">
        <v>26</v>
      </c>
      <c r="C264" s="3" t="s">
        <v>27</v>
      </c>
      <c r="D264" s="3">
        <v>2022</v>
      </c>
      <c r="E264" s="2" t="s">
        <v>31</v>
      </c>
      <c r="F264" s="2" t="s">
        <v>28</v>
      </c>
      <c r="G264" s="2" t="s">
        <v>20</v>
      </c>
      <c r="H264" s="4">
        <v>82694.399999999994</v>
      </c>
      <c r="I264" s="3">
        <v>16</v>
      </c>
      <c r="J264" s="5" t="s">
        <v>36</v>
      </c>
    </row>
    <row r="265" spans="1:10" ht="23.4" x14ac:dyDescent="0.45">
      <c r="A265" s="1" t="s">
        <v>315</v>
      </c>
      <c r="B265" s="2" t="s">
        <v>17</v>
      </c>
      <c r="C265" s="3" t="s">
        <v>18</v>
      </c>
      <c r="D265" s="3">
        <v>2019</v>
      </c>
      <c r="E265" s="2" t="s">
        <v>48</v>
      </c>
      <c r="F265" s="2" t="s">
        <v>28</v>
      </c>
      <c r="G265" s="2" t="s">
        <v>20</v>
      </c>
      <c r="H265" s="4">
        <v>70040.25</v>
      </c>
      <c r="I265" s="3">
        <v>6</v>
      </c>
      <c r="J265" s="5" t="s">
        <v>32</v>
      </c>
    </row>
    <row r="266" spans="1:10" ht="23.4" x14ac:dyDescent="0.45">
      <c r="A266" s="1" t="s">
        <v>316</v>
      </c>
      <c r="B266" s="2" t="s">
        <v>70</v>
      </c>
      <c r="C266" s="3" t="s">
        <v>114</v>
      </c>
      <c r="D266" s="3">
        <v>2018</v>
      </c>
      <c r="E266" s="2" t="s">
        <v>40</v>
      </c>
      <c r="F266" s="2" t="s">
        <v>13</v>
      </c>
      <c r="G266" s="2" t="s">
        <v>20</v>
      </c>
      <c r="H266" s="4">
        <v>29781.09</v>
      </c>
      <c r="I266" s="3">
        <v>13</v>
      </c>
      <c r="J266" s="5" t="s">
        <v>32</v>
      </c>
    </row>
    <row r="267" spans="1:10" ht="23.4" x14ac:dyDescent="0.45">
      <c r="A267" s="1" t="s">
        <v>317</v>
      </c>
      <c r="B267" s="2" t="s">
        <v>17</v>
      </c>
      <c r="C267" s="3" t="s">
        <v>62</v>
      </c>
      <c r="D267" s="3">
        <v>2020</v>
      </c>
      <c r="E267" s="2" t="s">
        <v>31</v>
      </c>
      <c r="F267" s="2" t="s">
        <v>28</v>
      </c>
      <c r="G267" s="2" t="s">
        <v>14</v>
      </c>
      <c r="H267" s="4">
        <v>24742.94</v>
      </c>
      <c r="I267" s="3">
        <v>0</v>
      </c>
      <c r="J267" s="5" t="s">
        <v>15</v>
      </c>
    </row>
    <row r="268" spans="1:10" ht="23.4" x14ac:dyDescent="0.45">
      <c r="A268" s="1" t="s">
        <v>318</v>
      </c>
      <c r="B268" s="2" t="s">
        <v>43</v>
      </c>
      <c r="C268" s="3" t="s">
        <v>93</v>
      </c>
      <c r="D268" s="3">
        <v>2024</v>
      </c>
      <c r="E268" s="2" t="s">
        <v>31</v>
      </c>
      <c r="F268" s="2" t="s">
        <v>19</v>
      </c>
      <c r="G268" s="2" t="s">
        <v>20</v>
      </c>
      <c r="H268" s="4">
        <v>40159.410000000003</v>
      </c>
      <c r="I268" s="3">
        <v>0</v>
      </c>
      <c r="J268" s="5" t="s">
        <v>36</v>
      </c>
    </row>
    <row r="269" spans="1:10" ht="23.4" x14ac:dyDescent="0.45">
      <c r="A269" s="1" t="s">
        <v>319</v>
      </c>
      <c r="B269" s="2" t="s">
        <v>43</v>
      </c>
      <c r="C269" s="3" t="s">
        <v>91</v>
      </c>
      <c r="D269" s="3">
        <v>2022</v>
      </c>
      <c r="E269" s="2" t="s">
        <v>31</v>
      </c>
      <c r="F269" s="2" t="s">
        <v>19</v>
      </c>
      <c r="G269" s="2" t="s">
        <v>20</v>
      </c>
      <c r="H269" s="4">
        <v>77897.88</v>
      </c>
      <c r="I269" s="3">
        <v>1</v>
      </c>
      <c r="J269" s="5" t="s">
        <v>15</v>
      </c>
    </row>
    <row r="270" spans="1:10" ht="23.4" x14ac:dyDescent="0.45">
      <c r="A270" s="1" t="s">
        <v>320</v>
      </c>
      <c r="B270" s="2" t="s">
        <v>22</v>
      </c>
      <c r="C270" s="3" t="s">
        <v>23</v>
      </c>
      <c r="D270" s="3">
        <v>2015</v>
      </c>
      <c r="E270" s="2" t="s">
        <v>40</v>
      </c>
      <c r="F270" s="2" t="s">
        <v>19</v>
      </c>
      <c r="G270" s="2" t="s">
        <v>14</v>
      </c>
      <c r="H270" s="4">
        <v>52804.45</v>
      </c>
      <c r="I270" s="3">
        <v>11</v>
      </c>
      <c r="J270" s="5" t="s">
        <v>15</v>
      </c>
    </row>
    <row r="271" spans="1:10" ht="23.4" x14ac:dyDescent="0.45">
      <c r="A271" s="1" t="s">
        <v>321</v>
      </c>
      <c r="B271" s="2" t="s">
        <v>17</v>
      </c>
      <c r="C271" s="3" t="s">
        <v>18</v>
      </c>
      <c r="D271" s="3">
        <v>2024</v>
      </c>
      <c r="E271" s="2" t="s">
        <v>55</v>
      </c>
      <c r="F271" s="2" t="s">
        <v>19</v>
      </c>
      <c r="G271" s="2" t="s">
        <v>20</v>
      </c>
      <c r="H271" s="4">
        <v>76670.69</v>
      </c>
      <c r="I271" s="3">
        <v>3</v>
      </c>
      <c r="J271" s="5" t="s">
        <v>32</v>
      </c>
    </row>
    <row r="272" spans="1:10" ht="23.4" x14ac:dyDescent="0.45">
      <c r="A272" s="1" t="s">
        <v>322</v>
      </c>
      <c r="B272" s="2" t="s">
        <v>22</v>
      </c>
      <c r="C272" s="3" t="s">
        <v>23</v>
      </c>
      <c r="D272" s="3">
        <v>2016</v>
      </c>
      <c r="E272" s="2" t="s">
        <v>40</v>
      </c>
      <c r="F272" s="2" t="s">
        <v>35</v>
      </c>
      <c r="G272" s="2" t="s">
        <v>14</v>
      </c>
      <c r="H272" s="4">
        <v>60403.39</v>
      </c>
      <c r="I272" s="3">
        <v>20</v>
      </c>
      <c r="J272" s="5" t="s">
        <v>36</v>
      </c>
    </row>
    <row r="273" spans="1:10" ht="23.4" x14ac:dyDescent="0.45">
      <c r="A273" s="1" t="s">
        <v>323</v>
      </c>
      <c r="B273" s="2" t="s">
        <v>43</v>
      </c>
      <c r="C273" s="3" t="s">
        <v>93</v>
      </c>
      <c r="D273" s="3">
        <v>2025</v>
      </c>
      <c r="E273" s="2" t="s">
        <v>40</v>
      </c>
      <c r="F273" s="2" t="s">
        <v>19</v>
      </c>
      <c r="G273" s="2" t="s">
        <v>20</v>
      </c>
      <c r="H273" s="4">
        <v>36261.58</v>
      </c>
      <c r="I273" s="3">
        <v>13</v>
      </c>
      <c r="J273" s="5" t="s">
        <v>36</v>
      </c>
    </row>
    <row r="274" spans="1:10" ht="23.4" x14ac:dyDescent="0.45">
      <c r="A274" s="1" t="s">
        <v>324</v>
      </c>
      <c r="B274" s="2" t="s">
        <v>38</v>
      </c>
      <c r="C274" s="3" t="s">
        <v>96</v>
      </c>
      <c r="D274" s="3">
        <v>2019</v>
      </c>
      <c r="E274" s="2" t="s">
        <v>48</v>
      </c>
      <c r="F274" s="2" t="s">
        <v>28</v>
      </c>
      <c r="G274" s="2" t="s">
        <v>14</v>
      </c>
      <c r="H274" s="4">
        <v>97569.91</v>
      </c>
      <c r="I274" s="3">
        <v>16</v>
      </c>
      <c r="J274" s="5" t="s">
        <v>15</v>
      </c>
    </row>
    <row r="275" spans="1:10" ht="23.4" x14ac:dyDescent="0.45">
      <c r="A275" s="1" t="s">
        <v>325</v>
      </c>
      <c r="B275" s="2" t="s">
        <v>22</v>
      </c>
      <c r="C275" s="3" t="s">
        <v>53</v>
      </c>
      <c r="D275" s="3">
        <v>2015</v>
      </c>
      <c r="E275" s="2" t="s">
        <v>48</v>
      </c>
      <c r="F275" s="2" t="s">
        <v>19</v>
      </c>
      <c r="G275" s="2" t="s">
        <v>20</v>
      </c>
      <c r="H275" s="4">
        <v>94691.22</v>
      </c>
      <c r="I275" s="3">
        <v>17</v>
      </c>
      <c r="J275" s="5" t="s">
        <v>36</v>
      </c>
    </row>
    <row r="276" spans="1:10" ht="23.4" x14ac:dyDescent="0.45">
      <c r="A276" s="1" t="s">
        <v>326</v>
      </c>
      <c r="B276" s="2" t="s">
        <v>43</v>
      </c>
      <c r="C276" s="3" t="s">
        <v>44</v>
      </c>
      <c r="D276" s="3">
        <v>2017</v>
      </c>
      <c r="E276" s="2" t="s">
        <v>48</v>
      </c>
      <c r="F276" s="2" t="s">
        <v>19</v>
      </c>
      <c r="G276" s="2" t="s">
        <v>20</v>
      </c>
      <c r="H276" s="4">
        <v>44753.36</v>
      </c>
      <c r="I276" s="3">
        <v>11</v>
      </c>
      <c r="J276" s="5" t="s">
        <v>36</v>
      </c>
    </row>
    <row r="277" spans="1:10" ht="23.4" x14ac:dyDescent="0.45">
      <c r="A277" s="1" t="s">
        <v>327</v>
      </c>
      <c r="B277" s="2" t="s">
        <v>22</v>
      </c>
      <c r="C277" s="3" t="s">
        <v>105</v>
      </c>
      <c r="D277" s="3">
        <v>2025</v>
      </c>
      <c r="E277" s="2" t="s">
        <v>24</v>
      </c>
      <c r="F277" s="2" t="s">
        <v>13</v>
      </c>
      <c r="G277" s="2" t="s">
        <v>14</v>
      </c>
      <c r="H277" s="4">
        <v>50703.33</v>
      </c>
      <c r="I277" s="3">
        <v>4</v>
      </c>
      <c r="J277" s="5" t="s">
        <v>32</v>
      </c>
    </row>
    <row r="278" spans="1:10" ht="23.4" x14ac:dyDescent="0.45">
      <c r="A278" s="1" t="s">
        <v>328</v>
      </c>
      <c r="B278" s="2" t="s">
        <v>22</v>
      </c>
      <c r="C278" s="3" t="s">
        <v>23</v>
      </c>
      <c r="D278" s="3">
        <v>2016</v>
      </c>
      <c r="E278" s="2" t="s">
        <v>31</v>
      </c>
      <c r="F278" s="2" t="s">
        <v>28</v>
      </c>
      <c r="G278" s="2" t="s">
        <v>14</v>
      </c>
      <c r="H278" s="4">
        <v>34255.919999999998</v>
      </c>
      <c r="I278" s="3">
        <v>2</v>
      </c>
      <c r="J278" s="5" t="s">
        <v>15</v>
      </c>
    </row>
    <row r="279" spans="1:10" ht="23.4" x14ac:dyDescent="0.45">
      <c r="A279" s="1" t="s">
        <v>329</v>
      </c>
      <c r="B279" s="2" t="s">
        <v>22</v>
      </c>
      <c r="C279" s="3" t="s">
        <v>53</v>
      </c>
      <c r="D279" s="3">
        <v>2016</v>
      </c>
      <c r="E279" s="2" t="s">
        <v>48</v>
      </c>
      <c r="F279" s="2" t="s">
        <v>13</v>
      </c>
      <c r="G279" s="2" t="s">
        <v>20</v>
      </c>
      <c r="H279" s="4">
        <v>84961.77</v>
      </c>
      <c r="I279" s="3">
        <v>2</v>
      </c>
      <c r="J279" s="5" t="s">
        <v>36</v>
      </c>
    </row>
    <row r="280" spans="1:10" ht="23.4" x14ac:dyDescent="0.45">
      <c r="A280" s="1" t="s">
        <v>330</v>
      </c>
      <c r="B280" s="2" t="s">
        <v>70</v>
      </c>
      <c r="C280" s="3" t="s">
        <v>114</v>
      </c>
      <c r="D280" s="3">
        <v>2015</v>
      </c>
      <c r="E280" s="2" t="s">
        <v>12</v>
      </c>
      <c r="F280" s="2" t="s">
        <v>19</v>
      </c>
      <c r="G280" s="2" t="s">
        <v>14</v>
      </c>
      <c r="H280" s="4">
        <v>85933.119999999995</v>
      </c>
      <c r="I280" s="3">
        <v>18</v>
      </c>
      <c r="J280" s="5" t="s">
        <v>36</v>
      </c>
    </row>
    <row r="281" spans="1:10" ht="23.4" x14ac:dyDescent="0.45">
      <c r="A281" s="1" t="s">
        <v>331</v>
      </c>
      <c r="B281" s="2" t="s">
        <v>17</v>
      </c>
      <c r="C281" s="3" t="s">
        <v>18</v>
      </c>
      <c r="D281" s="3">
        <v>2015</v>
      </c>
      <c r="E281" s="2" t="s">
        <v>24</v>
      </c>
      <c r="F281" s="2" t="s">
        <v>19</v>
      </c>
      <c r="G281" s="2" t="s">
        <v>14</v>
      </c>
      <c r="H281" s="4">
        <v>15390.95</v>
      </c>
      <c r="I281" s="3">
        <v>18</v>
      </c>
      <c r="J281" s="5" t="s">
        <v>32</v>
      </c>
    </row>
    <row r="282" spans="1:10" ht="23.4" x14ac:dyDescent="0.45">
      <c r="A282" s="1" t="s">
        <v>332</v>
      </c>
      <c r="B282" s="2" t="s">
        <v>17</v>
      </c>
      <c r="C282" s="3" t="s">
        <v>46</v>
      </c>
      <c r="D282" s="3">
        <v>2020</v>
      </c>
      <c r="E282" s="2" t="s">
        <v>55</v>
      </c>
      <c r="F282" s="2" t="s">
        <v>13</v>
      </c>
      <c r="G282" s="2" t="s">
        <v>20</v>
      </c>
      <c r="H282" s="4">
        <v>64085.760000000002</v>
      </c>
      <c r="I282" s="3">
        <v>0</v>
      </c>
      <c r="J282" s="5" t="s">
        <v>36</v>
      </c>
    </row>
    <row r="283" spans="1:10" ht="23.4" x14ac:dyDescent="0.45">
      <c r="A283" s="1" t="s">
        <v>333</v>
      </c>
      <c r="B283" s="2" t="s">
        <v>38</v>
      </c>
      <c r="C283" s="3" t="s">
        <v>65</v>
      </c>
      <c r="D283" s="3">
        <v>2017</v>
      </c>
      <c r="E283" s="2" t="s">
        <v>24</v>
      </c>
      <c r="F283" s="2" t="s">
        <v>28</v>
      </c>
      <c r="G283" s="2" t="s">
        <v>14</v>
      </c>
      <c r="H283" s="4">
        <v>68812.78</v>
      </c>
      <c r="I283" s="3">
        <v>14</v>
      </c>
      <c r="J283" s="5" t="s">
        <v>32</v>
      </c>
    </row>
    <row r="284" spans="1:10" ht="23.4" x14ac:dyDescent="0.45">
      <c r="A284" s="1" t="s">
        <v>334</v>
      </c>
      <c r="B284" s="2" t="s">
        <v>10</v>
      </c>
      <c r="C284" s="3" t="s">
        <v>11</v>
      </c>
      <c r="D284" s="3">
        <v>2022</v>
      </c>
      <c r="E284" s="2" t="s">
        <v>31</v>
      </c>
      <c r="F284" s="2" t="s">
        <v>28</v>
      </c>
      <c r="G284" s="2" t="s">
        <v>20</v>
      </c>
      <c r="H284" s="4">
        <v>28195.4</v>
      </c>
      <c r="I284" s="3">
        <v>17</v>
      </c>
      <c r="J284" s="5" t="s">
        <v>36</v>
      </c>
    </row>
    <row r="285" spans="1:10" ht="23.4" x14ac:dyDescent="0.45">
      <c r="A285" s="1" t="s">
        <v>335</v>
      </c>
      <c r="B285" s="2" t="s">
        <v>38</v>
      </c>
      <c r="C285" s="3" t="s">
        <v>39</v>
      </c>
      <c r="D285" s="3">
        <v>2022</v>
      </c>
      <c r="E285" s="2" t="s">
        <v>24</v>
      </c>
      <c r="F285" s="2" t="s">
        <v>19</v>
      </c>
      <c r="G285" s="2" t="s">
        <v>14</v>
      </c>
      <c r="H285" s="4">
        <v>51668.13</v>
      </c>
      <c r="I285" s="3">
        <v>9</v>
      </c>
      <c r="J285" s="5" t="s">
        <v>32</v>
      </c>
    </row>
    <row r="286" spans="1:10" ht="23.4" x14ac:dyDescent="0.45">
      <c r="A286" s="1" t="s">
        <v>336</v>
      </c>
      <c r="B286" s="2" t="s">
        <v>70</v>
      </c>
      <c r="C286" s="3" t="s">
        <v>80</v>
      </c>
      <c r="D286" s="3">
        <v>2017</v>
      </c>
      <c r="E286" s="2" t="s">
        <v>31</v>
      </c>
      <c r="F286" s="2" t="s">
        <v>35</v>
      </c>
      <c r="G286" s="2" t="s">
        <v>20</v>
      </c>
      <c r="H286" s="4">
        <v>16765.09</v>
      </c>
      <c r="I286" s="3">
        <v>19</v>
      </c>
      <c r="J286" s="5" t="s">
        <v>36</v>
      </c>
    </row>
    <row r="287" spans="1:10" ht="23.4" x14ac:dyDescent="0.45">
      <c r="A287" s="1" t="s">
        <v>337</v>
      </c>
      <c r="B287" s="2" t="s">
        <v>22</v>
      </c>
      <c r="C287" s="3" t="s">
        <v>105</v>
      </c>
      <c r="D287" s="3">
        <v>2025</v>
      </c>
      <c r="E287" s="2" t="s">
        <v>48</v>
      </c>
      <c r="F287" s="2" t="s">
        <v>28</v>
      </c>
      <c r="G287" s="2" t="s">
        <v>20</v>
      </c>
      <c r="H287" s="4">
        <v>59081.2</v>
      </c>
      <c r="I287" s="3">
        <v>7</v>
      </c>
      <c r="J287" s="5" t="s">
        <v>36</v>
      </c>
    </row>
    <row r="288" spans="1:10" ht="23.4" x14ac:dyDescent="0.45">
      <c r="A288" s="1" t="s">
        <v>338</v>
      </c>
      <c r="B288" s="2" t="s">
        <v>26</v>
      </c>
      <c r="C288" s="3" t="s">
        <v>27</v>
      </c>
      <c r="D288" s="3">
        <v>2024</v>
      </c>
      <c r="E288" s="2" t="s">
        <v>40</v>
      </c>
      <c r="F288" s="2" t="s">
        <v>35</v>
      </c>
      <c r="G288" s="2" t="s">
        <v>14</v>
      </c>
      <c r="H288" s="4">
        <v>52822.73</v>
      </c>
      <c r="I288" s="3">
        <v>0</v>
      </c>
      <c r="J288" s="5" t="s">
        <v>36</v>
      </c>
    </row>
    <row r="289" spans="1:10" ht="23.4" x14ac:dyDescent="0.45">
      <c r="A289" s="1" t="s">
        <v>339</v>
      </c>
      <c r="B289" s="2" t="s">
        <v>43</v>
      </c>
      <c r="C289" s="3" t="s">
        <v>44</v>
      </c>
      <c r="D289" s="3">
        <v>2018</v>
      </c>
      <c r="E289" s="2" t="s">
        <v>55</v>
      </c>
      <c r="F289" s="2" t="s">
        <v>35</v>
      </c>
      <c r="G289" s="2" t="s">
        <v>14</v>
      </c>
      <c r="H289" s="4">
        <v>79631.09</v>
      </c>
      <c r="I289" s="3">
        <v>14</v>
      </c>
      <c r="J289" s="5" t="s">
        <v>36</v>
      </c>
    </row>
    <row r="290" spans="1:10" ht="23.4" x14ac:dyDescent="0.45">
      <c r="A290" s="1" t="s">
        <v>340</v>
      </c>
      <c r="B290" s="2" t="s">
        <v>17</v>
      </c>
      <c r="C290" s="3" t="s">
        <v>18</v>
      </c>
      <c r="D290" s="3">
        <v>2025</v>
      </c>
      <c r="E290" s="2" t="s">
        <v>31</v>
      </c>
      <c r="F290" s="2" t="s">
        <v>35</v>
      </c>
      <c r="G290" s="2" t="s">
        <v>14</v>
      </c>
      <c r="H290" s="4">
        <v>29872.799999999999</v>
      </c>
      <c r="I290" s="3">
        <v>17</v>
      </c>
      <c r="J290" s="5" t="s">
        <v>32</v>
      </c>
    </row>
    <row r="291" spans="1:10" ht="23.4" x14ac:dyDescent="0.45">
      <c r="A291" s="1" t="s">
        <v>341</v>
      </c>
      <c r="B291" s="2" t="s">
        <v>38</v>
      </c>
      <c r="C291" s="3" t="s">
        <v>96</v>
      </c>
      <c r="D291" s="3">
        <v>2022</v>
      </c>
      <c r="E291" s="2" t="s">
        <v>24</v>
      </c>
      <c r="F291" s="2" t="s">
        <v>35</v>
      </c>
      <c r="G291" s="2" t="s">
        <v>14</v>
      </c>
      <c r="H291" s="4">
        <v>99707.28</v>
      </c>
      <c r="I291" s="3">
        <v>19</v>
      </c>
      <c r="J291" s="5" t="s">
        <v>15</v>
      </c>
    </row>
    <row r="292" spans="1:10" ht="23.4" x14ac:dyDescent="0.45">
      <c r="A292" s="1" t="s">
        <v>342</v>
      </c>
      <c r="B292" s="2" t="s">
        <v>70</v>
      </c>
      <c r="C292" s="3" t="s">
        <v>71</v>
      </c>
      <c r="D292" s="3">
        <v>2018</v>
      </c>
      <c r="E292" s="2" t="s">
        <v>48</v>
      </c>
      <c r="F292" s="2" t="s">
        <v>35</v>
      </c>
      <c r="G292" s="2" t="s">
        <v>20</v>
      </c>
      <c r="H292" s="4">
        <v>76715.08</v>
      </c>
      <c r="I292" s="3">
        <v>11</v>
      </c>
      <c r="J292" s="5" t="s">
        <v>36</v>
      </c>
    </row>
    <row r="293" spans="1:10" ht="23.4" x14ac:dyDescent="0.45">
      <c r="A293" s="1" t="s">
        <v>343</v>
      </c>
      <c r="B293" s="2" t="s">
        <v>26</v>
      </c>
      <c r="C293" s="3" t="s">
        <v>34</v>
      </c>
      <c r="D293" s="3">
        <v>2022</v>
      </c>
      <c r="E293" s="2" t="s">
        <v>24</v>
      </c>
      <c r="F293" s="2" t="s">
        <v>35</v>
      </c>
      <c r="G293" s="2" t="s">
        <v>14</v>
      </c>
      <c r="H293" s="4">
        <v>79140.179999999993</v>
      </c>
      <c r="I293" s="3">
        <v>9</v>
      </c>
      <c r="J293" s="5" t="s">
        <v>36</v>
      </c>
    </row>
    <row r="294" spans="1:10" ht="23.4" x14ac:dyDescent="0.45">
      <c r="A294" s="1" t="s">
        <v>344</v>
      </c>
      <c r="B294" s="2" t="s">
        <v>43</v>
      </c>
      <c r="C294" s="3" t="s">
        <v>44</v>
      </c>
      <c r="D294" s="3">
        <v>2015</v>
      </c>
      <c r="E294" s="2" t="s">
        <v>31</v>
      </c>
      <c r="F294" s="2" t="s">
        <v>19</v>
      </c>
      <c r="G294" s="2" t="s">
        <v>14</v>
      </c>
      <c r="H294" s="4">
        <v>69114.77</v>
      </c>
      <c r="I294" s="3">
        <v>16</v>
      </c>
      <c r="J294" s="5" t="s">
        <v>15</v>
      </c>
    </row>
    <row r="295" spans="1:10" ht="23.4" x14ac:dyDescent="0.45">
      <c r="A295" s="1" t="s">
        <v>345</v>
      </c>
      <c r="B295" s="2" t="s">
        <v>22</v>
      </c>
      <c r="C295" s="3" t="s">
        <v>105</v>
      </c>
      <c r="D295" s="3">
        <v>2020</v>
      </c>
      <c r="E295" s="2" t="s">
        <v>48</v>
      </c>
      <c r="F295" s="2" t="s">
        <v>19</v>
      </c>
      <c r="G295" s="2" t="s">
        <v>14</v>
      </c>
      <c r="H295" s="4">
        <v>50422.080000000002</v>
      </c>
      <c r="I295" s="3">
        <v>13</v>
      </c>
      <c r="J295" s="5" t="s">
        <v>32</v>
      </c>
    </row>
    <row r="296" spans="1:10" ht="23.4" x14ac:dyDescent="0.45">
      <c r="A296" s="1" t="s">
        <v>346</v>
      </c>
      <c r="B296" s="2" t="s">
        <v>26</v>
      </c>
      <c r="C296" s="3" t="s">
        <v>34</v>
      </c>
      <c r="D296" s="3">
        <v>2025</v>
      </c>
      <c r="E296" s="2" t="s">
        <v>24</v>
      </c>
      <c r="F296" s="2" t="s">
        <v>28</v>
      </c>
      <c r="G296" s="2" t="s">
        <v>20</v>
      </c>
      <c r="H296" s="4">
        <v>97629.5</v>
      </c>
      <c r="I296" s="3">
        <v>9</v>
      </c>
      <c r="J296" s="5" t="s">
        <v>36</v>
      </c>
    </row>
    <row r="297" spans="1:10" ht="23.4" x14ac:dyDescent="0.45">
      <c r="A297" s="1" t="s">
        <v>347</v>
      </c>
      <c r="B297" s="2" t="s">
        <v>22</v>
      </c>
      <c r="C297" s="3" t="s">
        <v>23</v>
      </c>
      <c r="D297" s="3">
        <v>2019</v>
      </c>
      <c r="E297" s="2" t="s">
        <v>31</v>
      </c>
      <c r="F297" s="2" t="s">
        <v>13</v>
      </c>
      <c r="G297" s="2" t="s">
        <v>14</v>
      </c>
      <c r="H297" s="4">
        <v>36488.89</v>
      </c>
      <c r="I297" s="3">
        <v>4</v>
      </c>
      <c r="J297" s="5" t="s">
        <v>15</v>
      </c>
    </row>
    <row r="298" spans="1:10" ht="23.4" x14ac:dyDescent="0.45">
      <c r="A298" s="1" t="s">
        <v>348</v>
      </c>
      <c r="B298" s="2" t="s">
        <v>26</v>
      </c>
      <c r="C298" s="3" t="s">
        <v>74</v>
      </c>
      <c r="D298" s="3">
        <v>2023</v>
      </c>
      <c r="E298" s="2" t="s">
        <v>24</v>
      </c>
      <c r="F298" s="2" t="s">
        <v>19</v>
      </c>
      <c r="G298" s="2" t="s">
        <v>20</v>
      </c>
      <c r="H298" s="4">
        <v>83331.899999999994</v>
      </c>
      <c r="I298" s="3">
        <v>1</v>
      </c>
      <c r="J298" s="5" t="s">
        <v>32</v>
      </c>
    </row>
    <row r="299" spans="1:10" ht="23.4" x14ac:dyDescent="0.45">
      <c r="A299" s="1" t="s">
        <v>349</v>
      </c>
      <c r="B299" s="2" t="s">
        <v>70</v>
      </c>
      <c r="C299" s="3" t="s">
        <v>114</v>
      </c>
      <c r="D299" s="3">
        <v>2017</v>
      </c>
      <c r="E299" s="2" t="s">
        <v>12</v>
      </c>
      <c r="F299" s="2" t="s">
        <v>35</v>
      </c>
      <c r="G299" s="2" t="s">
        <v>14</v>
      </c>
      <c r="H299" s="4">
        <v>80850.23</v>
      </c>
      <c r="I299" s="3">
        <v>4</v>
      </c>
      <c r="J299" s="5" t="s">
        <v>15</v>
      </c>
    </row>
    <row r="300" spans="1:10" ht="23.4" x14ac:dyDescent="0.45">
      <c r="A300" s="1" t="s">
        <v>350</v>
      </c>
      <c r="B300" s="2" t="s">
        <v>17</v>
      </c>
      <c r="C300" s="3" t="s">
        <v>46</v>
      </c>
      <c r="D300" s="3">
        <v>2024</v>
      </c>
      <c r="E300" s="2" t="s">
        <v>31</v>
      </c>
      <c r="F300" s="2" t="s">
        <v>19</v>
      </c>
      <c r="G300" s="2" t="s">
        <v>14</v>
      </c>
      <c r="H300" s="4">
        <v>53359.33</v>
      </c>
      <c r="I300" s="3">
        <v>19</v>
      </c>
      <c r="J300" s="5" t="s">
        <v>36</v>
      </c>
    </row>
    <row r="301" spans="1:10" ht="23.4" x14ac:dyDescent="0.45">
      <c r="A301" s="1" t="s">
        <v>351</v>
      </c>
      <c r="B301" s="2" t="s">
        <v>38</v>
      </c>
      <c r="C301" s="3" t="s">
        <v>39</v>
      </c>
      <c r="D301" s="3">
        <v>2015</v>
      </c>
      <c r="E301" s="2" t="s">
        <v>48</v>
      </c>
      <c r="F301" s="2" t="s">
        <v>19</v>
      </c>
      <c r="G301" s="2" t="s">
        <v>20</v>
      </c>
      <c r="H301" s="4">
        <v>84003.26</v>
      </c>
      <c r="I301" s="3">
        <v>10</v>
      </c>
      <c r="J301" s="5" t="s">
        <v>36</v>
      </c>
    </row>
    <row r="302" spans="1:10" ht="23.4" x14ac:dyDescent="0.45">
      <c r="A302" s="1" t="s">
        <v>352</v>
      </c>
      <c r="B302" s="2" t="s">
        <v>43</v>
      </c>
      <c r="C302" s="3" t="s">
        <v>93</v>
      </c>
      <c r="D302" s="3">
        <v>2022</v>
      </c>
      <c r="E302" s="2" t="s">
        <v>55</v>
      </c>
      <c r="F302" s="2" t="s">
        <v>13</v>
      </c>
      <c r="G302" s="2" t="s">
        <v>14</v>
      </c>
      <c r="H302" s="4">
        <v>86538.68</v>
      </c>
      <c r="I302" s="3">
        <v>17</v>
      </c>
      <c r="J302" s="5" t="s">
        <v>15</v>
      </c>
    </row>
    <row r="303" spans="1:10" ht="23.4" x14ac:dyDescent="0.45">
      <c r="A303" s="1" t="s">
        <v>353</v>
      </c>
      <c r="B303" s="2" t="s">
        <v>38</v>
      </c>
      <c r="C303" s="3" t="s">
        <v>39</v>
      </c>
      <c r="D303" s="3">
        <v>2022</v>
      </c>
      <c r="E303" s="2" t="s">
        <v>55</v>
      </c>
      <c r="F303" s="2" t="s">
        <v>19</v>
      </c>
      <c r="G303" s="2" t="s">
        <v>14</v>
      </c>
      <c r="H303" s="4">
        <v>78237.97</v>
      </c>
      <c r="I303" s="3">
        <v>14</v>
      </c>
      <c r="J303" s="5" t="s">
        <v>36</v>
      </c>
    </row>
    <row r="304" spans="1:10" ht="23.4" x14ac:dyDescent="0.45">
      <c r="A304" s="1" t="s">
        <v>354</v>
      </c>
      <c r="B304" s="2" t="s">
        <v>17</v>
      </c>
      <c r="C304" s="3" t="s">
        <v>62</v>
      </c>
      <c r="D304" s="3">
        <v>2020</v>
      </c>
      <c r="E304" s="2" t="s">
        <v>31</v>
      </c>
      <c r="F304" s="2" t="s">
        <v>28</v>
      </c>
      <c r="G304" s="2" t="s">
        <v>20</v>
      </c>
      <c r="H304" s="4">
        <v>41004.620000000003</v>
      </c>
      <c r="I304" s="3">
        <v>8</v>
      </c>
      <c r="J304" s="5" t="s">
        <v>32</v>
      </c>
    </row>
    <row r="305" spans="1:10" ht="23.4" x14ac:dyDescent="0.45">
      <c r="A305" s="1" t="s">
        <v>355</v>
      </c>
      <c r="B305" s="2" t="s">
        <v>43</v>
      </c>
      <c r="C305" s="3" t="s">
        <v>91</v>
      </c>
      <c r="D305" s="3">
        <v>2017</v>
      </c>
      <c r="E305" s="2" t="s">
        <v>48</v>
      </c>
      <c r="F305" s="2" t="s">
        <v>13</v>
      </c>
      <c r="G305" s="2" t="s">
        <v>20</v>
      </c>
      <c r="H305" s="4">
        <v>44558.29</v>
      </c>
      <c r="I305" s="3">
        <v>16</v>
      </c>
      <c r="J305" s="5" t="s">
        <v>15</v>
      </c>
    </row>
    <row r="306" spans="1:10" ht="23.4" x14ac:dyDescent="0.45">
      <c r="A306" s="1" t="s">
        <v>356</v>
      </c>
      <c r="B306" s="2" t="s">
        <v>22</v>
      </c>
      <c r="C306" s="3" t="s">
        <v>53</v>
      </c>
      <c r="D306" s="3">
        <v>2018</v>
      </c>
      <c r="E306" s="2" t="s">
        <v>55</v>
      </c>
      <c r="F306" s="2" t="s">
        <v>13</v>
      </c>
      <c r="G306" s="2" t="s">
        <v>20</v>
      </c>
      <c r="H306" s="4">
        <v>68740.73</v>
      </c>
      <c r="I306" s="3">
        <v>15</v>
      </c>
      <c r="J306" s="5" t="s">
        <v>36</v>
      </c>
    </row>
    <row r="307" spans="1:10" ht="23.4" x14ac:dyDescent="0.45">
      <c r="A307" s="1" t="s">
        <v>357</v>
      </c>
      <c r="B307" s="2" t="s">
        <v>22</v>
      </c>
      <c r="C307" s="3" t="s">
        <v>23</v>
      </c>
      <c r="D307" s="3">
        <v>2021</v>
      </c>
      <c r="E307" s="2" t="s">
        <v>24</v>
      </c>
      <c r="F307" s="2" t="s">
        <v>35</v>
      </c>
      <c r="G307" s="2" t="s">
        <v>20</v>
      </c>
      <c r="H307" s="4">
        <v>80287.539999999994</v>
      </c>
      <c r="I307" s="3">
        <v>0</v>
      </c>
      <c r="J307" s="5" t="s">
        <v>36</v>
      </c>
    </row>
    <row r="308" spans="1:10" ht="23.4" x14ac:dyDescent="0.45">
      <c r="A308" s="1" t="s">
        <v>358</v>
      </c>
      <c r="B308" s="2" t="s">
        <v>70</v>
      </c>
      <c r="C308" s="3" t="s">
        <v>80</v>
      </c>
      <c r="D308" s="3">
        <v>2023</v>
      </c>
      <c r="E308" s="2" t="s">
        <v>12</v>
      </c>
      <c r="F308" s="2" t="s">
        <v>35</v>
      </c>
      <c r="G308" s="2" t="s">
        <v>20</v>
      </c>
      <c r="H308" s="4">
        <v>18650.45</v>
      </c>
      <c r="I308" s="3">
        <v>19</v>
      </c>
      <c r="J308" s="5" t="s">
        <v>36</v>
      </c>
    </row>
    <row r="309" spans="1:10" ht="23.4" x14ac:dyDescent="0.45">
      <c r="A309" s="1" t="s">
        <v>359</v>
      </c>
      <c r="B309" s="2" t="s">
        <v>43</v>
      </c>
      <c r="C309" s="3" t="s">
        <v>91</v>
      </c>
      <c r="D309" s="3">
        <v>2023</v>
      </c>
      <c r="E309" s="2" t="s">
        <v>55</v>
      </c>
      <c r="F309" s="2" t="s">
        <v>28</v>
      </c>
      <c r="G309" s="2" t="s">
        <v>20</v>
      </c>
      <c r="H309" s="4">
        <v>54084.04</v>
      </c>
      <c r="I309" s="3">
        <v>11</v>
      </c>
      <c r="J309" s="5" t="s">
        <v>36</v>
      </c>
    </row>
    <row r="310" spans="1:10" ht="23.4" x14ac:dyDescent="0.45">
      <c r="A310" s="1" t="s">
        <v>360</v>
      </c>
      <c r="B310" s="2" t="s">
        <v>10</v>
      </c>
      <c r="C310" s="3" t="s">
        <v>11</v>
      </c>
      <c r="D310" s="3">
        <v>2018</v>
      </c>
      <c r="E310" s="2" t="s">
        <v>40</v>
      </c>
      <c r="F310" s="2" t="s">
        <v>28</v>
      </c>
      <c r="G310" s="2" t="s">
        <v>20</v>
      </c>
      <c r="H310" s="4">
        <v>19202.36</v>
      </c>
      <c r="I310" s="3">
        <v>15</v>
      </c>
      <c r="J310" s="5" t="s">
        <v>15</v>
      </c>
    </row>
    <row r="311" spans="1:10" ht="23.4" x14ac:dyDescent="0.45">
      <c r="A311" s="1" t="s">
        <v>361</v>
      </c>
      <c r="B311" s="2" t="s">
        <v>26</v>
      </c>
      <c r="C311" s="3" t="s">
        <v>34</v>
      </c>
      <c r="D311" s="3">
        <v>2018</v>
      </c>
      <c r="E311" s="2" t="s">
        <v>31</v>
      </c>
      <c r="F311" s="2" t="s">
        <v>13</v>
      </c>
      <c r="G311" s="2" t="s">
        <v>14</v>
      </c>
      <c r="H311" s="4">
        <v>97891.68</v>
      </c>
      <c r="I311" s="3">
        <v>5</v>
      </c>
      <c r="J311" s="5" t="s">
        <v>15</v>
      </c>
    </row>
    <row r="312" spans="1:10" ht="23.4" x14ac:dyDescent="0.45">
      <c r="A312" s="1" t="s">
        <v>362</v>
      </c>
      <c r="B312" s="2" t="s">
        <v>10</v>
      </c>
      <c r="C312" s="3" t="s">
        <v>110</v>
      </c>
      <c r="D312" s="3">
        <v>2015</v>
      </c>
      <c r="E312" s="2" t="s">
        <v>31</v>
      </c>
      <c r="F312" s="2" t="s">
        <v>28</v>
      </c>
      <c r="G312" s="2" t="s">
        <v>14</v>
      </c>
      <c r="H312" s="4">
        <v>45662.22</v>
      </c>
      <c r="I312" s="3">
        <v>15</v>
      </c>
      <c r="J312" s="5" t="s">
        <v>36</v>
      </c>
    </row>
    <row r="313" spans="1:10" ht="23.4" x14ac:dyDescent="0.45">
      <c r="A313" s="1" t="s">
        <v>363</v>
      </c>
      <c r="B313" s="2" t="s">
        <v>26</v>
      </c>
      <c r="C313" s="3" t="s">
        <v>34</v>
      </c>
      <c r="D313" s="3">
        <v>2022</v>
      </c>
      <c r="E313" s="2" t="s">
        <v>55</v>
      </c>
      <c r="F313" s="2" t="s">
        <v>13</v>
      </c>
      <c r="G313" s="2" t="s">
        <v>20</v>
      </c>
      <c r="H313" s="4">
        <v>93641.13</v>
      </c>
      <c r="I313" s="3">
        <v>6</v>
      </c>
      <c r="J313" s="5" t="s">
        <v>15</v>
      </c>
    </row>
    <row r="314" spans="1:10" ht="23.4" x14ac:dyDescent="0.45">
      <c r="A314" s="1" t="s">
        <v>364</v>
      </c>
      <c r="B314" s="2" t="s">
        <v>10</v>
      </c>
      <c r="C314" s="3" t="s">
        <v>11</v>
      </c>
      <c r="D314" s="3">
        <v>2023</v>
      </c>
      <c r="E314" s="2" t="s">
        <v>12</v>
      </c>
      <c r="F314" s="2" t="s">
        <v>13</v>
      </c>
      <c r="G314" s="2" t="s">
        <v>20</v>
      </c>
      <c r="H314" s="4">
        <v>66822.3</v>
      </c>
      <c r="I314" s="3">
        <v>16</v>
      </c>
      <c r="J314" s="5" t="s">
        <v>36</v>
      </c>
    </row>
    <row r="315" spans="1:10" ht="23.4" x14ac:dyDescent="0.45">
      <c r="A315" s="1" t="s">
        <v>365</v>
      </c>
      <c r="B315" s="2" t="s">
        <v>17</v>
      </c>
      <c r="C315" s="3" t="s">
        <v>62</v>
      </c>
      <c r="D315" s="3">
        <v>2015</v>
      </c>
      <c r="E315" s="2" t="s">
        <v>12</v>
      </c>
      <c r="F315" s="2" t="s">
        <v>19</v>
      </c>
      <c r="G315" s="2" t="s">
        <v>20</v>
      </c>
      <c r="H315" s="4">
        <v>34144.39</v>
      </c>
      <c r="I315" s="3">
        <v>20</v>
      </c>
      <c r="J315" s="5" t="s">
        <v>32</v>
      </c>
    </row>
    <row r="316" spans="1:10" ht="23.4" x14ac:dyDescent="0.45">
      <c r="A316" s="1" t="s">
        <v>366</v>
      </c>
      <c r="B316" s="2" t="s">
        <v>38</v>
      </c>
      <c r="C316" s="3" t="s">
        <v>65</v>
      </c>
      <c r="D316" s="3">
        <v>2016</v>
      </c>
      <c r="E316" s="2" t="s">
        <v>31</v>
      </c>
      <c r="F316" s="2" t="s">
        <v>35</v>
      </c>
      <c r="G316" s="2" t="s">
        <v>20</v>
      </c>
      <c r="H316" s="4">
        <v>49991.15</v>
      </c>
      <c r="I316" s="3">
        <v>3</v>
      </c>
      <c r="J316" s="5" t="s">
        <v>32</v>
      </c>
    </row>
    <row r="317" spans="1:10" ht="23.4" x14ac:dyDescent="0.45">
      <c r="A317" s="1" t="s">
        <v>367</v>
      </c>
      <c r="B317" s="2" t="s">
        <v>10</v>
      </c>
      <c r="C317" s="3" t="s">
        <v>30</v>
      </c>
      <c r="D317" s="3">
        <v>2024</v>
      </c>
      <c r="E317" s="2" t="s">
        <v>48</v>
      </c>
      <c r="F317" s="2" t="s">
        <v>13</v>
      </c>
      <c r="G317" s="2" t="s">
        <v>20</v>
      </c>
      <c r="H317" s="4">
        <v>65718.570000000007</v>
      </c>
      <c r="I317" s="3">
        <v>5</v>
      </c>
      <c r="J317" s="5" t="s">
        <v>15</v>
      </c>
    </row>
    <row r="318" spans="1:10" ht="23.4" x14ac:dyDescent="0.45">
      <c r="A318" s="1" t="s">
        <v>368</v>
      </c>
      <c r="B318" s="2" t="s">
        <v>10</v>
      </c>
      <c r="C318" s="3" t="s">
        <v>11</v>
      </c>
      <c r="D318" s="3">
        <v>2025</v>
      </c>
      <c r="E318" s="2" t="s">
        <v>40</v>
      </c>
      <c r="F318" s="2" t="s">
        <v>13</v>
      </c>
      <c r="G318" s="2" t="s">
        <v>14</v>
      </c>
      <c r="H318" s="4">
        <v>94065.17</v>
      </c>
      <c r="I318" s="3">
        <v>6</v>
      </c>
      <c r="J318" s="5" t="s">
        <v>15</v>
      </c>
    </row>
    <row r="319" spans="1:10" ht="23.4" x14ac:dyDescent="0.45">
      <c r="A319" s="1" t="s">
        <v>369</v>
      </c>
      <c r="B319" s="2" t="s">
        <v>38</v>
      </c>
      <c r="C319" s="3" t="s">
        <v>39</v>
      </c>
      <c r="D319" s="3">
        <v>2021</v>
      </c>
      <c r="E319" s="2" t="s">
        <v>55</v>
      </c>
      <c r="F319" s="2" t="s">
        <v>28</v>
      </c>
      <c r="G319" s="2" t="s">
        <v>20</v>
      </c>
      <c r="H319" s="4">
        <v>44874.76</v>
      </c>
      <c r="I319" s="3">
        <v>2</v>
      </c>
      <c r="J319" s="5" t="s">
        <v>36</v>
      </c>
    </row>
    <row r="320" spans="1:10" ht="23.4" x14ac:dyDescent="0.45">
      <c r="A320" s="1" t="s">
        <v>370</v>
      </c>
      <c r="B320" s="2" t="s">
        <v>38</v>
      </c>
      <c r="C320" s="3" t="s">
        <v>39</v>
      </c>
      <c r="D320" s="3">
        <v>2023</v>
      </c>
      <c r="E320" s="2" t="s">
        <v>48</v>
      </c>
      <c r="F320" s="2" t="s">
        <v>35</v>
      </c>
      <c r="G320" s="2" t="s">
        <v>14</v>
      </c>
      <c r="H320" s="4">
        <v>52256.29</v>
      </c>
      <c r="I320" s="3">
        <v>15</v>
      </c>
      <c r="J320" s="5" t="s">
        <v>15</v>
      </c>
    </row>
    <row r="321" spans="1:10" ht="23.4" x14ac:dyDescent="0.45">
      <c r="A321" s="1" t="s">
        <v>371</v>
      </c>
      <c r="B321" s="2" t="s">
        <v>70</v>
      </c>
      <c r="C321" s="3" t="s">
        <v>80</v>
      </c>
      <c r="D321" s="3">
        <v>2018</v>
      </c>
      <c r="E321" s="2" t="s">
        <v>24</v>
      </c>
      <c r="F321" s="2" t="s">
        <v>35</v>
      </c>
      <c r="G321" s="2" t="s">
        <v>20</v>
      </c>
      <c r="H321" s="4">
        <v>24694.17</v>
      </c>
      <c r="I321" s="3">
        <v>12</v>
      </c>
      <c r="J321" s="5" t="s">
        <v>36</v>
      </c>
    </row>
    <row r="322" spans="1:10" ht="23.4" x14ac:dyDescent="0.45">
      <c r="A322" s="1" t="s">
        <v>372</v>
      </c>
      <c r="B322" s="2" t="s">
        <v>38</v>
      </c>
      <c r="C322" s="3" t="s">
        <v>39</v>
      </c>
      <c r="D322" s="3">
        <v>2025</v>
      </c>
      <c r="E322" s="2" t="s">
        <v>12</v>
      </c>
      <c r="F322" s="2" t="s">
        <v>28</v>
      </c>
      <c r="G322" s="2" t="s">
        <v>20</v>
      </c>
      <c r="H322" s="4">
        <v>72243.59</v>
      </c>
      <c r="I322" s="3">
        <v>15</v>
      </c>
      <c r="J322" s="5" t="s">
        <v>15</v>
      </c>
    </row>
    <row r="323" spans="1:10" ht="23.4" x14ac:dyDescent="0.45">
      <c r="A323" s="1" t="s">
        <v>373</v>
      </c>
      <c r="B323" s="2" t="s">
        <v>38</v>
      </c>
      <c r="C323" s="3" t="s">
        <v>96</v>
      </c>
      <c r="D323" s="3">
        <v>2024</v>
      </c>
      <c r="E323" s="2" t="s">
        <v>31</v>
      </c>
      <c r="F323" s="2" t="s">
        <v>19</v>
      </c>
      <c r="G323" s="2" t="s">
        <v>20</v>
      </c>
      <c r="H323" s="4">
        <v>76945.41</v>
      </c>
      <c r="I323" s="3">
        <v>9</v>
      </c>
      <c r="J323" s="5" t="s">
        <v>15</v>
      </c>
    </row>
    <row r="324" spans="1:10" ht="23.4" x14ac:dyDescent="0.45">
      <c r="A324" s="1" t="s">
        <v>374</v>
      </c>
      <c r="B324" s="2" t="s">
        <v>70</v>
      </c>
      <c r="C324" s="3" t="s">
        <v>71</v>
      </c>
      <c r="D324" s="3">
        <v>2021</v>
      </c>
      <c r="E324" s="2" t="s">
        <v>40</v>
      </c>
      <c r="F324" s="2" t="s">
        <v>19</v>
      </c>
      <c r="G324" s="2" t="s">
        <v>20</v>
      </c>
      <c r="H324" s="4">
        <v>58060.85</v>
      </c>
      <c r="I324" s="3">
        <v>12</v>
      </c>
      <c r="J324" s="5" t="s">
        <v>36</v>
      </c>
    </row>
    <row r="325" spans="1:10" ht="23.4" x14ac:dyDescent="0.45">
      <c r="A325" s="1" t="s">
        <v>375</v>
      </c>
      <c r="B325" s="2" t="s">
        <v>22</v>
      </c>
      <c r="C325" s="3" t="s">
        <v>105</v>
      </c>
      <c r="D325" s="3">
        <v>2017</v>
      </c>
      <c r="E325" s="2" t="s">
        <v>31</v>
      </c>
      <c r="F325" s="2" t="s">
        <v>13</v>
      </c>
      <c r="G325" s="2" t="s">
        <v>14</v>
      </c>
      <c r="H325" s="4">
        <v>49935.47</v>
      </c>
      <c r="I325" s="3">
        <v>11</v>
      </c>
      <c r="J325" s="5" t="s">
        <v>36</v>
      </c>
    </row>
    <row r="326" spans="1:10" ht="23.4" x14ac:dyDescent="0.45">
      <c r="A326" s="1" t="s">
        <v>376</v>
      </c>
      <c r="B326" s="2" t="s">
        <v>26</v>
      </c>
      <c r="C326" s="3" t="s">
        <v>27</v>
      </c>
      <c r="D326" s="3">
        <v>2023</v>
      </c>
      <c r="E326" s="2" t="s">
        <v>12</v>
      </c>
      <c r="F326" s="2" t="s">
        <v>35</v>
      </c>
      <c r="G326" s="2" t="s">
        <v>14</v>
      </c>
      <c r="H326" s="4">
        <v>64065.66</v>
      </c>
      <c r="I326" s="3">
        <v>12</v>
      </c>
      <c r="J326" s="5" t="s">
        <v>32</v>
      </c>
    </row>
    <row r="327" spans="1:10" ht="23.4" x14ac:dyDescent="0.45">
      <c r="A327" s="1" t="s">
        <v>377</v>
      </c>
      <c r="B327" s="2" t="s">
        <v>17</v>
      </c>
      <c r="C327" s="3" t="s">
        <v>46</v>
      </c>
      <c r="D327" s="3">
        <v>2016</v>
      </c>
      <c r="E327" s="2" t="s">
        <v>12</v>
      </c>
      <c r="F327" s="2" t="s">
        <v>13</v>
      </c>
      <c r="G327" s="2" t="s">
        <v>14</v>
      </c>
      <c r="H327" s="4">
        <v>73630.87</v>
      </c>
      <c r="I327" s="3">
        <v>16</v>
      </c>
      <c r="J327" s="5" t="s">
        <v>15</v>
      </c>
    </row>
    <row r="328" spans="1:10" ht="23.4" x14ac:dyDescent="0.45">
      <c r="A328" s="1" t="s">
        <v>378</v>
      </c>
      <c r="B328" s="2" t="s">
        <v>38</v>
      </c>
      <c r="C328" s="3" t="s">
        <v>65</v>
      </c>
      <c r="D328" s="3">
        <v>2019</v>
      </c>
      <c r="E328" s="2" t="s">
        <v>55</v>
      </c>
      <c r="F328" s="2" t="s">
        <v>19</v>
      </c>
      <c r="G328" s="2" t="s">
        <v>14</v>
      </c>
      <c r="H328" s="4">
        <v>91909.78</v>
      </c>
      <c r="I328" s="3">
        <v>12</v>
      </c>
      <c r="J328" s="5" t="s">
        <v>32</v>
      </c>
    </row>
    <row r="329" spans="1:10" ht="23.4" x14ac:dyDescent="0.45">
      <c r="A329" s="1" t="s">
        <v>379</v>
      </c>
      <c r="B329" s="2" t="s">
        <v>26</v>
      </c>
      <c r="C329" s="3" t="s">
        <v>27</v>
      </c>
      <c r="D329" s="3">
        <v>2016</v>
      </c>
      <c r="E329" s="2" t="s">
        <v>24</v>
      </c>
      <c r="F329" s="2" t="s">
        <v>35</v>
      </c>
      <c r="G329" s="2" t="s">
        <v>14</v>
      </c>
      <c r="H329" s="4">
        <v>24042.37</v>
      </c>
      <c r="I329" s="3">
        <v>12</v>
      </c>
      <c r="J329" s="5" t="s">
        <v>32</v>
      </c>
    </row>
    <row r="330" spans="1:10" ht="23.4" x14ac:dyDescent="0.45">
      <c r="A330" s="1" t="s">
        <v>380</v>
      </c>
      <c r="B330" s="2" t="s">
        <v>17</v>
      </c>
      <c r="C330" s="3" t="s">
        <v>46</v>
      </c>
      <c r="D330" s="3">
        <v>2015</v>
      </c>
      <c r="E330" s="2" t="s">
        <v>55</v>
      </c>
      <c r="F330" s="2" t="s">
        <v>28</v>
      </c>
      <c r="G330" s="2" t="s">
        <v>14</v>
      </c>
      <c r="H330" s="4">
        <v>86885.09</v>
      </c>
      <c r="I330" s="3">
        <v>5</v>
      </c>
      <c r="J330" s="5" t="s">
        <v>15</v>
      </c>
    </row>
    <row r="331" spans="1:10" ht="23.4" x14ac:dyDescent="0.45">
      <c r="A331" s="1" t="s">
        <v>381</v>
      </c>
      <c r="B331" s="2" t="s">
        <v>26</v>
      </c>
      <c r="C331" s="3" t="s">
        <v>74</v>
      </c>
      <c r="D331" s="3">
        <v>2025</v>
      </c>
      <c r="E331" s="2" t="s">
        <v>31</v>
      </c>
      <c r="F331" s="2" t="s">
        <v>35</v>
      </c>
      <c r="G331" s="2" t="s">
        <v>14</v>
      </c>
      <c r="H331" s="4">
        <v>39257.79</v>
      </c>
      <c r="I331" s="3">
        <v>15</v>
      </c>
      <c r="J331" s="5" t="s">
        <v>15</v>
      </c>
    </row>
    <row r="332" spans="1:10" ht="23.4" x14ac:dyDescent="0.45">
      <c r="A332" s="1" t="s">
        <v>382</v>
      </c>
      <c r="B332" s="2" t="s">
        <v>43</v>
      </c>
      <c r="C332" s="3" t="s">
        <v>93</v>
      </c>
      <c r="D332" s="3">
        <v>2023</v>
      </c>
      <c r="E332" s="2" t="s">
        <v>48</v>
      </c>
      <c r="F332" s="2" t="s">
        <v>35</v>
      </c>
      <c r="G332" s="2" t="s">
        <v>14</v>
      </c>
      <c r="H332" s="4">
        <v>21666.03</v>
      </c>
      <c r="I332" s="3">
        <v>8</v>
      </c>
      <c r="J332" s="5" t="s">
        <v>36</v>
      </c>
    </row>
    <row r="333" spans="1:10" ht="23.4" x14ac:dyDescent="0.45">
      <c r="A333" s="1" t="s">
        <v>383</v>
      </c>
      <c r="B333" s="2" t="s">
        <v>22</v>
      </c>
      <c r="C333" s="3" t="s">
        <v>53</v>
      </c>
      <c r="D333" s="3">
        <v>2023</v>
      </c>
      <c r="E333" s="2" t="s">
        <v>55</v>
      </c>
      <c r="F333" s="2" t="s">
        <v>35</v>
      </c>
      <c r="G333" s="2" t="s">
        <v>14</v>
      </c>
      <c r="H333" s="4">
        <v>43315.59</v>
      </c>
      <c r="I333" s="3">
        <v>9</v>
      </c>
      <c r="J333" s="5" t="s">
        <v>15</v>
      </c>
    </row>
    <row r="334" spans="1:10" ht="23.4" x14ac:dyDescent="0.45">
      <c r="A334" s="1" t="s">
        <v>384</v>
      </c>
      <c r="B334" s="2" t="s">
        <v>43</v>
      </c>
      <c r="C334" s="3" t="s">
        <v>44</v>
      </c>
      <c r="D334" s="3">
        <v>2019</v>
      </c>
      <c r="E334" s="2" t="s">
        <v>24</v>
      </c>
      <c r="F334" s="2" t="s">
        <v>35</v>
      </c>
      <c r="G334" s="2" t="s">
        <v>20</v>
      </c>
      <c r="H334" s="4">
        <v>86322.240000000005</v>
      </c>
      <c r="I334" s="3">
        <v>13</v>
      </c>
      <c r="J334" s="5" t="s">
        <v>36</v>
      </c>
    </row>
    <row r="335" spans="1:10" ht="23.4" x14ac:dyDescent="0.45">
      <c r="A335" s="1" t="s">
        <v>385</v>
      </c>
      <c r="B335" s="2" t="s">
        <v>43</v>
      </c>
      <c r="C335" s="3" t="s">
        <v>44</v>
      </c>
      <c r="D335" s="3">
        <v>2017</v>
      </c>
      <c r="E335" s="2" t="s">
        <v>31</v>
      </c>
      <c r="F335" s="2" t="s">
        <v>35</v>
      </c>
      <c r="G335" s="2" t="s">
        <v>20</v>
      </c>
      <c r="H335" s="4">
        <v>47842.6</v>
      </c>
      <c r="I335" s="3">
        <v>10</v>
      </c>
      <c r="J335" s="5" t="s">
        <v>32</v>
      </c>
    </row>
    <row r="336" spans="1:10" ht="23.4" x14ac:dyDescent="0.45">
      <c r="A336" s="1" t="s">
        <v>386</v>
      </c>
      <c r="B336" s="2" t="s">
        <v>17</v>
      </c>
      <c r="C336" s="3" t="s">
        <v>62</v>
      </c>
      <c r="D336" s="3">
        <v>2018</v>
      </c>
      <c r="E336" s="2" t="s">
        <v>31</v>
      </c>
      <c r="F336" s="2" t="s">
        <v>35</v>
      </c>
      <c r="G336" s="2" t="s">
        <v>20</v>
      </c>
      <c r="H336" s="4">
        <v>65420.55</v>
      </c>
      <c r="I336" s="3">
        <v>19</v>
      </c>
      <c r="J336" s="5" t="s">
        <v>15</v>
      </c>
    </row>
    <row r="337" spans="1:10" ht="23.4" x14ac:dyDescent="0.45">
      <c r="A337" s="1" t="s">
        <v>387</v>
      </c>
      <c r="B337" s="2" t="s">
        <v>38</v>
      </c>
      <c r="C337" s="3" t="s">
        <v>39</v>
      </c>
      <c r="D337" s="3">
        <v>2025</v>
      </c>
      <c r="E337" s="2" t="s">
        <v>24</v>
      </c>
      <c r="F337" s="2" t="s">
        <v>19</v>
      </c>
      <c r="G337" s="2" t="s">
        <v>20</v>
      </c>
      <c r="H337" s="4">
        <v>93744.9</v>
      </c>
      <c r="I337" s="3">
        <v>8</v>
      </c>
      <c r="J337" s="5" t="s">
        <v>32</v>
      </c>
    </row>
    <row r="338" spans="1:10" ht="23.4" x14ac:dyDescent="0.45">
      <c r="A338" s="1" t="s">
        <v>388</v>
      </c>
      <c r="B338" s="2" t="s">
        <v>22</v>
      </c>
      <c r="C338" s="3" t="s">
        <v>23</v>
      </c>
      <c r="D338" s="3">
        <v>2018</v>
      </c>
      <c r="E338" s="2" t="s">
        <v>55</v>
      </c>
      <c r="F338" s="2" t="s">
        <v>19</v>
      </c>
      <c r="G338" s="2" t="s">
        <v>14</v>
      </c>
      <c r="H338" s="4">
        <v>26411.09</v>
      </c>
      <c r="I338" s="3">
        <v>20</v>
      </c>
      <c r="J338" s="5" t="s">
        <v>15</v>
      </c>
    </row>
    <row r="339" spans="1:10" ht="23.4" x14ac:dyDescent="0.45">
      <c r="A339" s="1" t="s">
        <v>389</v>
      </c>
      <c r="B339" s="2" t="s">
        <v>22</v>
      </c>
      <c r="C339" s="3" t="s">
        <v>105</v>
      </c>
      <c r="D339" s="3">
        <v>2023</v>
      </c>
      <c r="E339" s="2" t="s">
        <v>12</v>
      </c>
      <c r="F339" s="2" t="s">
        <v>28</v>
      </c>
      <c r="G339" s="2" t="s">
        <v>14</v>
      </c>
      <c r="H339" s="4">
        <v>90237.8</v>
      </c>
      <c r="I339" s="3">
        <v>1</v>
      </c>
      <c r="J339" s="5" t="s">
        <v>36</v>
      </c>
    </row>
    <row r="340" spans="1:10" ht="23.4" x14ac:dyDescent="0.45">
      <c r="A340" s="1" t="s">
        <v>390</v>
      </c>
      <c r="B340" s="2" t="s">
        <v>17</v>
      </c>
      <c r="C340" s="3" t="s">
        <v>46</v>
      </c>
      <c r="D340" s="3">
        <v>2019</v>
      </c>
      <c r="E340" s="2" t="s">
        <v>40</v>
      </c>
      <c r="F340" s="2" t="s">
        <v>28</v>
      </c>
      <c r="G340" s="2" t="s">
        <v>20</v>
      </c>
      <c r="H340" s="4">
        <v>92883.27</v>
      </c>
      <c r="I340" s="3">
        <v>10</v>
      </c>
      <c r="J340" s="5" t="s">
        <v>36</v>
      </c>
    </row>
    <row r="341" spans="1:10" ht="23.4" x14ac:dyDescent="0.45">
      <c r="A341" s="1" t="s">
        <v>391</v>
      </c>
      <c r="B341" s="2" t="s">
        <v>70</v>
      </c>
      <c r="C341" s="3" t="s">
        <v>114</v>
      </c>
      <c r="D341" s="3">
        <v>2019</v>
      </c>
      <c r="E341" s="2" t="s">
        <v>55</v>
      </c>
      <c r="F341" s="2" t="s">
        <v>19</v>
      </c>
      <c r="G341" s="2" t="s">
        <v>14</v>
      </c>
      <c r="H341" s="4">
        <v>53012.12</v>
      </c>
      <c r="I341" s="3">
        <v>20</v>
      </c>
      <c r="J341" s="5" t="s">
        <v>32</v>
      </c>
    </row>
    <row r="342" spans="1:10" ht="23.4" x14ac:dyDescent="0.45">
      <c r="A342" s="1" t="s">
        <v>392</v>
      </c>
      <c r="B342" s="2" t="s">
        <v>70</v>
      </c>
      <c r="C342" s="3" t="s">
        <v>114</v>
      </c>
      <c r="D342" s="3">
        <v>2022</v>
      </c>
      <c r="E342" s="2" t="s">
        <v>24</v>
      </c>
      <c r="F342" s="2" t="s">
        <v>13</v>
      </c>
      <c r="G342" s="2" t="s">
        <v>20</v>
      </c>
      <c r="H342" s="4">
        <v>35862.17</v>
      </c>
      <c r="I342" s="3">
        <v>7</v>
      </c>
      <c r="J342" s="5" t="s">
        <v>36</v>
      </c>
    </row>
    <row r="343" spans="1:10" ht="23.4" x14ac:dyDescent="0.45">
      <c r="A343" s="1" t="s">
        <v>393</v>
      </c>
      <c r="B343" s="2" t="s">
        <v>22</v>
      </c>
      <c r="C343" s="3" t="s">
        <v>23</v>
      </c>
      <c r="D343" s="3">
        <v>2016</v>
      </c>
      <c r="E343" s="2" t="s">
        <v>12</v>
      </c>
      <c r="F343" s="2" t="s">
        <v>13</v>
      </c>
      <c r="G343" s="2" t="s">
        <v>14</v>
      </c>
      <c r="H343" s="4">
        <v>30351.37</v>
      </c>
      <c r="I343" s="3">
        <v>18</v>
      </c>
      <c r="J343" s="5" t="s">
        <v>15</v>
      </c>
    </row>
    <row r="344" spans="1:10" ht="23.4" x14ac:dyDescent="0.45">
      <c r="A344" s="1" t="s">
        <v>394</v>
      </c>
      <c r="B344" s="2" t="s">
        <v>22</v>
      </c>
      <c r="C344" s="3" t="s">
        <v>105</v>
      </c>
      <c r="D344" s="3">
        <v>2019</v>
      </c>
      <c r="E344" s="2" t="s">
        <v>12</v>
      </c>
      <c r="F344" s="2" t="s">
        <v>28</v>
      </c>
      <c r="G344" s="2" t="s">
        <v>20</v>
      </c>
      <c r="H344" s="4">
        <v>83159.710000000006</v>
      </c>
      <c r="I344" s="3">
        <v>19</v>
      </c>
      <c r="J344" s="5" t="s">
        <v>36</v>
      </c>
    </row>
    <row r="345" spans="1:10" ht="23.4" x14ac:dyDescent="0.45">
      <c r="A345" s="1" t="s">
        <v>395</v>
      </c>
      <c r="B345" s="2" t="s">
        <v>22</v>
      </c>
      <c r="C345" s="3" t="s">
        <v>53</v>
      </c>
      <c r="D345" s="3">
        <v>2017</v>
      </c>
      <c r="E345" s="2" t="s">
        <v>12</v>
      </c>
      <c r="F345" s="2" t="s">
        <v>19</v>
      </c>
      <c r="G345" s="2" t="s">
        <v>14</v>
      </c>
      <c r="H345" s="4">
        <v>82070.94</v>
      </c>
      <c r="I345" s="3">
        <v>11</v>
      </c>
      <c r="J345" s="5" t="s">
        <v>15</v>
      </c>
    </row>
    <row r="346" spans="1:10" ht="23.4" x14ac:dyDescent="0.45">
      <c r="A346" s="1" t="s">
        <v>396</v>
      </c>
      <c r="B346" s="2" t="s">
        <v>26</v>
      </c>
      <c r="C346" s="3" t="s">
        <v>74</v>
      </c>
      <c r="D346" s="3">
        <v>2017</v>
      </c>
      <c r="E346" s="2" t="s">
        <v>31</v>
      </c>
      <c r="F346" s="2" t="s">
        <v>35</v>
      </c>
      <c r="G346" s="2" t="s">
        <v>14</v>
      </c>
      <c r="H346" s="4">
        <v>86871.06</v>
      </c>
      <c r="I346" s="3">
        <v>5</v>
      </c>
      <c r="J346" s="5" t="s">
        <v>32</v>
      </c>
    </row>
    <row r="347" spans="1:10" ht="23.4" x14ac:dyDescent="0.45">
      <c r="A347" s="1" t="s">
        <v>397</v>
      </c>
      <c r="B347" s="2" t="s">
        <v>22</v>
      </c>
      <c r="C347" s="3" t="s">
        <v>53</v>
      </c>
      <c r="D347" s="3">
        <v>2021</v>
      </c>
      <c r="E347" s="2" t="s">
        <v>31</v>
      </c>
      <c r="F347" s="2" t="s">
        <v>35</v>
      </c>
      <c r="G347" s="2" t="s">
        <v>20</v>
      </c>
      <c r="H347" s="4">
        <v>52055.61</v>
      </c>
      <c r="I347" s="3">
        <v>7</v>
      </c>
      <c r="J347" s="5" t="s">
        <v>32</v>
      </c>
    </row>
    <row r="348" spans="1:10" ht="23.4" x14ac:dyDescent="0.45">
      <c r="A348" s="1" t="s">
        <v>398</v>
      </c>
      <c r="B348" s="2" t="s">
        <v>22</v>
      </c>
      <c r="C348" s="3" t="s">
        <v>105</v>
      </c>
      <c r="D348" s="3">
        <v>2023</v>
      </c>
      <c r="E348" s="2" t="s">
        <v>55</v>
      </c>
      <c r="F348" s="2" t="s">
        <v>13</v>
      </c>
      <c r="G348" s="2" t="s">
        <v>20</v>
      </c>
      <c r="H348" s="4">
        <v>51599.71</v>
      </c>
      <c r="I348" s="3">
        <v>18</v>
      </c>
      <c r="J348" s="5" t="s">
        <v>32</v>
      </c>
    </row>
    <row r="349" spans="1:10" ht="23.4" x14ac:dyDescent="0.45">
      <c r="A349" s="1" t="s">
        <v>399</v>
      </c>
      <c r="B349" s="2" t="s">
        <v>26</v>
      </c>
      <c r="C349" s="3" t="s">
        <v>74</v>
      </c>
      <c r="D349" s="3">
        <v>2019</v>
      </c>
      <c r="E349" s="2" t="s">
        <v>12</v>
      </c>
      <c r="F349" s="2" t="s">
        <v>19</v>
      </c>
      <c r="G349" s="2" t="s">
        <v>20</v>
      </c>
      <c r="H349" s="4">
        <v>16688.91</v>
      </c>
      <c r="I349" s="3">
        <v>1</v>
      </c>
      <c r="J349" s="5" t="s">
        <v>32</v>
      </c>
    </row>
    <row r="350" spans="1:10" ht="23.4" x14ac:dyDescent="0.45">
      <c r="A350" s="1" t="s">
        <v>400</v>
      </c>
      <c r="B350" s="2" t="s">
        <v>22</v>
      </c>
      <c r="C350" s="3" t="s">
        <v>23</v>
      </c>
      <c r="D350" s="3">
        <v>2017</v>
      </c>
      <c r="E350" s="2" t="s">
        <v>40</v>
      </c>
      <c r="F350" s="2" t="s">
        <v>28</v>
      </c>
      <c r="G350" s="2" t="s">
        <v>14</v>
      </c>
      <c r="H350" s="4">
        <v>53216.75</v>
      </c>
      <c r="I350" s="3">
        <v>6</v>
      </c>
      <c r="J350" s="5" t="s">
        <v>15</v>
      </c>
    </row>
    <row r="351" spans="1:10" ht="23.4" x14ac:dyDescent="0.45">
      <c r="A351" s="1" t="s">
        <v>401</v>
      </c>
      <c r="B351" s="2" t="s">
        <v>70</v>
      </c>
      <c r="C351" s="3" t="s">
        <v>114</v>
      </c>
      <c r="D351" s="3">
        <v>2022</v>
      </c>
      <c r="E351" s="2" t="s">
        <v>55</v>
      </c>
      <c r="F351" s="2" t="s">
        <v>35</v>
      </c>
      <c r="G351" s="2" t="s">
        <v>20</v>
      </c>
      <c r="H351" s="4">
        <v>52463.23</v>
      </c>
      <c r="I351" s="3">
        <v>15</v>
      </c>
      <c r="J351" s="5" t="s">
        <v>36</v>
      </c>
    </row>
    <row r="352" spans="1:10" ht="23.4" x14ac:dyDescent="0.45">
      <c r="A352" s="1" t="s">
        <v>402</v>
      </c>
      <c r="B352" s="2" t="s">
        <v>70</v>
      </c>
      <c r="C352" s="3" t="s">
        <v>114</v>
      </c>
      <c r="D352" s="3">
        <v>2020</v>
      </c>
      <c r="E352" s="2" t="s">
        <v>40</v>
      </c>
      <c r="F352" s="2" t="s">
        <v>13</v>
      </c>
      <c r="G352" s="2" t="s">
        <v>14</v>
      </c>
      <c r="H352" s="4">
        <v>30658.1</v>
      </c>
      <c r="I352" s="3">
        <v>1</v>
      </c>
      <c r="J352" s="5" t="s">
        <v>36</v>
      </c>
    </row>
    <row r="353" spans="1:10" ht="23.4" x14ac:dyDescent="0.45">
      <c r="A353" s="1" t="s">
        <v>403</v>
      </c>
      <c r="B353" s="2" t="s">
        <v>17</v>
      </c>
      <c r="C353" s="3" t="s">
        <v>46</v>
      </c>
      <c r="D353" s="3">
        <v>2017</v>
      </c>
      <c r="E353" s="2" t="s">
        <v>55</v>
      </c>
      <c r="F353" s="2" t="s">
        <v>13</v>
      </c>
      <c r="G353" s="2" t="s">
        <v>14</v>
      </c>
      <c r="H353" s="4">
        <v>79853.55</v>
      </c>
      <c r="I353" s="3">
        <v>9</v>
      </c>
      <c r="J353" s="5" t="s">
        <v>32</v>
      </c>
    </row>
    <row r="354" spans="1:10" ht="23.4" x14ac:dyDescent="0.45">
      <c r="A354" s="1" t="s">
        <v>404</v>
      </c>
      <c r="B354" s="2" t="s">
        <v>17</v>
      </c>
      <c r="C354" s="3" t="s">
        <v>62</v>
      </c>
      <c r="D354" s="3">
        <v>2019</v>
      </c>
      <c r="E354" s="2" t="s">
        <v>12</v>
      </c>
      <c r="F354" s="2" t="s">
        <v>19</v>
      </c>
      <c r="G354" s="2" t="s">
        <v>14</v>
      </c>
      <c r="H354" s="4">
        <v>21727.73</v>
      </c>
      <c r="I354" s="3">
        <v>7</v>
      </c>
      <c r="J354" s="5" t="s">
        <v>36</v>
      </c>
    </row>
    <row r="355" spans="1:10" ht="23.4" x14ac:dyDescent="0.45">
      <c r="A355" s="1" t="s">
        <v>405</v>
      </c>
      <c r="B355" s="2" t="s">
        <v>10</v>
      </c>
      <c r="C355" s="3" t="s">
        <v>11</v>
      </c>
      <c r="D355" s="3">
        <v>2018</v>
      </c>
      <c r="E355" s="2" t="s">
        <v>55</v>
      </c>
      <c r="F355" s="2" t="s">
        <v>35</v>
      </c>
      <c r="G355" s="2" t="s">
        <v>20</v>
      </c>
      <c r="H355" s="4">
        <v>89064.3</v>
      </c>
      <c r="I355" s="3">
        <v>4</v>
      </c>
      <c r="J355" s="5" t="s">
        <v>32</v>
      </c>
    </row>
    <row r="356" spans="1:10" ht="23.4" x14ac:dyDescent="0.45">
      <c r="A356" s="1" t="s">
        <v>406</v>
      </c>
      <c r="B356" s="2" t="s">
        <v>22</v>
      </c>
      <c r="C356" s="3" t="s">
        <v>105</v>
      </c>
      <c r="D356" s="3">
        <v>2017</v>
      </c>
      <c r="E356" s="2" t="s">
        <v>48</v>
      </c>
      <c r="F356" s="2" t="s">
        <v>35</v>
      </c>
      <c r="G356" s="2" t="s">
        <v>14</v>
      </c>
      <c r="H356" s="4">
        <v>66192.899999999994</v>
      </c>
      <c r="I356" s="3">
        <v>6</v>
      </c>
      <c r="J356" s="5" t="s">
        <v>36</v>
      </c>
    </row>
    <row r="357" spans="1:10" ht="23.4" x14ac:dyDescent="0.45">
      <c r="A357" s="1" t="s">
        <v>407</v>
      </c>
      <c r="B357" s="2" t="s">
        <v>10</v>
      </c>
      <c r="C357" s="3" t="s">
        <v>30</v>
      </c>
      <c r="D357" s="3">
        <v>2017</v>
      </c>
      <c r="E357" s="2" t="s">
        <v>55</v>
      </c>
      <c r="F357" s="2" t="s">
        <v>35</v>
      </c>
      <c r="G357" s="2" t="s">
        <v>14</v>
      </c>
      <c r="H357" s="4">
        <v>93494.38</v>
      </c>
      <c r="I357" s="3">
        <v>6</v>
      </c>
      <c r="J357" s="5" t="s">
        <v>15</v>
      </c>
    </row>
    <row r="358" spans="1:10" ht="23.4" x14ac:dyDescent="0.45">
      <c r="A358" s="1" t="s">
        <v>408</v>
      </c>
      <c r="B358" s="2" t="s">
        <v>17</v>
      </c>
      <c r="C358" s="3" t="s">
        <v>62</v>
      </c>
      <c r="D358" s="3">
        <v>2019</v>
      </c>
      <c r="E358" s="2" t="s">
        <v>40</v>
      </c>
      <c r="F358" s="2" t="s">
        <v>28</v>
      </c>
      <c r="G358" s="2" t="s">
        <v>14</v>
      </c>
      <c r="H358" s="4">
        <v>55936.19</v>
      </c>
      <c r="I358" s="3">
        <v>0</v>
      </c>
      <c r="J358" s="5" t="s">
        <v>36</v>
      </c>
    </row>
    <row r="359" spans="1:10" ht="23.4" x14ac:dyDescent="0.45">
      <c r="A359" s="1" t="s">
        <v>409</v>
      </c>
      <c r="B359" s="2" t="s">
        <v>70</v>
      </c>
      <c r="C359" s="3" t="s">
        <v>114</v>
      </c>
      <c r="D359" s="3">
        <v>2025</v>
      </c>
      <c r="E359" s="2" t="s">
        <v>24</v>
      </c>
      <c r="F359" s="2" t="s">
        <v>19</v>
      </c>
      <c r="G359" s="2" t="s">
        <v>20</v>
      </c>
      <c r="H359" s="4">
        <v>96428.19</v>
      </c>
      <c r="I359" s="3">
        <v>8</v>
      </c>
      <c r="J359" s="5" t="s">
        <v>36</v>
      </c>
    </row>
    <row r="360" spans="1:10" ht="23.4" x14ac:dyDescent="0.45">
      <c r="A360" s="1" t="s">
        <v>410</v>
      </c>
      <c r="B360" s="2" t="s">
        <v>43</v>
      </c>
      <c r="C360" s="3" t="s">
        <v>93</v>
      </c>
      <c r="D360" s="3">
        <v>2022</v>
      </c>
      <c r="E360" s="2" t="s">
        <v>12</v>
      </c>
      <c r="F360" s="2" t="s">
        <v>13</v>
      </c>
      <c r="G360" s="2" t="s">
        <v>20</v>
      </c>
      <c r="H360" s="4">
        <v>95666.26</v>
      </c>
      <c r="I360" s="3">
        <v>2</v>
      </c>
      <c r="J360" s="5" t="s">
        <v>15</v>
      </c>
    </row>
    <row r="361" spans="1:10" ht="23.4" x14ac:dyDescent="0.45">
      <c r="A361" s="1" t="s">
        <v>411</v>
      </c>
      <c r="B361" s="2" t="s">
        <v>10</v>
      </c>
      <c r="C361" s="3" t="s">
        <v>30</v>
      </c>
      <c r="D361" s="3">
        <v>2023</v>
      </c>
      <c r="E361" s="2" t="s">
        <v>55</v>
      </c>
      <c r="F361" s="2" t="s">
        <v>19</v>
      </c>
      <c r="G361" s="2" t="s">
        <v>14</v>
      </c>
      <c r="H361" s="4">
        <v>55890.27</v>
      </c>
      <c r="I361" s="3">
        <v>14</v>
      </c>
      <c r="J361" s="5" t="s">
        <v>36</v>
      </c>
    </row>
    <row r="362" spans="1:10" ht="23.4" x14ac:dyDescent="0.45">
      <c r="A362" s="1" t="s">
        <v>412</v>
      </c>
      <c r="B362" s="2" t="s">
        <v>43</v>
      </c>
      <c r="C362" s="3" t="s">
        <v>93</v>
      </c>
      <c r="D362" s="3">
        <v>2016</v>
      </c>
      <c r="E362" s="2" t="s">
        <v>31</v>
      </c>
      <c r="F362" s="2" t="s">
        <v>13</v>
      </c>
      <c r="G362" s="2" t="s">
        <v>14</v>
      </c>
      <c r="H362" s="4">
        <v>96776.11</v>
      </c>
      <c r="I362" s="3">
        <v>2</v>
      </c>
      <c r="J362" s="5" t="s">
        <v>36</v>
      </c>
    </row>
    <row r="363" spans="1:10" ht="23.4" x14ac:dyDescent="0.45">
      <c r="A363" s="1" t="s">
        <v>413</v>
      </c>
      <c r="B363" s="2" t="s">
        <v>22</v>
      </c>
      <c r="C363" s="3" t="s">
        <v>23</v>
      </c>
      <c r="D363" s="3">
        <v>2022</v>
      </c>
      <c r="E363" s="2" t="s">
        <v>48</v>
      </c>
      <c r="F363" s="2" t="s">
        <v>13</v>
      </c>
      <c r="G363" s="2" t="s">
        <v>20</v>
      </c>
      <c r="H363" s="4">
        <v>75124.7</v>
      </c>
      <c r="I363" s="3">
        <v>13</v>
      </c>
      <c r="J363" s="5" t="s">
        <v>36</v>
      </c>
    </row>
    <row r="364" spans="1:10" ht="23.4" x14ac:dyDescent="0.45">
      <c r="A364" s="1" t="s">
        <v>414</v>
      </c>
      <c r="B364" s="2" t="s">
        <v>70</v>
      </c>
      <c r="C364" s="3" t="s">
        <v>80</v>
      </c>
      <c r="D364" s="3">
        <v>2015</v>
      </c>
      <c r="E364" s="2" t="s">
        <v>24</v>
      </c>
      <c r="F364" s="2" t="s">
        <v>35</v>
      </c>
      <c r="G364" s="2" t="s">
        <v>20</v>
      </c>
      <c r="H364" s="4">
        <v>99989.119999999995</v>
      </c>
      <c r="I364" s="3">
        <v>3</v>
      </c>
      <c r="J364" s="5" t="s">
        <v>15</v>
      </c>
    </row>
    <row r="365" spans="1:10" ht="23.4" x14ac:dyDescent="0.45">
      <c r="A365" s="1" t="s">
        <v>415</v>
      </c>
      <c r="B365" s="2" t="s">
        <v>26</v>
      </c>
      <c r="C365" s="3" t="s">
        <v>34</v>
      </c>
      <c r="D365" s="3">
        <v>2024</v>
      </c>
      <c r="E365" s="2" t="s">
        <v>55</v>
      </c>
      <c r="F365" s="2" t="s">
        <v>35</v>
      </c>
      <c r="G365" s="2" t="s">
        <v>14</v>
      </c>
      <c r="H365" s="4">
        <v>24071.71</v>
      </c>
      <c r="I365" s="3">
        <v>5</v>
      </c>
      <c r="J365" s="5" t="s">
        <v>15</v>
      </c>
    </row>
    <row r="366" spans="1:10" ht="23.4" x14ac:dyDescent="0.45">
      <c r="A366" s="1" t="s">
        <v>416</v>
      </c>
      <c r="B366" s="2" t="s">
        <v>70</v>
      </c>
      <c r="C366" s="3" t="s">
        <v>80</v>
      </c>
      <c r="D366" s="3">
        <v>2023</v>
      </c>
      <c r="E366" s="2" t="s">
        <v>12</v>
      </c>
      <c r="F366" s="2" t="s">
        <v>13</v>
      </c>
      <c r="G366" s="2" t="s">
        <v>20</v>
      </c>
      <c r="H366" s="4">
        <v>57296.32</v>
      </c>
      <c r="I366" s="3">
        <v>12</v>
      </c>
      <c r="J366" s="5" t="s">
        <v>32</v>
      </c>
    </row>
    <row r="367" spans="1:10" ht="23.4" x14ac:dyDescent="0.45">
      <c r="A367" s="1" t="s">
        <v>417</v>
      </c>
      <c r="B367" s="2" t="s">
        <v>26</v>
      </c>
      <c r="C367" s="3" t="s">
        <v>34</v>
      </c>
      <c r="D367" s="3">
        <v>2022</v>
      </c>
      <c r="E367" s="2" t="s">
        <v>55</v>
      </c>
      <c r="F367" s="2" t="s">
        <v>13</v>
      </c>
      <c r="G367" s="2" t="s">
        <v>14</v>
      </c>
      <c r="H367" s="4">
        <v>56171.44</v>
      </c>
      <c r="I367" s="3">
        <v>4</v>
      </c>
      <c r="J367" s="5" t="s">
        <v>36</v>
      </c>
    </row>
    <row r="368" spans="1:10" ht="23.4" x14ac:dyDescent="0.45">
      <c r="A368" s="1" t="s">
        <v>418</v>
      </c>
      <c r="B368" s="2" t="s">
        <v>17</v>
      </c>
      <c r="C368" s="3" t="s">
        <v>18</v>
      </c>
      <c r="D368" s="3">
        <v>2017</v>
      </c>
      <c r="E368" s="2" t="s">
        <v>40</v>
      </c>
      <c r="F368" s="2" t="s">
        <v>35</v>
      </c>
      <c r="G368" s="2" t="s">
        <v>20</v>
      </c>
      <c r="H368" s="4">
        <v>35856.76</v>
      </c>
      <c r="I368" s="3">
        <v>10</v>
      </c>
      <c r="J368" s="5" t="s">
        <v>15</v>
      </c>
    </row>
    <row r="369" spans="1:10" ht="23.4" x14ac:dyDescent="0.45">
      <c r="A369" s="1" t="s">
        <v>419</v>
      </c>
      <c r="B369" s="2" t="s">
        <v>43</v>
      </c>
      <c r="C369" s="3" t="s">
        <v>93</v>
      </c>
      <c r="D369" s="3">
        <v>2017</v>
      </c>
      <c r="E369" s="2" t="s">
        <v>48</v>
      </c>
      <c r="F369" s="2" t="s">
        <v>13</v>
      </c>
      <c r="G369" s="2" t="s">
        <v>20</v>
      </c>
      <c r="H369" s="4">
        <v>72043.42</v>
      </c>
      <c r="I369" s="3">
        <v>11</v>
      </c>
      <c r="J369" s="5" t="s">
        <v>15</v>
      </c>
    </row>
    <row r="370" spans="1:10" ht="23.4" x14ac:dyDescent="0.45">
      <c r="A370" s="1" t="s">
        <v>420</v>
      </c>
      <c r="B370" s="2" t="s">
        <v>22</v>
      </c>
      <c r="C370" s="3" t="s">
        <v>105</v>
      </c>
      <c r="D370" s="3">
        <v>2021</v>
      </c>
      <c r="E370" s="2" t="s">
        <v>31</v>
      </c>
      <c r="F370" s="2" t="s">
        <v>35</v>
      </c>
      <c r="G370" s="2" t="s">
        <v>20</v>
      </c>
      <c r="H370" s="4">
        <v>42812.59</v>
      </c>
      <c r="I370" s="3">
        <v>2</v>
      </c>
      <c r="J370" s="5" t="s">
        <v>32</v>
      </c>
    </row>
    <row r="371" spans="1:10" ht="23.4" x14ac:dyDescent="0.45">
      <c r="A371" s="1" t="s">
        <v>421</v>
      </c>
      <c r="B371" s="2" t="s">
        <v>17</v>
      </c>
      <c r="C371" s="3" t="s">
        <v>62</v>
      </c>
      <c r="D371" s="3">
        <v>2025</v>
      </c>
      <c r="E371" s="2" t="s">
        <v>24</v>
      </c>
      <c r="F371" s="2" t="s">
        <v>35</v>
      </c>
      <c r="G371" s="2" t="s">
        <v>20</v>
      </c>
      <c r="H371" s="4">
        <v>68216.44</v>
      </c>
      <c r="I371" s="3">
        <v>1</v>
      </c>
      <c r="J371" s="5" t="s">
        <v>32</v>
      </c>
    </row>
    <row r="372" spans="1:10" ht="23.4" x14ac:dyDescent="0.45">
      <c r="A372" s="1" t="s">
        <v>422</v>
      </c>
      <c r="B372" s="2" t="s">
        <v>26</v>
      </c>
      <c r="C372" s="3" t="s">
        <v>74</v>
      </c>
      <c r="D372" s="3">
        <v>2023</v>
      </c>
      <c r="E372" s="2" t="s">
        <v>12</v>
      </c>
      <c r="F372" s="2" t="s">
        <v>28</v>
      </c>
      <c r="G372" s="2" t="s">
        <v>20</v>
      </c>
      <c r="H372" s="4">
        <v>34068.800000000003</v>
      </c>
      <c r="I372" s="3">
        <v>14</v>
      </c>
      <c r="J372" s="5" t="s">
        <v>32</v>
      </c>
    </row>
    <row r="373" spans="1:10" ht="23.4" x14ac:dyDescent="0.45">
      <c r="A373" s="1" t="s">
        <v>423</v>
      </c>
      <c r="B373" s="2" t="s">
        <v>26</v>
      </c>
      <c r="C373" s="3" t="s">
        <v>74</v>
      </c>
      <c r="D373" s="3">
        <v>2024</v>
      </c>
      <c r="E373" s="2" t="s">
        <v>55</v>
      </c>
      <c r="F373" s="2" t="s">
        <v>13</v>
      </c>
      <c r="G373" s="2" t="s">
        <v>20</v>
      </c>
      <c r="H373" s="4">
        <v>51461.64</v>
      </c>
      <c r="I373" s="3">
        <v>1</v>
      </c>
      <c r="J373" s="5" t="s">
        <v>32</v>
      </c>
    </row>
    <row r="374" spans="1:10" ht="23.4" x14ac:dyDescent="0.45">
      <c r="A374" s="1" t="s">
        <v>424</v>
      </c>
      <c r="B374" s="2" t="s">
        <v>22</v>
      </c>
      <c r="C374" s="3" t="s">
        <v>53</v>
      </c>
      <c r="D374" s="3">
        <v>2022</v>
      </c>
      <c r="E374" s="2" t="s">
        <v>55</v>
      </c>
      <c r="F374" s="2" t="s">
        <v>19</v>
      </c>
      <c r="G374" s="2" t="s">
        <v>20</v>
      </c>
      <c r="H374" s="4">
        <v>65384.54</v>
      </c>
      <c r="I374" s="3">
        <v>17</v>
      </c>
      <c r="J374" s="5" t="s">
        <v>36</v>
      </c>
    </row>
    <row r="375" spans="1:10" ht="23.4" x14ac:dyDescent="0.45">
      <c r="A375" s="1" t="s">
        <v>425</v>
      </c>
      <c r="B375" s="2" t="s">
        <v>10</v>
      </c>
      <c r="C375" s="3" t="s">
        <v>11</v>
      </c>
      <c r="D375" s="3">
        <v>2017</v>
      </c>
      <c r="E375" s="2" t="s">
        <v>48</v>
      </c>
      <c r="F375" s="2" t="s">
        <v>35</v>
      </c>
      <c r="G375" s="2" t="s">
        <v>14</v>
      </c>
      <c r="H375" s="4">
        <v>21452.52</v>
      </c>
      <c r="I375" s="3">
        <v>20</v>
      </c>
      <c r="J375" s="5" t="s">
        <v>32</v>
      </c>
    </row>
    <row r="376" spans="1:10" ht="23.4" x14ac:dyDescent="0.45">
      <c r="A376" s="1" t="s">
        <v>426</v>
      </c>
      <c r="B376" s="2" t="s">
        <v>38</v>
      </c>
      <c r="C376" s="3" t="s">
        <v>65</v>
      </c>
      <c r="D376" s="3">
        <v>2021</v>
      </c>
      <c r="E376" s="2" t="s">
        <v>12</v>
      </c>
      <c r="F376" s="2" t="s">
        <v>13</v>
      </c>
      <c r="G376" s="2" t="s">
        <v>14</v>
      </c>
      <c r="H376" s="4">
        <v>92158.1</v>
      </c>
      <c r="I376" s="3">
        <v>6</v>
      </c>
      <c r="J376" s="5" t="s">
        <v>32</v>
      </c>
    </row>
    <row r="377" spans="1:10" ht="23.4" x14ac:dyDescent="0.45">
      <c r="A377" s="1" t="s">
        <v>427</v>
      </c>
      <c r="B377" s="2" t="s">
        <v>22</v>
      </c>
      <c r="C377" s="3" t="s">
        <v>105</v>
      </c>
      <c r="D377" s="3">
        <v>2016</v>
      </c>
      <c r="E377" s="2" t="s">
        <v>48</v>
      </c>
      <c r="F377" s="2" t="s">
        <v>19</v>
      </c>
      <c r="G377" s="2" t="s">
        <v>20</v>
      </c>
      <c r="H377" s="4">
        <v>75290.48</v>
      </c>
      <c r="I377" s="3">
        <v>18</v>
      </c>
      <c r="J377" s="5" t="s">
        <v>36</v>
      </c>
    </row>
    <row r="378" spans="1:10" ht="23.4" x14ac:dyDescent="0.45">
      <c r="A378" s="1" t="s">
        <v>428</v>
      </c>
      <c r="B378" s="2" t="s">
        <v>70</v>
      </c>
      <c r="C378" s="3" t="s">
        <v>71</v>
      </c>
      <c r="D378" s="3">
        <v>2021</v>
      </c>
      <c r="E378" s="2" t="s">
        <v>40</v>
      </c>
      <c r="F378" s="2" t="s">
        <v>19</v>
      </c>
      <c r="G378" s="2" t="s">
        <v>20</v>
      </c>
      <c r="H378" s="4">
        <v>19766.68</v>
      </c>
      <c r="I378" s="3">
        <v>7</v>
      </c>
      <c r="J378" s="5" t="s">
        <v>32</v>
      </c>
    </row>
    <row r="379" spans="1:10" ht="23.4" x14ac:dyDescent="0.45">
      <c r="A379" s="1" t="s">
        <v>429</v>
      </c>
      <c r="B379" s="2" t="s">
        <v>70</v>
      </c>
      <c r="C379" s="3" t="s">
        <v>80</v>
      </c>
      <c r="D379" s="3">
        <v>2016</v>
      </c>
      <c r="E379" s="2" t="s">
        <v>40</v>
      </c>
      <c r="F379" s="2" t="s">
        <v>13</v>
      </c>
      <c r="G379" s="2" t="s">
        <v>14</v>
      </c>
      <c r="H379" s="4">
        <v>94187.85</v>
      </c>
      <c r="I379" s="3">
        <v>13</v>
      </c>
      <c r="J379" s="5" t="s">
        <v>15</v>
      </c>
    </row>
    <row r="380" spans="1:10" ht="23.4" x14ac:dyDescent="0.45">
      <c r="A380" s="1" t="s">
        <v>430</v>
      </c>
      <c r="B380" s="2" t="s">
        <v>43</v>
      </c>
      <c r="C380" s="3" t="s">
        <v>91</v>
      </c>
      <c r="D380" s="3">
        <v>2018</v>
      </c>
      <c r="E380" s="2" t="s">
        <v>24</v>
      </c>
      <c r="F380" s="2" t="s">
        <v>19</v>
      </c>
      <c r="G380" s="2" t="s">
        <v>20</v>
      </c>
      <c r="H380" s="4">
        <v>15287.73</v>
      </c>
      <c r="I380" s="3">
        <v>9</v>
      </c>
      <c r="J380" s="5" t="s">
        <v>36</v>
      </c>
    </row>
    <row r="381" spans="1:10" ht="23.4" x14ac:dyDescent="0.45">
      <c r="A381" s="1" t="s">
        <v>431</v>
      </c>
      <c r="B381" s="2" t="s">
        <v>10</v>
      </c>
      <c r="C381" s="3" t="s">
        <v>30</v>
      </c>
      <c r="D381" s="3">
        <v>2023</v>
      </c>
      <c r="E381" s="2" t="s">
        <v>55</v>
      </c>
      <c r="F381" s="2" t="s">
        <v>13</v>
      </c>
      <c r="G381" s="2" t="s">
        <v>14</v>
      </c>
      <c r="H381" s="4">
        <v>73265.22</v>
      </c>
      <c r="I381" s="3">
        <v>8</v>
      </c>
      <c r="J381" s="5" t="s">
        <v>32</v>
      </c>
    </row>
    <row r="382" spans="1:10" ht="23.4" x14ac:dyDescent="0.45">
      <c r="A382" s="1" t="s">
        <v>432</v>
      </c>
      <c r="B382" s="2" t="s">
        <v>22</v>
      </c>
      <c r="C382" s="3" t="s">
        <v>53</v>
      </c>
      <c r="D382" s="3">
        <v>2016</v>
      </c>
      <c r="E382" s="2" t="s">
        <v>55</v>
      </c>
      <c r="F382" s="2" t="s">
        <v>13</v>
      </c>
      <c r="G382" s="2" t="s">
        <v>14</v>
      </c>
      <c r="H382" s="4">
        <v>17936.62</v>
      </c>
      <c r="I382" s="3">
        <v>1</v>
      </c>
      <c r="J382" s="5" t="s">
        <v>36</v>
      </c>
    </row>
    <row r="383" spans="1:10" ht="23.4" x14ac:dyDescent="0.45">
      <c r="A383" s="1" t="s">
        <v>433</v>
      </c>
      <c r="B383" s="2" t="s">
        <v>70</v>
      </c>
      <c r="C383" s="3" t="s">
        <v>71</v>
      </c>
      <c r="D383" s="3">
        <v>2024</v>
      </c>
      <c r="E383" s="2" t="s">
        <v>12</v>
      </c>
      <c r="F383" s="2" t="s">
        <v>28</v>
      </c>
      <c r="G383" s="2" t="s">
        <v>20</v>
      </c>
      <c r="H383" s="4">
        <v>97407.23</v>
      </c>
      <c r="I383" s="3">
        <v>10</v>
      </c>
      <c r="J383" s="5" t="s">
        <v>32</v>
      </c>
    </row>
    <row r="384" spans="1:10" ht="23.4" x14ac:dyDescent="0.45">
      <c r="A384" s="1" t="s">
        <v>434</v>
      </c>
      <c r="B384" s="2" t="s">
        <v>70</v>
      </c>
      <c r="C384" s="3" t="s">
        <v>80</v>
      </c>
      <c r="D384" s="3">
        <v>2018</v>
      </c>
      <c r="E384" s="2" t="s">
        <v>55</v>
      </c>
      <c r="F384" s="2" t="s">
        <v>28</v>
      </c>
      <c r="G384" s="2" t="s">
        <v>14</v>
      </c>
      <c r="H384" s="4">
        <v>54266.05</v>
      </c>
      <c r="I384" s="3">
        <v>12</v>
      </c>
      <c r="J384" s="5" t="s">
        <v>36</v>
      </c>
    </row>
    <row r="385" spans="1:10" ht="23.4" x14ac:dyDescent="0.45">
      <c r="A385" s="1" t="s">
        <v>435</v>
      </c>
      <c r="B385" s="2" t="s">
        <v>17</v>
      </c>
      <c r="C385" s="3" t="s">
        <v>18</v>
      </c>
      <c r="D385" s="3">
        <v>2015</v>
      </c>
      <c r="E385" s="2" t="s">
        <v>55</v>
      </c>
      <c r="F385" s="2" t="s">
        <v>13</v>
      </c>
      <c r="G385" s="2" t="s">
        <v>14</v>
      </c>
      <c r="H385" s="4">
        <v>63705.91</v>
      </c>
      <c r="I385" s="3">
        <v>1</v>
      </c>
      <c r="J385" s="5" t="s">
        <v>15</v>
      </c>
    </row>
    <row r="386" spans="1:10" ht="23.4" x14ac:dyDescent="0.45">
      <c r="A386" s="1" t="s">
        <v>436</v>
      </c>
      <c r="B386" s="2" t="s">
        <v>38</v>
      </c>
      <c r="C386" s="3" t="s">
        <v>65</v>
      </c>
      <c r="D386" s="3">
        <v>2019</v>
      </c>
      <c r="E386" s="2" t="s">
        <v>48</v>
      </c>
      <c r="F386" s="2" t="s">
        <v>19</v>
      </c>
      <c r="G386" s="2" t="s">
        <v>14</v>
      </c>
      <c r="H386" s="4">
        <v>23456.77</v>
      </c>
      <c r="I386" s="3">
        <v>20</v>
      </c>
      <c r="J386" s="5" t="s">
        <v>32</v>
      </c>
    </row>
    <row r="387" spans="1:10" ht="23.4" x14ac:dyDescent="0.45">
      <c r="A387" s="1" t="s">
        <v>437</v>
      </c>
      <c r="B387" s="2" t="s">
        <v>10</v>
      </c>
      <c r="C387" s="3" t="s">
        <v>110</v>
      </c>
      <c r="D387" s="3">
        <v>2018</v>
      </c>
      <c r="E387" s="2" t="s">
        <v>40</v>
      </c>
      <c r="F387" s="2" t="s">
        <v>35</v>
      </c>
      <c r="G387" s="2" t="s">
        <v>14</v>
      </c>
      <c r="H387" s="4">
        <v>29727.24</v>
      </c>
      <c r="I387" s="3">
        <v>1</v>
      </c>
      <c r="J387" s="5" t="s">
        <v>36</v>
      </c>
    </row>
    <row r="388" spans="1:10" ht="23.4" x14ac:dyDescent="0.45">
      <c r="A388" s="1" t="s">
        <v>438</v>
      </c>
      <c r="B388" s="2" t="s">
        <v>26</v>
      </c>
      <c r="C388" s="3" t="s">
        <v>74</v>
      </c>
      <c r="D388" s="3">
        <v>2016</v>
      </c>
      <c r="E388" s="2" t="s">
        <v>48</v>
      </c>
      <c r="F388" s="2" t="s">
        <v>13</v>
      </c>
      <c r="G388" s="2" t="s">
        <v>20</v>
      </c>
      <c r="H388" s="4">
        <v>80106.33</v>
      </c>
      <c r="I388" s="3">
        <v>13</v>
      </c>
      <c r="J388" s="5" t="s">
        <v>15</v>
      </c>
    </row>
    <row r="389" spans="1:10" ht="23.4" x14ac:dyDescent="0.45">
      <c r="A389" s="1" t="s">
        <v>439</v>
      </c>
      <c r="B389" s="2" t="s">
        <v>38</v>
      </c>
      <c r="C389" s="3" t="s">
        <v>65</v>
      </c>
      <c r="D389" s="3">
        <v>2020</v>
      </c>
      <c r="E389" s="2" t="s">
        <v>55</v>
      </c>
      <c r="F389" s="2" t="s">
        <v>19</v>
      </c>
      <c r="G389" s="2" t="s">
        <v>14</v>
      </c>
      <c r="H389" s="4">
        <v>36180.46</v>
      </c>
      <c r="I389" s="3">
        <v>1</v>
      </c>
      <c r="J389" s="5" t="s">
        <v>36</v>
      </c>
    </row>
    <row r="390" spans="1:10" ht="23.4" x14ac:dyDescent="0.45">
      <c r="A390" s="1" t="s">
        <v>440</v>
      </c>
      <c r="B390" s="2" t="s">
        <v>10</v>
      </c>
      <c r="C390" s="3" t="s">
        <v>30</v>
      </c>
      <c r="D390" s="3">
        <v>2023</v>
      </c>
      <c r="E390" s="2" t="s">
        <v>48</v>
      </c>
      <c r="F390" s="2" t="s">
        <v>28</v>
      </c>
      <c r="G390" s="2" t="s">
        <v>14</v>
      </c>
      <c r="H390" s="4">
        <v>74572.62</v>
      </c>
      <c r="I390" s="3">
        <v>10</v>
      </c>
      <c r="J390" s="5" t="s">
        <v>32</v>
      </c>
    </row>
    <row r="391" spans="1:10" ht="23.4" x14ac:dyDescent="0.45">
      <c r="A391" s="1" t="s">
        <v>441</v>
      </c>
      <c r="B391" s="2" t="s">
        <v>22</v>
      </c>
      <c r="C391" s="3" t="s">
        <v>105</v>
      </c>
      <c r="D391" s="3">
        <v>2023</v>
      </c>
      <c r="E391" s="2" t="s">
        <v>24</v>
      </c>
      <c r="F391" s="2" t="s">
        <v>13</v>
      </c>
      <c r="G391" s="2" t="s">
        <v>14</v>
      </c>
      <c r="H391" s="4">
        <v>39960.25</v>
      </c>
      <c r="I391" s="3">
        <v>1</v>
      </c>
      <c r="J391" s="5" t="s">
        <v>32</v>
      </c>
    </row>
    <row r="392" spans="1:10" ht="23.4" x14ac:dyDescent="0.45">
      <c r="A392" s="1" t="s">
        <v>442</v>
      </c>
      <c r="B392" s="2" t="s">
        <v>22</v>
      </c>
      <c r="C392" s="3" t="s">
        <v>23</v>
      </c>
      <c r="D392" s="3">
        <v>2020</v>
      </c>
      <c r="E392" s="2" t="s">
        <v>31</v>
      </c>
      <c r="F392" s="2" t="s">
        <v>19</v>
      </c>
      <c r="G392" s="2" t="s">
        <v>14</v>
      </c>
      <c r="H392" s="4">
        <v>88353.45</v>
      </c>
      <c r="I392" s="3">
        <v>11</v>
      </c>
      <c r="J392" s="5" t="s">
        <v>36</v>
      </c>
    </row>
    <row r="393" spans="1:10" ht="23.4" x14ac:dyDescent="0.45">
      <c r="A393" s="1" t="s">
        <v>443</v>
      </c>
      <c r="B393" s="2" t="s">
        <v>26</v>
      </c>
      <c r="C393" s="3" t="s">
        <v>74</v>
      </c>
      <c r="D393" s="3">
        <v>2018</v>
      </c>
      <c r="E393" s="2" t="s">
        <v>12</v>
      </c>
      <c r="F393" s="2" t="s">
        <v>28</v>
      </c>
      <c r="G393" s="2" t="s">
        <v>14</v>
      </c>
      <c r="H393" s="4">
        <v>71319.429999999993</v>
      </c>
      <c r="I393" s="3">
        <v>15</v>
      </c>
      <c r="J393" s="5" t="s">
        <v>32</v>
      </c>
    </row>
    <row r="394" spans="1:10" ht="23.4" x14ac:dyDescent="0.45">
      <c r="A394" s="1" t="s">
        <v>444</v>
      </c>
      <c r="B394" s="2" t="s">
        <v>10</v>
      </c>
      <c r="C394" s="3" t="s">
        <v>30</v>
      </c>
      <c r="D394" s="3">
        <v>2022</v>
      </c>
      <c r="E394" s="2" t="s">
        <v>24</v>
      </c>
      <c r="F394" s="2" t="s">
        <v>35</v>
      </c>
      <c r="G394" s="2" t="s">
        <v>14</v>
      </c>
      <c r="H394" s="4">
        <v>75783.38</v>
      </c>
      <c r="I394" s="3">
        <v>8</v>
      </c>
      <c r="J394" s="5" t="s">
        <v>15</v>
      </c>
    </row>
    <row r="395" spans="1:10" ht="23.4" x14ac:dyDescent="0.45">
      <c r="A395" s="1" t="s">
        <v>445</v>
      </c>
      <c r="B395" s="2" t="s">
        <v>43</v>
      </c>
      <c r="C395" s="3" t="s">
        <v>93</v>
      </c>
      <c r="D395" s="3">
        <v>2016</v>
      </c>
      <c r="E395" s="2" t="s">
        <v>55</v>
      </c>
      <c r="F395" s="2" t="s">
        <v>35</v>
      </c>
      <c r="G395" s="2" t="s">
        <v>14</v>
      </c>
      <c r="H395" s="4">
        <v>38266.04</v>
      </c>
      <c r="I395" s="3">
        <v>0</v>
      </c>
      <c r="J395" s="5" t="s">
        <v>32</v>
      </c>
    </row>
    <row r="396" spans="1:10" ht="23.4" x14ac:dyDescent="0.45">
      <c r="A396" s="1" t="s">
        <v>446</v>
      </c>
      <c r="B396" s="2" t="s">
        <v>10</v>
      </c>
      <c r="C396" s="3" t="s">
        <v>30</v>
      </c>
      <c r="D396" s="3">
        <v>2025</v>
      </c>
      <c r="E396" s="2" t="s">
        <v>40</v>
      </c>
      <c r="F396" s="2" t="s">
        <v>35</v>
      </c>
      <c r="G396" s="2" t="s">
        <v>14</v>
      </c>
      <c r="H396" s="4">
        <v>53727.95</v>
      </c>
      <c r="I396" s="3">
        <v>10</v>
      </c>
      <c r="J396" s="5" t="s">
        <v>36</v>
      </c>
    </row>
    <row r="397" spans="1:10" ht="23.4" x14ac:dyDescent="0.45">
      <c r="A397" s="1" t="s">
        <v>447</v>
      </c>
      <c r="B397" s="2" t="s">
        <v>70</v>
      </c>
      <c r="C397" s="3" t="s">
        <v>71</v>
      </c>
      <c r="D397" s="3">
        <v>2017</v>
      </c>
      <c r="E397" s="2" t="s">
        <v>48</v>
      </c>
      <c r="F397" s="2" t="s">
        <v>28</v>
      </c>
      <c r="G397" s="2" t="s">
        <v>20</v>
      </c>
      <c r="H397" s="4">
        <v>69972.710000000006</v>
      </c>
      <c r="I397" s="3">
        <v>18</v>
      </c>
      <c r="J397" s="5" t="s">
        <v>32</v>
      </c>
    </row>
    <row r="398" spans="1:10" ht="23.4" x14ac:dyDescent="0.45">
      <c r="A398" s="1" t="s">
        <v>448</v>
      </c>
      <c r="B398" s="2" t="s">
        <v>38</v>
      </c>
      <c r="C398" s="3" t="s">
        <v>96</v>
      </c>
      <c r="D398" s="3">
        <v>2024</v>
      </c>
      <c r="E398" s="2" t="s">
        <v>24</v>
      </c>
      <c r="F398" s="2" t="s">
        <v>13</v>
      </c>
      <c r="G398" s="2" t="s">
        <v>14</v>
      </c>
      <c r="H398" s="4">
        <v>34260.620000000003</v>
      </c>
      <c r="I398" s="3">
        <v>3</v>
      </c>
      <c r="J398" s="5" t="s">
        <v>32</v>
      </c>
    </row>
    <row r="399" spans="1:10" ht="23.4" x14ac:dyDescent="0.45">
      <c r="A399" s="1" t="s">
        <v>449</v>
      </c>
      <c r="B399" s="2" t="s">
        <v>22</v>
      </c>
      <c r="C399" s="3" t="s">
        <v>23</v>
      </c>
      <c r="D399" s="3">
        <v>2015</v>
      </c>
      <c r="E399" s="2" t="s">
        <v>55</v>
      </c>
      <c r="F399" s="2" t="s">
        <v>19</v>
      </c>
      <c r="G399" s="2" t="s">
        <v>20</v>
      </c>
      <c r="H399" s="4">
        <v>41514.29</v>
      </c>
      <c r="I399" s="3">
        <v>18</v>
      </c>
      <c r="J399" s="5" t="s">
        <v>15</v>
      </c>
    </row>
    <row r="400" spans="1:10" ht="23.4" x14ac:dyDescent="0.45">
      <c r="A400" s="1" t="s">
        <v>450</v>
      </c>
      <c r="B400" s="2" t="s">
        <v>70</v>
      </c>
      <c r="C400" s="3" t="s">
        <v>114</v>
      </c>
      <c r="D400" s="3">
        <v>2015</v>
      </c>
      <c r="E400" s="2" t="s">
        <v>12</v>
      </c>
      <c r="F400" s="2" t="s">
        <v>13</v>
      </c>
      <c r="G400" s="2" t="s">
        <v>20</v>
      </c>
      <c r="H400" s="4">
        <v>68707.48</v>
      </c>
      <c r="I400" s="3">
        <v>20</v>
      </c>
      <c r="J400" s="5" t="s">
        <v>36</v>
      </c>
    </row>
    <row r="401" spans="1:10" ht="23.4" x14ac:dyDescent="0.45">
      <c r="A401" s="1" t="s">
        <v>451</v>
      </c>
      <c r="B401" s="2" t="s">
        <v>10</v>
      </c>
      <c r="C401" s="3" t="s">
        <v>110</v>
      </c>
      <c r="D401" s="3">
        <v>2016</v>
      </c>
      <c r="E401" s="2" t="s">
        <v>40</v>
      </c>
      <c r="F401" s="2" t="s">
        <v>13</v>
      </c>
      <c r="G401" s="2" t="s">
        <v>14</v>
      </c>
      <c r="H401" s="4">
        <v>97026.32</v>
      </c>
      <c r="I401" s="3">
        <v>14</v>
      </c>
      <c r="J401" s="5" t="s">
        <v>32</v>
      </c>
    </row>
    <row r="402" spans="1:10" ht="23.4" x14ac:dyDescent="0.45">
      <c r="A402" s="1" t="s">
        <v>452</v>
      </c>
      <c r="B402" s="2" t="s">
        <v>26</v>
      </c>
      <c r="C402" s="3" t="s">
        <v>27</v>
      </c>
      <c r="D402" s="3">
        <v>2025</v>
      </c>
      <c r="E402" s="2" t="s">
        <v>48</v>
      </c>
      <c r="F402" s="2" t="s">
        <v>28</v>
      </c>
      <c r="G402" s="2" t="s">
        <v>20</v>
      </c>
      <c r="H402" s="4">
        <v>89678.74</v>
      </c>
      <c r="I402" s="3">
        <v>1</v>
      </c>
      <c r="J402" s="5" t="s">
        <v>36</v>
      </c>
    </row>
    <row r="403" spans="1:10" ht="23.4" x14ac:dyDescent="0.45">
      <c r="A403" s="1" t="s">
        <v>453</v>
      </c>
      <c r="B403" s="2" t="s">
        <v>43</v>
      </c>
      <c r="C403" s="3" t="s">
        <v>91</v>
      </c>
      <c r="D403" s="3">
        <v>2015</v>
      </c>
      <c r="E403" s="2" t="s">
        <v>12</v>
      </c>
      <c r="F403" s="2" t="s">
        <v>35</v>
      </c>
      <c r="G403" s="2" t="s">
        <v>20</v>
      </c>
      <c r="H403" s="4">
        <v>94457.24</v>
      </c>
      <c r="I403" s="3">
        <v>18</v>
      </c>
      <c r="J403" s="5" t="s">
        <v>15</v>
      </c>
    </row>
    <row r="404" spans="1:10" ht="23.4" x14ac:dyDescent="0.45">
      <c r="A404" s="1" t="s">
        <v>454</v>
      </c>
      <c r="B404" s="2" t="s">
        <v>38</v>
      </c>
      <c r="C404" s="3" t="s">
        <v>96</v>
      </c>
      <c r="D404" s="3">
        <v>2017</v>
      </c>
      <c r="E404" s="2" t="s">
        <v>48</v>
      </c>
      <c r="F404" s="2" t="s">
        <v>19</v>
      </c>
      <c r="G404" s="2" t="s">
        <v>14</v>
      </c>
      <c r="H404" s="4">
        <v>96698.43</v>
      </c>
      <c r="I404" s="3">
        <v>7</v>
      </c>
      <c r="J404" s="5" t="s">
        <v>36</v>
      </c>
    </row>
    <row r="405" spans="1:10" ht="23.4" x14ac:dyDescent="0.45">
      <c r="A405" s="1" t="s">
        <v>455</v>
      </c>
      <c r="B405" s="2" t="s">
        <v>70</v>
      </c>
      <c r="C405" s="3" t="s">
        <v>80</v>
      </c>
      <c r="D405" s="3">
        <v>2021</v>
      </c>
      <c r="E405" s="2" t="s">
        <v>12</v>
      </c>
      <c r="F405" s="2" t="s">
        <v>13</v>
      </c>
      <c r="G405" s="2" t="s">
        <v>20</v>
      </c>
      <c r="H405" s="4">
        <v>87910.41</v>
      </c>
      <c r="I405" s="3">
        <v>8</v>
      </c>
      <c r="J405" s="5" t="s">
        <v>36</v>
      </c>
    </row>
    <row r="406" spans="1:10" ht="23.4" x14ac:dyDescent="0.45">
      <c r="A406" s="1" t="s">
        <v>456</v>
      </c>
      <c r="B406" s="2" t="s">
        <v>17</v>
      </c>
      <c r="C406" s="3" t="s">
        <v>62</v>
      </c>
      <c r="D406" s="3">
        <v>2023</v>
      </c>
      <c r="E406" s="2" t="s">
        <v>55</v>
      </c>
      <c r="F406" s="2" t="s">
        <v>28</v>
      </c>
      <c r="G406" s="2" t="s">
        <v>14</v>
      </c>
      <c r="H406" s="4">
        <v>88806.92</v>
      </c>
      <c r="I406" s="3">
        <v>11</v>
      </c>
      <c r="J406" s="5" t="s">
        <v>32</v>
      </c>
    </row>
    <row r="407" spans="1:10" ht="23.4" x14ac:dyDescent="0.45">
      <c r="A407" s="1" t="s">
        <v>457</v>
      </c>
      <c r="B407" s="2" t="s">
        <v>10</v>
      </c>
      <c r="C407" s="3" t="s">
        <v>11</v>
      </c>
      <c r="D407" s="3">
        <v>2018</v>
      </c>
      <c r="E407" s="2" t="s">
        <v>40</v>
      </c>
      <c r="F407" s="2" t="s">
        <v>28</v>
      </c>
      <c r="G407" s="2" t="s">
        <v>14</v>
      </c>
      <c r="H407" s="4">
        <v>93761.81</v>
      </c>
      <c r="I407" s="3">
        <v>10</v>
      </c>
      <c r="J407" s="5" t="s">
        <v>36</v>
      </c>
    </row>
    <row r="408" spans="1:10" ht="23.4" x14ac:dyDescent="0.45">
      <c r="A408" s="1" t="s">
        <v>458</v>
      </c>
      <c r="B408" s="2" t="s">
        <v>70</v>
      </c>
      <c r="C408" s="3" t="s">
        <v>71</v>
      </c>
      <c r="D408" s="3">
        <v>2015</v>
      </c>
      <c r="E408" s="2" t="s">
        <v>48</v>
      </c>
      <c r="F408" s="2" t="s">
        <v>35</v>
      </c>
      <c r="G408" s="2" t="s">
        <v>14</v>
      </c>
      <c r="H408" s="4">
        <v>25314.9</v>
      </c>
      <c r="I408" s="3">
        <v>16</v>
      </c>
      <c r="J408" s="5" t="s">
        <v>15</v>
      </c>
    </row>
    <row r="409" spans="1:10" ht="23.4" x14ac:dyDescent="0.45">
      <c r="A409" s="1" t="s">
        <v>459</v>
      </c>
      <c r="B409" s="2" t="s">
        <v>43</v>
      </c>
      <c r="C409" s="3" t="s">
        <v>91</v>
      </c>
      <c r="D409" s="3">
        <v>2025</v>
      </c>
      <c r="E409" s="2" t="s">
        <v>55</v>
      </c>
      <c r="F409" s="2" t="s">
        <v>35</v>
      </c>
      <c r="G409" s="2" t="s">
        <v>20</v>
      </c>
      <c r="H409" s="4">
        <v>52323.95</v>
      </c>
      <c r="I409" s="3">
        <v>4</v>
      </c>
      <c r="J409" s="5" t="s">
        <v>32</v>
      </c>
    </row>
    <row r="410" spans="1:10" ht="23.4" x14ac:dyDescent="0.45">
      <c r="A410" s="1" t="s">
        <v>460</v>
      </c>
      <c r="B410" s="2" t="s">
        <v>38</v>
      </c>
      <c r="C410" s="3" t="s">
        <v>96</v>
      </c>
      <c r="D410" s="3">
        <v>2024</v>
      </c>
      <c r="E410" s="2" t="s">
        <v>24</v>
      </c>
      <c r="F410" s="2" t="s">
        <v>19</v>
      </c>
      <c r="G410" s="2" t="s">
        <v>14</v>
      </c>
      <c r="H410" s="4">
        <v>72708.59</v>
      </c>
      <c r="I410" s="3">
        <v>6</v>
      </c>
      <c r="J410" s="5" t="s">
        <v>36</v>
      </c>
    </row>
    <row r="411" spans="1:10" ht="23.4" x14ac:dyDescent="0.45">
      <c r="A411" s="1" t="s">
        <v>461</v>
      </c>
      <c r="B411" s="2" t="s">
        <v>70</v>
      </c>
      <c r="C411" s="3" t="s">
        <v>80</v>
      </c>
      <c r="D411" s="3">
        <v>2025</v>
      </c>
      <c r="E411" s="2" t="s">
        <v>40</v>
      </c>
      <c r="F411" s="2" t="s">
        <v>13</v>
      </c>
      <c r="G411" s="2" t="s">
        <v>14</v>
      </c>
      <c r="H411" s="4">
        <v>41377.019999999997</v>
      </c>
      <c r="I411" s="3">
        <v>2</v>
      </c>
      <c r="J411" s="5" t="s">
        <v>32</v>
      </c>
    </row>
    <row r="412" spans="1:10" ht="23.4" x14ac:dyDescent="0.45">
      <c r="A412" s="1" t="s">
        <v>462</v>
      </c>
      <c r="B412" s="2" t="s">
        <v>22</v>
      </c>
      <c r="C412" s="3" t="s">
        <v>105</v>
      </c>
      <c r="D412" s="3">
        <v>2025</v>
      </c>
      <c r="E412" s="2" t="s">
        <v>48</v>
      </c>
      <c r="F412" s="2" t="s">
        <v>19</v>
      </c>
      <c r="G412" s="2" t="s">
        <v>14</v>
      </c>
      <c r="H412" s="4">
        <v>92927.72</v>
      </c>
      <c r="I412" s="3">
        <v>9</v>
      </c>
      <c r="J412" s="5" t="s">
        <v>15</v>
      </c>
    </row>
    <row r="413" spans="1:10" ht="23.4" x14ac:dyDescent="0.45">
      <c r="A413" s="1" t="s">
        <v>463</v>
      </c>
      <c r="B413" s="2" t="s">
        <v>43</v>
      </c>
      <c r="C413" s="3" t="s">
        <v>91</v>
      </c>
      <c r="D413" s="3">
        <v>2025</v>
      </c>
      <c r="E413" s="2" t="s">
        <v>40</v>
      </c>
      <c r="F413" s="2" t="s">
        <v>13</v>
      </c>
      <c r="G413" s="2" t="s">
        <v>20</v>
      </c>
      <c r="H413" s="4">
        <v>22416.75</v>
      </c>
      <c r="I413" s="3">
        <v>16</v>
      </c>
      <c r="J413" s="5" t="s">
        <v>36</v>
      </c>
    </row>
    <row r="414" spans="1:10" ht="23.4" x14ac:dyDescent="0.45">
      <c r="A414" s="1" t="s">
        <v>464</v>
      </c>
      <c r="B414" s="2" t="s">
        <v>70</v>
      </c>
      <c r="C414" s="3" t="s">
        <v>114</v>
      </c>
      <c r="D414" s="3">
        <v>2021</v>
      </c>
      <c r="E414" s="2" t="s">
        <v>48</v>
      </c>
      <c r="F414" s="2" t="s">
        <v>13</v>
      </c>
      <c r="G414" s="2" t="s">
        <v>20</v>
      </c>
      <c r="H414" s="4">
        <v>95358.71</v>
      </c>
      <c r="I414" s="3">
        <v>4</v>
      </c>
      <c r="J414" s="5" t="s">
        <v>32</v>
      </c>
    </row>
    <row r="415" spans="1:10" ht="23.4" x14ac:dyDescent="0.45">
      <c r="A415" s="1" t="s">
        <v>465</v>
      </c>
      <c r="B415" s="2" t="s">
        <v>43</v>
      </c>
      <c r="C415" s="3" t="s">
        <v>93</v>
      </c>
      <c r="D415" s="3">
        <v>2018</v>
      </c>
      <c r="E415" s="2" t="s">
        <v>12</v>
      </c>
      <c r="F415" s="2" t="s">
        <v>19</v>
      </c>
      <c r="G415" s="2" t="s">
        <v>20</v>
      </c>
      <c r="H415" s="4">
        <v>75830.05</v>
      </c>
      <c r="I415" s="3">
        <v>0</v>
      </c>
      <c r="J415" s="5" t="s">
        <v>15</v>
      </c>
    </row>
    <row r="416" spans="1:10" ht="23.4" x14ac:dyDescent="0.45">
      <c r="A416" s="1" t="s">
        <v>466</v>
      </c>
      <c r="B416" s="2" t="s">
        <v>38</v>
      </c>
      <c r="C416" s="3" t="s">
        <v>39</v>
      </c>
      <c r="D416" s="3">
        <v>2022</v>
      </c>
      <c r="E416" s="2" t="s">
        <v>12</v>
      </c>
      <c r="F416" s="2" t="s">
        <v>13</v>
      </c>
      <c r="G416" s="2" t="s">
        <v>20</v>
      </c>
      <c r="H416" s="4">
        <v>40626.620000000003</v>
      </c>
      <c r="I416" s="3">
        <v>17</v>
      </c>
      <c r="J416" s="5" t="s">
        <v>36</v>
      </c>
    </row>
    <row r="417" spans="1:10" ht="23.4" x14ac:dyDescent="0.45">
      <c r="A417" s="1" t="s">
        <v>467</v>
      </c>
      <c r="B417" s="2" t="s">
        <v>38</v>
      </c>
      <c r="C417" s="3" t="s">
        <v>39</v>
      </c>
      <c r="D417" s="3">
        <v>2018</v>
      </c>
      <c r="E417" s="2" t="s">
        <v>55</v>
      </c>
      <c r="F417" s="2" t="s">
        <v>28</v>
      </c>
      <c r="G417" s="2" t="s">
        <v>14</v>
      </c>
      <c r="H417" s="4">
        <v>36408.74</v>
      </c>
      <c r="I417" s="3">
        <v>5</v>
      </c>
      <c r="J417" s="5" t="s">
        <v>32</v>
      </c>
    </row>
    <row r="418" spans="1:10" ht="23.4" x14ac:dyDescent="0.45">
      <c r="A418" s="1" t="s">
        <v>468</v>
      </c>
      <c r="B418" s="2" t="s">
        <v>70</v>
      </c>
      <c r="C418" s="3" t="s">
        <v>114</v>
      </c>
      <c r="D418" s="3">
        <v>2020</v>
      </c>
      <c r="E418" s="2" t="s">
        <v>55</v>
      </c>
      <c r="F418" s="2" t="s">
        <v>28</v>
      </c>
      <c r="G418" s="2" t="s">
        <v>14</v>
      </c>
      <c r="H418" s="4">
        <v>97010.2</v>
      </c>
      <c r="I418" s="3">
        <v>13</v>
      </c>
      <c r="J418" s="5" t="s">
        <v>15</v>
      </c>
    </row>
    <row r="419" spans="1:10" ht="23.4" x14ac:dyDescent="0.45">
      <c r="A419" s="1" t="s">
        <v>469</v>
      </c>
      <c r="B419" s="2" t="s">
        <v>38</v>
      </c>
      <c r="C419" s="3" t="s">
        <v>65</v>
      </c>
      <c r="D419" s="3">
        <v>2024</v>
      </c>
      <c r="E419" s="2" t="s">
        <v>48</v>
      </c>
      <c r="F419" s="2" t="s">
        <v>28</v>
      </c>
      <c r="G419" s="2" t="s">
        <v>14</v>
      </c>
      <c r="H419" s="4">
        <v>33747.300000000003</v>
      </c>
      <c r="I419" s="3">
        <v>17</v>
      </c>
      <c r="J419" s="5" t="s">
        <v>32</v>
      </c>
    </row>
    <row r="420" spans="1:10" ht="23.4" x14ac:dyDescent="0.45">
      <c r="A420" s="1" t="s">
        <v>470</v>
      </c>
      <c r="B420" s="2" t="s">
        <v>26</v>
      </c>
      <c r="C420" s="3" t="s">
        <v>34</v>
      </c>
      <c r="D420" s="3">
        <v>2024</v>
      </c>
      <c r="E420" s="2" t="s">
        <v>24</v>
      </c>
      <c r="F420" s="2" t="s">
        <v>19</v>
      </c>
      <c r="G420" s="2" t="s">
        <v>14</v>
      </c>
      <c r="H420" s="4">
        <v>26589.96</v>
      </c>
      <c r="I420" s="3">
        <v>7</v>
      </c>
      <c r="J420" s="5" t="s">
        <v>36</v>
      </c>
    </row>
    <row r="421" spans="1:10" ht="23.4" x14ac:dyDescent="0.45">
      <c r="A421" s="1" t="s">
        <v>471</v>
      </c>
      <c r="B421" s="2" t="s">
        <v>17</v>
      </c>
      <c r="C421" s="3" t="s">
        <v>62</v>
      </c>
      <c r="D421" s="3">
        <v>2021</v>
      </c>
      <c r="E421" s="2" t="s">
        <v>55</v>
      </c>
      <c r="F421" s="2" t="s">
        <v>35</v>
      </c>
      <c r="G421" s="2" t="s">
        <v>14</v>
      </c>
      <c r="H421" s="4">
        <v>99307.62</v>
      </c>
      <c r="I421" s="3">
        <v>5</v>
      </c>
      <c r="J421" s="5" t="s">
        <v>32</v>
      </c>
    </row>
    <row r="422" spans="1:10" ht="23.4" x14ac:dyDescent="0.45">
      <c r="A422" s="1" t="s">
        <v>472</v>
      </c>
      <c r="B422" s="2" t="s">
        <v>22</v>
      </c>
      <c r="C422" s="3" t="s">
        <v>105</v>
      </c>
      <c r="D422" s="3">
        <v>2024</v>
      </c>
      <c r="E422" s="2" t="s">
        <v>31</v>
      </c>
      <c r="F422" s="2" t="s">
        <v>19</v>
      </c>
      <c r="G422" s="2" t="s">
        <v>14</v>
      </c>
      <c r="H422" s="4">
        <v>67664.2</v>
      </c>
      <c r="I422" s="3">
        <v>6</v>
      </c>
      <c r="J422" s="5" t="s">
        <v>15</v>
      </c>
    </row>
    <row r="423" spans="1:10" ht="23.4" x14ac:dyDescent="0.45">
      <c r="A423" s="1" t="s">
        <v>473</v>
      </c>
      <c r="B423" s="2" t="s">
        <v>43</v>
      </c>
      <c r="C423" s="3" t="s">
        <v>91</v>
      </c>
      <c r="D423" s="3">
        <v>2024</v>
      </c>
      <c r="E423" s="2" t="s">
        <v>48</v>
      </c>
      <c r="F423" s="2" t="s">
        <v>35</v>
      </c>
      <c r="G423" s="2" t="s">
        <v>14</v>
      </c>
      <c r="H423" s="4">
        <v>24443.71</v>
      </c>
      <c r="I423" s="3">
        <v>10</v>
      </c>
      <c r="J423" s="5" t="s">
        <v>36</v>
      </c>
    </row>
    <row r="424" spans="1:10" ht="23.4" x14ac:dyDescent="0.45">
      <c r="A424" s="1" t="s">
        <v>474</v>
      </c>
      <c r="B424" s="2" t="s">
        <v>70</v>
      </c>
      <c r="C424" s="3" t="s">
        <v>80</v>
      </c>
      <c r="D424" s="3">
        <v>2019</v>
      </c>
      <c r="E424" s="2" t="s">
        <v>40</v>
      </c>
      <c r="F424" s="2" t="s">
        <v>19</v>
      </c>
      <c r="G424" s="2" t="s">
        <v>14</v>
      </c>
      <c r="H424" s="4">
        <v>70594.53</v>
      </c>
      <c r="I424" s="3">
        <v>4</v>
      </c>
      <c r="J424" s="5" t="s">
        <v>36</v>
      </c>
    </row>
    <row r="425" spans="1:10" ht="23.4" x14ac:dyDescent="0.45">
      <c r="A425" s="1" t="s">
        <v>475</v>
      </c>
      <c r="B425" s="2" t="s">
        <v>22</v>
      </c>
      <c r="C425" s="3" t="s">
        <v>23</v>
      </c>
      <c r="D425" s="3">
        <v>2020</v>
      </c>
      <c r="E425" s="2" t="s">
        <v>24</v>
      </c>
      <c r="F425" s="2" t="s">
        <v>13</v>
      </c>
      <c r="G425" s="2" t="s">
        <v>20</v>
      </c>
      <c r="H425" s="4">
        <v>70388.78</v>
      </c>
      <c r="I425" s="3">
        <v>9</v>
      </c>
      <c r="J425" s="5" t="s">
        <v>15</v>
      </c>
    </row>
    <row r="426" spans="1:10" ht="23.4" x14ac:dyDescent="0.45">
      <c r="A426" s="1" t="s">
        <v>476</v>
      </c>
      <c r="B426" s="2" t="s">
        <v>10</v>
      </c>
      <c r="C426" s="3" t="s">
        <v>30</v>
      </c>
      <c r="D426" s="3">
        <v>2019</v>
      </c>
      <c r="E426" s="2" t="s">
        <v>31</v>
      </c>
      <c r="F426" s="2" t="s">
        <v>35</v>
      </c>
      <c r="G426" s="2" t="s">
        <v>20</v>
      </c>
      <c r="H426" s="4">
        <v>20378.349999999999</v>
      </c>
      <c r="I426" s="3">
        <v>12</v>
      </c>
      <c r="J426" s="5" t="s">
        <v>15</v>
      </c>
    </row>
    <row r="427" spans="1:10" ht="23.4" x14ac:dyDescent="0.45">
      <c r="A427" s="1" t="s">
        <v>477</v>
      </c>
      <c r="B427" s="2" t="s">
        <v>26</v>
      </c>
      <c r="C427" s="3" t="s">
        <v>74</v>
      </c>
      <c r="D427" s="3">
        <v>2017</v>
      </c>
      <c r="E427" s="2" t="s">
        <v>55</v>
      </c>
      <c r="F427" s="2" t="s">
        <v>35</v>
      </c>
      <c r="G427" s="2" t="s">
        <v>20</v>
      </c>
      <c r="H427" s="4">
        <v>72163.86</v>
      </c>
      <c r="I427" s="3">
        <v>4</v>
      </c>
      <c r="J427" s="5" t="s">
        <v>32</v>
      </c>
    </row>
    <row r="428" spans="1:10" ht="23.4" x14ac:dyDescent="0.45">
      <c r="A428" s="1" t="s">
        <v>478</v>
      </c>
      <c r="B428" s="2" t="s">
        <v>70</v>
      </c>
      <c r="C428" s="3" t="s">
        <v>80</v>
      </c>
      <c r="D428" s="3">
        <v>2022</v>
      </c>
      <c r="E428" s="2" t="s">
        <v>55</v>
      </c>
      <c r="F428" s="2" t="s">
        <v>28</v>
      </c>
      <c r="G428" s="2" t="s">
        <v>20</v>
      </c>
      <c r="H428" s="4">
        <v>81521.600000000006</v>
      </c>
      <c r="I428" s="3">
        <v>1</v>
      </c>
      <c r="J428" s="5" t="s">
        <v>36</v>
      </c>
    </row>
    <row r="429" spans="1:10" ht="23.4" x14ac:dyDescent="0.45">
      <c r="A429" s="1" t="s">
        <v>479</v>
      </c>
      <c r="B429" s="2" t="s">
        <v>38</v>
      </c>
      <c r="C429" s="3" t="s">
        <v>65</v>
      </c>
      <c r="D429" s="3">
        <v>2016</v>
      </c>
      <c r="E429" s="2" t="s">
        <v>55</v>
      </c>
      <c r="F429" s="2" t="s">
        <v>28</v>
      </c>
      <c r="G429" s="2" t="s">
        <v>20</v>
      </c>
      <c r="H429" s="4">
        <v>46983.41</v>
      </c>
      <c r="I429" s="3">
        <v>0</v>
      </c>
      <c r="J429" s="5" t="s">
        <v>32</v>
      </c>
    </row>
    <row r="430" spans="1:10" ht="23.4" x14ac:dyDescent="0.45">
      <c r="A430" s="1" t="s">
        <v>480</v>
      </c>
      <c r="B430" s="2" t="s">
        <v>38</v>
      </c>
      <c r="C430" s="3" t="s">
        <v>96</v>
      </c>
      <c r="D430" s="3">
        <v>2025</v>
      </c>
      <c r="E430" s="2" t="s">
        <v>40</v>
      </c>
      <c r="F430" s="2" t="s">
        <v>13</v>
      </c>
      <c r="G430" s="2" t="s">
        <v>20</v>
      </c>
      <c r="H430" s="4">
        <v>86656.17</v>
      </c>
      <c r="I430" s="3">
        <v>12</v>
      </c>
      <c r="J430" s="5" t="s">
        <v>32</v>
      </c>
    </row>
    <row r="431" spans="1:10" ht="23.4" x14ac:dyDescent="0.45">
      <c r="A431" s="1" t="s">
        <v>481</v>
      </c>
      <c r="B431" s="2" t="s">
        <v>22</v>
      </c>
      <c r="C431" s="3" t="s">
        <v>105</v>
      </c>
      <c r="D431" s="3">
        <v>2017</v>
      </c>
      <c r="E431" s="2" t="s">
        <v>12</v>
      </c>
      <c r="F431" s="2" t="s">
        <v>35</v>
      </c>
      <c r="G431" s="2" t="s">
        <v>14</v>
      </c>
      <c r="H431" s="4">
        <v>21393.33</v>
      </c>
      <c r="I431" s="3">
        <v>6</v>
      </c>
      <c r="J431" s="5" t="s">
        <v>32</v>
      </c>
    </row>
    <row r="432" spans="1:10" ht="23.4" x14ac:dyDescent="0.45">
      <c r="A432" s="1" t="s">
        <v>482</v>
      </c>
      <c r="B432" s="2" t="s">
        <v>26</v>
      </c>
      <c r="C432" s="3" t="s">
        <v>74</v>
      </c>
      <c r="D432" s="3">
        <v>2017</v>
      </c>
      <c r="E432" s="2" t="s">
        <v>48</v>
      </c>
      <c r="F432" s="2" t="s">
        <v>13</v>
      </c>
      <c r="G432" s="2" t="s">
        <v>14</v>
      </c>
      <c r="H432" s="4">
        <v>90207.03</v>
      </c>
      <c r="I432" s="3">
        <v>2</v>
      </c>
      <c r="J432" s="5" t="s">
        <v>15</v>
      </c>
    </row>
    <row r="433" spans="1:10" ht="23.4" x14ac:dyDescent="0.45">
      <c r="A433" s="1" t="s">
        <v>483</v>
      </c>
      <c r="B433" s="2" t="s">
        <v>22</v>
      </c>
      <c r="C433" s="3" t="s">
        <v>105</v>
      </c>
      <c r="D433" s="3">
        <v>2015</v>
      </c>
      <c r="E433" s="2" t="s">
        <v>12</v>
      </c>
      <c r="F433" s="2" t="s">
        <v>28</v>
      </c>
      <c r="G433" s="2" t="s">
        <v>14</v>
      </c>
      <c r="H433" s="4">
        <v>49078.51</v>
      </c>
      <c r="I433" s="3">
        <v>14</v>
      </c>
      <c r="J433" s="5" t="s">
        <v>15</v>
      </c>
    </row>
    <row r="434" spans="1:10" ht="23.4" x14ac:dyDescent="0.45">
      <c r="A434" s="1" t="s">
        <v>484</v>
      </c>
      <c r="B434" s="2" t="s">
        <v>22</v>
      </c>
      <c r="C434" s="3" t="s">
        <v>53</v>
      </c>
      <c r="D434" s="3">
        <v>2015</v>
      </c>
      <c r="E434" s="2" t="s">
        <v>40</v>
      </c>
      <c r="F434" s="2" t="s">
        <v>28</v>
      </c>
      <c r="G434" s="2" t="s">
        <v>20</v>
      </c>
      <c r="H434" s="4">
        <v>72226.720000000001</v>
      </c>
      <c r="I434" s="3">
        <v>3</v>
      </c>
      <c r="J434" s="5" t="s">
        <v>36</v>
      </c>
    </row>
    <row r="435" spans="1:10" ht="23.4" x14ac:dyDescent="0.45">
      <c r="A435" s="1" t="s">
        <v>485</v>
      </c>
      <c r="B435" s="2" t="s">
        <v>38</v>
      </c>
      <c r="C435" s="3" t="s">
        <v>65</v>
      </c>
      <c r="D435" s="3">
        <v>2019</v>
      </c>
      <c r="E435" s="2" t="s">
        <v>12</v>
      </c>
      <c r="F435" s="2" t="s">
        <v>13</v>
      </c>
      <c r="G435" s="2" t="s">
        <v>20</v>
      </c>
      <c r="H435" s="4">
        <v>45192.28</v>
      </c>
      <c r="I435" s="3">
        <v>15</v>
      </c>
      <c r="J435" s="5" t="s">
        <v>36</v>
      </c>
    </row>
    <row r="436" spans="1:10" ht="23.4" x14ac:dyDescent="0.45">
      <c r="A436" s="1" t="s">
        <v>486</v>
      </c>
      <c r="B436" s="2" t="s">
        <v>17</v>
      </c>
      <c r="C436" s="3" t="s">
        <v>62</v>
      </c>
      <c r="D436" s="3">
        <v>2016</v>
      </c>
      <c r="E436" s="2" t="s">
        <v>40</v>
      </c>
      <c r="F436" s="2" t="s">
        <v>19</v>
      </c>
      <c r="G436" s="2" t="s">
        <v>14</v>
      </c>
      <c r="H436" s="4">
        <v>25337.119999999999</v>
      </c>
      <c r="I436" s="3">
        <v>3</v>
      </c>
      <c r="J436" s="5" t="s">
        <v>32</v>
      </c>
    </row>
    <row r="437" spans="1:10" ht="23.4" x14ac:dyDescent="0.45">
      <c r="A437" s="1" t="s">
        <v>487</v>
      </c>
      <c r="B437" s="2" t="s">
        <v>38</v>
      </c>
      <c r="C437" s="3" t="s">
        <v>96</v>
      </c>
      <c r="D437" s="3">
        <v>2018</v>
      </c>
      <c r="E437" s="2" t="s">
        <v>31</v>
      </c>
      <c r="F437" s="2" t="s">
        <v>35</v>
      </c>
      <c r="G437" s="2" t="s">
        <v>20</v>
      </c>
      <c r="H437" s="4">
        <v>67934.179999999993</v>
      </c>
      <c r="I437" s="3">
        <v>12</v>
      </c>
      <c r="J437" s="5" t="s">
        <v>15</v>
      </c>
    </row>
    <row r="438" spans="1:10" ht="23.4" x14ac:dyDescent="0.45">
      <c r="A438" s="1" t="s">
        <v>488</v>
      </c>
      <c r="B438" s="2" t="s">
        <v>22</v>
      </c>
      <c r="C438" s="3" t="s">
        <v>105</v>
      </c>
      <c r="D438" s="3">
        <v>2025</v>
      </c>
      <c r="E438" s="2" t="s">
        <v>40</v>
      </c>
      <c r="F438" s="2" t="s">
        <v>19</v>
      </c>
      <c r="G438" s="2" t="s">
        <v>14</v>
      </c>
      <c r="H438" s="4">
        <v>99669.63</v>
      </c>
      <c r="I438" s="3">
        <v>7</v>
      </c>
      <c r="J438" s="5" t="s">
        <v>15</v>
      </c>
    </row>
    <row r="439" spans="1:10" ht="23.4" x14ac:dyDescent="0.45">
      <c r="A439" s="1" t="s">
        <v>489</v>
      </c>
      <c r="B439" s="2" t="s">
        <v>10</v>
      </c>
      <c r="C439" s="3" t="s">
        <v>11</v>
      </c>
      <c r="D439" s="3">
        <v>2020</v>
      </c>
      <c r="E439" s="2" t="s">
        <v>24</v>
      </c>
      <c r="F439" s="2" t="s">
        <v>19</v>
      </c>
      <c r="G439" s="2" t="s">
        <v>20</v>
      </c>
      <c r="H439" s="4">
        <v>62584.97</v>
      </c>
      <c r="I439" s="3">
        <v>14</v>
      </c>
      <c r="J439" s="5" t="s">
        <v>32</v>
      </c>
    </row>
    <row r="440" spans="1:10" ht="23.4" x14ac:dyDescent="0.45">
      <c r="A440" s="1" t="s">
        <v>490</v>
      </c>
      <c r="B440" s="2" t="s">
        <v>26</v>
      </c>
      <c r="C440" s="3" t="s">
        <v>74</v>
      </c>
      <c r="D440" s="3">
        <v>2025</v>
      </c>
      <c r="E440" s="2" t="s">
        <v>40</v>
      </c>
      <c r="F440" s="2" t="s">
        <v>35</v>
      </c>
      <c r="G440" s="2" t="s">
        <v>14</v>
      </c>
      <c r="H440" s="4">
        <v>70576.600000000006</v>
      </c>
      <c r="I440" s="3">
        <v>17</v>
      </c>
      <c r="J440" s="5" t="s">
        <v>36</v>
      </c>
    </row>
    <row r="441" spans="1:10" ht="23.4" x14ac:dyDescent="0.45">
      <c r="A441" s="1" t="s">
        <v>491</v>
      </c>
      <c r="B441" s="2" t="s">
        <v>17</v>
      </c>
      <c r="C441" s="3" t="s">
        <v>18</v>
      </c>
      <c r="D441" s="3">
        <v>2016</v>
      </c>
      <c r="E441" s="2" t="s">
        <v>12</v>
      </c>
      <c r="F441" s="2" t="s">
        <v>19</v>
      </c>
      <c r="G441" s="2" t="s">
        <v>20</v>
      </c>
      <c r="H441" s="4">
        <v>77162.509999999995</v>
      </c>
      <c r="I441" s="3">
        <v>19</v>
      </c>
      <c r="J441" s="5" t="s">
        <v>15</v>
      </c>
    </row>
    <row r="442" spans="1:10" ht="23.4" x14ac:dyDescent="0.45">
      <c r="A442" s="1" t="s">
        <v>492</v>
      </c>
      <c r="B442" s="2" t="s">
        <v>43</v>
      </c>
      <c r="C442" s="3" t="s">
        <v>44</v>
      </c>
      <c r="D442" s="3">
        <v>2019</v>
      </c>
      <c r="E442" s="2" t="s">
        <v>48</v>
      </c>
      <c r="F442" s="2" t="s">
        <v>13</v>
      </c>
      <c r="G442" s="2" t="s">
        <v>20</v>
      </c>
      <c r="H442" s="4">
        <v>99718.55</v>
      </c>
      <c r="I442" s="3">
        <v>6</v>
      </c>
      <c r="J442" s="5" t="s">
        <v>32</v>
      </c>
    </row>
    <row r="443" spans="1:10" ht="23.4" x14ac:dyDescent="0.45">
      <c r="A443" s="1" t="s">
        <v>493</v>
      </c>
      <c r="B443" s="2" t="s">
        <v>22</v>
      </c>
      <c r="C443" s="3" t="s">
        <v>105</v>
      </c>
      <c r="D443" s="3">
        <v>2024</v>
      </c>
      <c r="E443" s="2" t="s">
        <v>55</v>
      </c>
      <c r="F443" s="2" t="s">
        <v>35</v>
      </c>
      <c r="G443" s="2" t="s">
        <v>20</v>
      </c>
      <c r="H443" s="4">
        <v>90545.9</v>
      </c>
      <c r="I443" s="3">
        <v>3</v>
      </c>
      <c r="J443" s="5" t="s">
        <v>32</v>
      </c>
    </row>
    <row r="444" spans="1:10" ht="23.4" x14ac:dyDescent="0.45">
      <c r="A444" s="1" t="s">
        <v>494</v>
      </c>
      <c r="B444" s="2" t="s">
        <v>38</v>
      </c>
      <c r="C444" s="3" t="s">
        <v>96</v>
      </c>
      <c r="D444" s="3">
        <v>2019</v>
      </c>
      <c r="E444" s="2" t="s">
        <v>31</v>
      </c>
      <c r="F444" s="2" t="s">
        <v>13</v>
      </c>
      <c r="G444" s="2" t="s">
        <v>14</v>
      </c>
      <c r="H444" s="4">
        <v>15040.82</v>
      </c>
      <c r="I444" s="3">
        <v>6</v>
      </c>
      <c r="J444" s="5" t="s">
        <v>15</v>
      </c>
    </row>
    <row r="445" spans="1:10" ht="23.4" x14ac:dyDescent="0.45">
      <c r="A445" s="1" t="s">
        <v>495</v>
      </c>
      <c r="B445" s="2" t="s">
        <v>26</v>
      </c>
      <c r="C445" s="3" t="s">
        <v>34</v>
      </c>
      <c r="D445" s="3">
        <v>2015</v>
      </c>
      <c r="E445" s="2" t="s">
        <v>48</v>
      </c>
      <c r="F445" s="2" t="s">
        <v>19</v>
      </c>
      <c r="G445" s="2" t="s">
        <v>14</v>
      </c>
      <c r="H445" s="4">
        <v>52122.52</v>
      </c>
      <c r="I445" s="3">
        <v>19</v>
      </c>
      <c r="J445" s="5" t="s">
        <v>15</v>
      </c>
    </row>
    <row r="446" spans="1:10" ht="23.4" x14ac:dyDescent="0.45">
      <c r="A446" s="1" t="s">
        <v>496</v>
      </c>
      <c r="B446" s="2" t="s">
        <v>38</v>
      </c>
      <c r="C446" s="3" t="s">
        <v>39</v>
      </c>
      <c r="D446" s="3">
        <v>2022</v>
      </c>
      <c r="E446" s="2" t="s">
        <v>31</v>
      </c>
      <c r="F446" s="2" t="s">
        <v>19</v>
      </c>
      <c r="G446" s="2" t="s">
        <v>14</v>
      </c>
      <c r="H446" s="4">
        <v>67001.440000000002</v>
      </c>
      <c r="I446" s="3">
        <v>7</v>
      </c>
      <c r="J446" s="5" t="s">
        <v>36</v>
      </c>
    </row>
    <row r="447" spans="1:10" ht="23.4" x14ac:dyDescent="0.45">
      <c r="A447" s="1" t="s">
        <v>497</v>
      </c>
      <c r="B447" s="2" t="s">
        <v>38</v>
      </c>
      <c r="C447" s="3" t="s">
        <v>39</v>
      </c>
      <c r="D447" s="3">
        <v>2019</v>
      </c>
      <c r="E447" s="2" t="s">
        <v>12</v>
      </c>
      <c r="F447" s="2" t="s">
        <v>19</v>
      </c>
      <c r="G447" s="2" t="s">
        <v>14</v>
      </c>
      <c r="H447" s="4">
        <v>96503.38</v>
      </c>
      <c r="I447" s="3">
        <v>11</v>
      </c>
      <c r="J447" s="5" t="s">
        <v>32</v>
      </c>
    </row>
    <row r="448" spans="1:10" ht="23.4" x14ac:dyDescent="0.45">
      <c r="A448" s="1" t="s">
        <v>498</v>
      </c>
      <c r="B448" s="2" t="s">
        <v>26</v>
      </c>
      <c r="C448" s="3" t="s">
        <v>74</v>
      </c>
      <c r="D448" s="3">
        <v>2017</v>
      </c>
      <c r="E448" s="2" t="s">
        <v>31</v>
      </c>
      <c r="F448" s="2" t="s">
        <v>28</v>
      </c>
      <c r="G448" s="2" t="s">
        <v>14</v>
      </c>
      <c r="H448" s="4">
        <v>96124.81</v>
      </c>
      <c r="I448" s="3">
        <v>13</v>
      </c>
      <c r="J448" s="5" t="s">
        <v>32</v>
      </c>
    </row>
    <row r="449" spans="1:10" ht="23.4" x14ac:dyDescent="0.45">
      <c r="A449" s="1" t="s">
        <v>499</v>
      </c>
      <c r="B449" s="2" t="s">
        <v>10</v>
      </c>
      <c r="C449" s="3" t="s">
        <v>30</v>
      </c>
      <c r="D449" s="3">
        <v>2021</v>
      </c>
      <c r="E449" s="2" t="s">
        <v>31</v>
      </c>
      <c r="F449" s="2" t="s">
        <v>13</v>
      </c>
      <c r="G449" s="2" t="s">
        <v>14</v>
      </c>
      <c r="H449" s="4">
        <v>81740.740000000005</v>
      </c>
      <c r="I449" s="3">
        <v>6</v>
      </c>
      <c r="J449" s="5" t="s">
        <v>36</v>
      </c>
    </row>
    <row r="450" spans="1:10" ht="23.4" x14ac:dyDescent="0.45">
      <c r="A450" s="1" t="s">
        <v>500</v>
      </c>
      <c r="B450" s="2" t="s">
        <v>70</v>
      </c>
      <c r="C450" s="3" t="s">
        <v>80</v>
      </c>
      <c r="D450" s="3">
        <v>2019</v>
      </c>
      <c r="E450" s="2" t="s">
        <v>24</v>
      </c>
      <c r="F450" s="2" t="s">
        <v>28</v>
      </c>
      <c r="G450" s="2" t="s">
        <v>14</v>
      </c>
      <c r="H450" s="4">
        <v>42928.74</v>
      </c>
      <c r="I450" s="3">
        <v>10</v>
      </c>
      <c r="J450" s="5" t="s">
        <v>15</v>
      </c>
    </row>
    <row r="451" spans="1:10" ht="23.4" x14ac:dyDescent="0.45">
      <c r="A451" s="1" t="s">
        <v>501</v>
      </c>
      <c r="B451" s="2" t="s">
        <v>26</v>
      </c>
      <c r="C451" s="3" t="s">
        <v>74</v>
      </c>
      <c r="D451" s="3">
        <v>2023</v>
      </c>
      <c r="E451" s="2" t="s">
        <v>55</v>
      </c>
      <c r="F451" s="2" t="s">
        <v>13</v>
      </c>
      <c r="G451" s="2" t="s">
        <v>14</v>
      </c>
      <c r="H451" s="4">
        <v>95414.91</v>
      </c>
      <c r="I451" s="3">
        <v>2</v>
      </c>
      <c r="J451" s="5" t="s">
        <v>15</v>
      </c>
    </row>
    <row r="452" spans="1:10" ht="23.4" x14ac:dyDescent="0.45">
      <c r="A452" s="1" t="s">
        <v>502</v>
      </c>
      <c r="B452" s="2" t="s">
        <v>10</v>
      </c>
      <c r="C452" s="3" t="s">
        <v>110</v>
      </c>
      <c r="D452" s="3">
        <v>2020</v>
      </c>
      <c r="E452" s="2" t="s">
        <v>55</v>
      </c>
      <c r="F452" s="2" t="s">
        <v>19</v>
      </c>
      <c r="G452" s="2" t="s">
        <v>20</v>
      </c>
      <c r="H452" s="4">
        <v>71681.320000000007</v>
      </c>
      <c r="I452" s="3">
        <v>5</v>
      </c>
      <c r="J452" s="5" t="s">
        <v>32</v>
      </c>
    </row>
    <row r="453" spans="1:10" ht="23.4" x14ac:dyDescent="0.45">
      <c r="A453" s="1" t="s">
        <v>503</v>
      </c>
      <c r="B453" s="2" t="s">
        <v>43</v>
      </c>
      <c r="C453" s="3" t="s">
        <v>93</v>
      </c>
      <c r="D453" s="3">
        <v>2021</v>
      </c>
      <c r="E453" s="2" t="s">
        <v>48</v>
      </c>
      <c r="F453" s="2" t="s">
        <v>19</v>
      </c>
      <c r="G453" s="2" t="s">
        <v>20</v>
      </c>
      <c r="H453" s="4">
        <v>96580.7</v>
      </c>
      <c r="I453" s="3">
        <v>11</v>
      </c>
      <c r="J453" s="5" t="s">
        <v>15</v>
      </c>
    </row>
    <row r="454" spans="1:10" ht="23.4" x14ac:dyDescent="0.45">
      <c r="A454" s="1" t="s">
        <v>504</v>
      </c>
      <c r="B454" s="2" t="s">
        <v>17</v>
      </c>
      <c r="C454" s="3" t="s">
        <v>62</v>
      </c>
      <c r="D454" s="3">
        <v>2024</v>
      </c>
      <c r="E454" s="2" t="s">
        <v>55</v>
      </c>
      <c r="F454" s="2" t="s">
        <v>35</v>
      </c>
      <c r="G454" s="2" t="s">
        <v>14</v>
      </c>
      <c r="H454" s="4">
        <v>39915.71</v>
      </c>
      <c r="I454" s="3">
        <v>15</v>
      </c>
      <c r="J454" s="5" t="s">
        <v>32</v>
      </c>
    </row>
    <row r="455" spans="1:10" ht="23.4" x14ac:dyDescent="0.45">
      <c r="A455" s="1" t="s">
        <v>505</v>
      </c>
      <c r="B455" s="2" t="s">
        <v>17</v>
      </c>
      <c r="C455" s="3" t="s">
        <v>18</v>
      </c>
      <c r="D455" s="3">
        <v>2016</v>
      </c>
      <c r="E455" s="2" t="s">
        <v>55</v>
      </c>
      <c r="F455" s="2" t="s">
        <v>13</v>
      </c>
      <c r="G455" s="2" t="s">
        <v>20</v>
      </c>
      <c r="H455" s="4">
        <v>56316.6</v>
      </c>
      <c r="I455" s="3">
        <v>3</v>
      </c>
      <c r="J455" s="5" t="s">
        <v>32</v>
      </c>
    </row>
    <row r="456" spans="1:10" ht="23.4" x14ac:dyDescent="0.45">
      <c r="A456" s="1" t="s">
        <v>506</v>
      </c>
      <c r="B456" s="2" t="s">
        <v>22</v>
      </c>
      <c r="C456" s="3" t="s">
        <v>23</v>
      </c>
      <c r="D456" s="3">
        <v>2023</v>
      </c>
      <c r="E456" s="2" t="s">
        <v>40</v>
      </c>
      <c r="F456" s="2" t="s">
        <v>28</v>
      </c>
      <c r="G456" s="2" t="s">
        <v>20</v>
      </c>
      <c r="H456" s="4">
        <v>94666.38</v>
      </c>
      <c r="I456" s="3">
        <v>0</v>
      </c>
      <c r="J456" s="5" t="s">
        <v>36</v>
      </c>
    </row>
    <row r="457" spans="1:10" ht="23.4" x14ac:dyDescent="0.45">
      <c r="A457" s="1" t="s">
        <v>507</v>
      </c>
      <c r="B457" s="2" t="s">
        <v>70</v>
      </c>
      <c r="C457" s="3" t="s">
        <v>71</v>
      </c>
      <c r="D457" s="3">
        <v>2016</v>
      </c>
      <c r="E457" s="2" t="s">
        <v>31</v>
      </c>
      <c r="F457" s="2" t="s">
        <v>13</v>
      </c>
      <c r="G457" s="2" t="s">
        <v>20</v>
      </c>
      <c r="H457" s="4">
        <v>18896.169999999998</v>
      </c>
      <c r="I457" s="3">
        <v>5</v>
      </c>
      <c r="J457" s="5" t="s">
        <v>15</v>
      </c>
    </row>
    <row r="458" spans="1:10" ht="23.4" x14ac:dyDescent="0.45">
      <c r="A458" s="1" t="s">
        <v>508</v>
      </c>
      <c r="B458" s="2" t="s">
        <v>38</v>
      </c>
      <c r="C458" s="3" t="s">
        <v>65</v>
      </c>
      <c r="D458" s="3">
        <v>2018</v>
      </c>
      <c r="E458" s="2" t="s">
        <v>55</v>
      </c>
      <c r="F458" s="2" t="s">
        <v>35</v>
      </c>
      <c r="G458" s="2" t="s">
        <v>20</v>
      </c>
      <c r="H458" s="4">
        <v>89425.83</v>
      </c>
      <c r="I458" s="3">
        <v>8</v>
      </c>
      <c r="J458" s="5" t="s">
        <v>15</v>
      </c>
    </row>
    <row r="459" spans="1:10" ht="23.4" x14ac:dyDescent="0.45">
      <c r="A459" s="1" t="s">
        <v>509</v>
      </c>
      <c r="B459" s="2" t="s">
        <v>22</v>
      </c>
      <c r="C459" s="3" t="s">
        <v>105</v>
      </c>
      <c r="D459" s="3">
        <v>2022</v>
      </c>
      <c r="E459" s="2" t="s">
        <v>40</v>
      </c>
      <c r="F459" s="2" t="s">
        <v>28</v>
      </c>
      <c r="G459" s="2" t="s">
        <v>20</v>
      </c>
      <c r="H459" s="4">
        <v>21314.27</v>
      </c>
      <c r="I459" s="3">
        <v>4</v>
      </c>
      <c r="J459" s="5" t="s">
        <v>36</v>
      </c>
    </row>
    <row r="460" spans="1:10" ht="23.4" x14ac:dyDescent="0.45">
      <c r="A460" s="1" t="s">
        <v>510</v>
      </c>
      <c r="B460" s="2" t="s">
        <v>38</v>
      </c>
      <c r="C460" s="3" t="s">
        <v>39</v>
      </c>
      <c r="D460" s="3">
        <v>2015</v>
      </c>
      <c r="E460" s="2" t="s">
        <v>31</v>
      </c>
      <c r="F460" s="2" t="s">
        <v>35</v>
      </c>
      <c r="G460" s="2" t="s">
        <v>20</v>
      </c>
      <c r="H460" s="4">
        <v>86997.52</v>
      </c>
      <c r="I460" s="3">
        <v>18</v>
      </c>
      <c r="J460" s="5" t="s">
        <v>15</v>
      </c>
    </row>
    <row r="461" spans="1:10" ht="23.4" x14ac:dyDescent="0.45">
      <c r="A461" s="1" t="s">
        <v>511</v>
      </c>
      <c r="B461" s="2" t="s">
        <v>70</v>
      </c>
      <c r="C461" s="3" t="s">
        <v>114</v>
      </c>
      <c r="D461" s="3">
        <v>2024</v>
      </c>
      <c r="E461" s="2" t="s">
        <v>40</v>
      </c>
      <c r="F461" s="2" t="s">
        <v>19</v>
      </c>
      <c r="G461" s="2" t="s">
        <v>14</v>
      </c>
      <c r="H461" s="4">
        <v>89695.19</v>
      </c>
      <c r="I461" s="3">
        <v>10</v>
      </c>
      <c r="J461" s="5" t="s">
        <v>15</v>
      </c>
    </row>
    <row r="462" spans="1:10" ht="23.4" x14ac:dyDescent="0.45">
      <c r="A462" s="1" t="s">
        <v>512</v>
      </c>
      <c r="B462" s="2" t="s">
        <v>38</v>
      </c>
      <c r="C462" s="3" t="s">
        <v>39</v>
      </c>
      <c r="D462" s="3">
        <v>2023</v>
      </c>
      <c r="E462" s="2" t="s">
        <v>40</v>
      </c>
      <c r="F462" s="2" t="s">
        <v>19</v>
      </c>
      <c r="G462" s="2" t="s">
        <v>20</v>
      </c>
      <c r="H462" s="4">
        <v>69815.820000000007</v>
      </c>
      <c r="I462" s="3">
        <v>9</v>
      </c>
      <c r="J462" s="5" t="s">
        <v>36</v>
      </c>
    </row>
    <row r="463" spans="1:10" ht="23.4" x14ac:dyDescent="0.45">
      <c r="A463" s="1" t="s">
        <v>513</v>
      </c>
      <c r="B463" s="2" t="s">
        <v>70</v>
      </c>
      <c r="C463" s="3" t="s">
        <v>80</v>
      </c>
      <c r="D463" s="3">
        <v>2020</v>
      </c>
      <c r="E463" s="2" t="s">
        <v>40</v>
      </c>
      <c r="F463" s="2" t="s">
        <v>35</v>
      </c>
      <c r="G463" s="2" t="s">
        <v>20</v>
      </c>
      <c r="H463" s="4">
        <v>70305.320000000007</v>
      </c>
      <c r="I463" s="3">
        <v>15</v>
      </c>
      <c r="J463" s="5" t="s">
        <v>15</v>
      </c>
    </row>
    <row r="464" spans="1:10" ht="23.4" x14ac:dyDescent="0.45">
      <c r="A464" s="1" t="s">
        <v>514</v>
      </c>
      <c r="B464" s="2" t="s">
        <v>43</v>
      </c>
      <c r="C464" s="3" t="s">
        <v>44</v>
      </c>
      <c r="D464" s="3">
        <v>2025</v>
      </c>
      <c r="E464" s="2" t="s">
        <v>55</v>
      </c>
      <c r="F464" s="2" t="s">
        <v>13</v>
      </c>
      <c r="G464" s="2" t="s">
        <v>20</v>
      </c>
      <c r="H464" s="4">
        <v>97547.49</v>
      </c>
      <c r="I464" s="3">
        <v>9</v>
      </c>
      <c r="J464" s="5" t="s">
        <v>32</v>
      </c>
    </row>
    <row r="465" spans="1:10" ht="23.4" x14ac:dyDescent="0.45">
      <c r="A465" s="1" t="s">
        <v>515</v>
      </c>
      <c r="B465" s="2" t="s">
        <v>26</v>
      </c>
      <c r="C465" s="3" t="s">
        <v>34</v>
      </c>
      <c r="D465" s="3">
        <v>2023</v>
      </c>
      <c r="E465" s="2" t="s">
        <v>31</v>
      </c>
      <c r="F465" s="2" t="s">
        <v>28</v>
      </c>
      <c r="G465" s="2" t="s">
        <v>20</v>
      </c>
      <c r="H465" s="4">
        <v>71865.37</v>
      </c>
      <c r="I465" s="3">
        <v>0</v>
      </c>
      <c r="J465" s="5" t="s">
        <v>36</v>
      </c>
    </row>
    <row r="466" spans="1:10" ht="23.4" x14ac:dyDescent="0.45">
      <c r="A466" s="1" t="s">
        <v>516</v>
      </c>
      <c r="B466" s="2" t="s">
        <v>43</v>
      </c>
      <c r="C466" s="3" t="s">
        <v>93</v>
      </c>
      <c r="D466" s="3">
        <v>2020</v>
      </c>
      <c r="E466" s="2" t="s">
        <v>12</v>
      </c>
      <c r="F466" s="2" t="s">
        <v>19</v>
      </c>
      <c r="G466" s="2" t="s">
        <v>20</v>
      </c>
      <c r="H466" s="4">
        <v>97325.62</v>
      </c>
      <c r="I466" s="3">
        <v>5</v>
      </c>
      <c r="J466" s="5" t="s">
        <v>32</v>
      </c>
    </row>
    <row r="467" spans="1:10" ht="23.4" x14ac:dyDescent="0.45">
      <c r="A467" s="1" t="s">
        <v>517</v>
      </c>
      <c r="B467" s="2" t="s">
        <v>38</v>
      </c>
      <c r="C467" s="3" t="s">
        <v>65</v>
      </c>
      <c r="D467" s="3">
        <v>2015</v>
      </c>
      <c r="E467" s="2" t="s">
        <v>31</v>
      </c>
      <c r="F467" s="2" t="s">
        <v>13</v>
      </c>
      <c r="G467" s="2" t="s">
        <v>20</v>
      </c>
      <c r="H467" s="4">
        <v>31162.29</v>
      </c>
      <c r="I467" s="3">
        <v>5</v>
      </c>
      <c r="J467" s="5" t="s">
        <v>32</v>
      </c>
    </row>
    <row r="468" spans="1:10" ht="23.4" x14ac:dyDescent="0.45">
      <c r="A468" s="1" t="s">
        <v>518</v>
      </c>
      <c r="B468" s="2" t="s">
        <v>22</v>
      </c>
      <c r="C468" s="3" t="s">
        <v>23</v>
      </c>
      <c r="D468" s="3">
        <v>2016</v>
      </c>
      <c r="E468" s="2" t="s">
        <v>12</v>
      </c>
      <c r="F468" s="2" t="s">
        <v>13</v>
      </c>
      <c r="G468" s="2" t="s">
        <v>14</v>
      </c>
      <c r="H468" s="4">
        <v>67754.28</v>
      </c>
      <c r="I468" s="3">
        <v>5</v>
      </c>
      <c r="J468" s="5" t="s">
        <v>15</v>
      </c>
    </row>
    <row r="469" spans="1:10" ht="23.4" x14ac:dyDescent="0.45">
      <c r="A469" s="1" t="s">
        <v>519</v>
      </c>
      <c r="B469" s="2" t="s">
        <v>43</v>
      </c>
      <c r="C469" s="3" t="s">
        <v>91</v>
      </c>
      <c r="D469" s="3">
        <v>2024</v>
      </c>
      <c r="E469" s="2" t="s">
        <v>24</v>
      </c>
      <c r="F469" s="2" t="s">
        <v>19</v>
      </c>
      <c r="G469" s="2" t="s">
        <v>14</v>
      </c>
      <c r="H469" s="4">
        <v>22864.84</v>
      </c>
      <c r="I469" s="3">
        <v>3</v>
      </c>
      <c r="J469" s="5" t="s">
        <v>15</v>
      </c>
    </row>
    <row r="470" spans="1:10" ht="23.4" x14ac:dyDescent="0.45">
      <c r="A470" s="1" t="s">
        <v>520</v>
      </c>
      <c r="B470" s="2" t="s">
        <v>70</v>
      </c>
      <c r="C470" s="3" t="s">
        <v>114</v>
      </c>
      <c r="D470" s="3">
        <v>2021</v>
      </c>
      <c r="E470" s="2" t="s">
        <v>12</v>
      </c>
      <c r="F470" s="2" t="s">
        <v>35</v>
      </c>
      <c r="G470" s="2" t="s">
        <v>20</v>
      </c>
      <c r="H470" s="4">
        <v>74126.210000000006</v>
      </c>
      <c r="I470" s="3">
        <v>4</v>
      </c>
      <c r="J470" s="5" t="s">
        <v>15</v>
      </c>
    </row>
    <row r="471" spans="1:10" ht="23.4" x14ac:dyDescent="0.45">
      <c r="A471" s="1" t="s">
        <v>521</v>
      </c>
      <c r="B471" s="2" t="s">
        <v>38</v>
      </c>
      <c r="C471" s="3" t="s">
        <v>65</v>
      </c>
      <c r="D471" s="3">
        <v>2018</v>
      </c>
      <c r="E471" s="2" t="s">
        <v>12</v>
      </c>
      <c r="F471" s="2" t="s">
        <v>35</v>
      </c>
      <c r="G471" s="2" t="s">
        <v>20</v>
      </c>
      <c r="H471" s="4">
        <v>57972.89</v>
      </c>
      <c r="I471" s="3">
        <v>15</v>
      </c>
      <c r="J471" s="5" t="s">
        <v>15</v>
      </c>
    </row>
    <row r="472" spans="1:10" ht="23.4" x14ac:dyDescent="0.45">
      <c r="A472" s="1" t="s">
        <v>522</v>
      </c>
      <c r="B472" s="2" t="s">
        <v>10</v>
      </c>
      <c r="C472" s="3" t="s">
        <v>30</v>
      </c>
      <c r="D472" s="3">
        <v>2016</v>
      </c>
      <c r="E472" s="2" t="s">
        <v>48</v>
      </c>
      <c r="F472" s="2" t="s">
        <v>28</v>
      </c>
      <c r="G472" s="2" t="s">
        <v>14</v>
      </c>
      <c r="H472" s="4">
        <v>65330.42</v>
      </c>
      <c r="I472" s="3">
        <v>14</v>
      </c>
      <c r="J472" s="5" t="s">
        <v>36</v>
      </c>
    </row>
    <row r="473" spans="1:10" ht="23.4" x14ac:dyDescent="0.45">
      <c r="A473" s="1" t="s">
        <v>523</v>
      </c>
      <c r="B473" s="2" t="s">
        <v>26</v>
      </c>
      <c r="C473" s="3" t="s">
        <v>27</v>
      </c>
      <c r="D473" s="3">
        <v>2024</v>
      </c>
      <c r="E473" s="2" t="s">
        <v>40</v>
      </c>
      <c r="F473" s="2" t="s">
        <v>13</v>
      </c>
      <c r="G473" s="2" t="s">
        <v>20</v>
      </c>
      <c r="H473" s="4">
        <v>57968.41</v>
      </c>
      <c r="I473" s="3">
        <v>16</v>
      </c>
      <c r="J473" s="5" t="s">
        <v>15</v>
      </c>
    </row>
    <row r="474" spans="1:10" ht="23.4" x14ac:dyDescent="0.45">
      <c r="A474" s="1" t="s">
        <v>524</v>
      </c>
      <c r="B474" s="2" t="s">
        <v>43</v>
      </c>
      <c r="C474" s="3" t="s">
        <v>91</v>
      </c>
      <c r="D474" s="3">
        <v>2018</v>
      </c>
      <c r="E474" s="2" t="s">
        <v>31</v>
      </c>
      <c r="F474" s="2" t="s">
        <v>28</v>
      </c>
      <c r="G474" s="2" t="s">
        <v>14</v>
      </c>
      <c r="H474" s="4">
        <v>77673.89</v>
      </c>
      <c r="I474" s="3">
        <v>5</v>
      </c>
      <c r="J474" s="5" t="s">
        <v>36</v>
      </c>
    </row>
    <row r="475" spans="1:10" ht="23.4" x14ac:dyDescent="0.45">
      <c r="A475" s="1" t="s">
        <v>525</v>
      </c>
      <c r="B475" s="2" t="s">
        <v>26</v>
      </c>
      <c r="C475" s="3" t="s">
        <v>34</v>
      </c>
      <c r="D475" s="3">
        <v>2021</v>
      </c>
      <c r="E475" s="2" t="s">
        <v>55</v>
      </c>
      <c r="F475" s="2" t="s">
        <v>28</v>
      </c>
      <c r="G475" s="2" t="s">
        <v>14</v>
      </c>
      <c r="H475" s="4">
        <v>96801.96</v>
      </c>
      <c r="I475" s="3">
        <v>17</v>
      </c>
      <c r="J475" s="5" t="s">
        <v>36</v>
      </c>
    </row>
    <row r="476" spans="1:10" ht="23.4" x14ac:dyDescent="0.45">
      <c r="A476" s="1" t="s">
        <v>526</v>
      </c>
      <c r="B476" s="2" t="s">
        <v>38</v>
      </c>
      <c r="C476" s="3" t="s">
        <v>39</v>
      </c>
      <c r="D476" s="3">
        <v>2025</v>
      </c>
      <c r="E476" s="2" t="s">
        <v>40</v>
      </c>
      <c r="F476" s="2" t="s">
        <v>28</v>
      </c>
      <c r="G476" s="2" t="s">
        <v>20</v>
      </c>
      <c r="H476" s="4">
        <v>39426.35</v>
      </c>
      <c r="I476" s="3">
        <v>10</v>
      </c>
      <c r="J476" s="5" t="s">
        <v>36</v>
      </c>
    </row>
    <row r="477" spans="1:10" ht="23.4" x14ac:dyDescent="0.45">
      <c r="A477" s="1" t="s">
        <v>527</v>
      </c>
      <c r="B477" s="2" t="s">
        <v>10</v>
      </c>
      <c r="C477" s="3" t="s">
        <v>110</v>
      </c>
      <c r="D477" s="3">
        <v>2025</v>
      </c>
      <c r="E477" s="2" t="s">
        <v>24</v>
      </c>
      <c r="F477" s="2" t="s">
        <v>28</v>
      </c>
      <c r="G477" s="2" t="s">
        <v>14</v>
      </c>
      <c r="H477" s="4">
        <v>98034.8</v>
      </c>
      <c r="I477" s="3">
        <v>9</v>
      </c>
      <c r="J477" s="5" t="s">
        <v>15</v>
      </c>
    </row>
    <row r="478" spans="1:10" ht="23.4" x14ac:dyDescent="0.45">
      <c r="A478" s="1" t="s">
        <v>528</v>
      </c>
      <c r="B478" s="2" t="s">
        <v>22</v>
      </c>
      <c r="C478" s="3" t="s">
        <v>105</v>
      </c>
      <c r="D478" s="3">
        <v>2016</v>
      </c>
      <c r="E478" s="2" t="s">
        <v>40</v>
      </c>
      <c r="F478" s="2" t="s">
        <v>19</v>
      </c>
      <c r="G478" s="2" t="s">
        <v>14</v>
      </c>
      <c r="H478" s="4">
        <v>63023.81</v>
      </c>
      <c r="I478" s="3">
        <v>17</v>
      </c>
      <c r="J478" s="5" t="s">
        <v>36</v>
      </c>
    </row>
    <row r="479" spans="1:10" ht="23.4" x14ac:dyDescent="0.45">
      <c r="A479" s="1" t="s">
        <v>529</v>
      </c>
      <c r="B479" s="2" t="s">
        <v>38</v>
      </c>
      <c r="C479" s="3" t="s">
        <v>96</v>
      </c>
      <c r="D479" s="3">
        <v>2019</v>
      </c>
      <c r="E479" s="2" t="s">
        <v>24</v>
      </c>
      <c r="F479" s="2" t="s">
        <v>19</v>
      </c>
      <c r="G479" s="2" t="s">
        <v>20</v>
      </c>
      <c r="H479" s="4">
        <v>39151.25</v>
      </c>
      <c r="I479" s="3">
        <v>13</v>
      </c>
      <c r="J479" s="5" t="s">
        <v>32</v>
      </c>
    </row>
    <row r="480" spans="1:10" ht="23.4" x14ac:dyDescent="0.45">
      <c r="A480" s="1" t="s">
        <v>530</v>
      </c>
      <c r="B480" s="2" t="s">
        <v>17</v>
      </c>
      <c r="C480" s="3" t="s">
        <v>62</v>
      </c>
      <c r="D480" s="3">
        <v>2019</v>
      </c>
      <c r="E480" s="2" t="s">
        <v>24</v>
      </c>
      <c r="F480" s="2" t="s">
        <v>19</v>
      </c>
      <c r="G480" s="2" t="s">
        <v>14</v>
      </c>
      <c r="H480" s="4">
        <v>95030.16</v>
      </c>
      <c r="I480" s="3">
        <v>3</v>
      </c>
      <c r="J480" s="5" t="s">
        <v>15</v>
      </c>
    </row>
    <row r="481" spans="1:10" ht="23.4" x14ac:dyDescent="0.45">
      <c r="A481" s="1" t="s">
        <v>531</v>
      </c>
      <c r="B481" s="2" t="s">
        <v>10</v>
      </c>
      <c r="C481" s="3" t="s">
        <v>11</v>
      </c>
      <c r="D481" s="3">
        <v>2020</v>
      </c>
      <c r="E481" s="2" t="s">
        <v>24</v>
      </c>
      <c r="F481" s="2" t="s">
        <v>13</v>
      </c>
      <c r="G481" s="2" t="s">
        <v>14</v>
      </c>
      <c r="H481" s="4">
        <v>69164.800000000003</v>
      </c>
      <c r="I481" s="3">
        <v>7</v>
      </c>
      <c r="J481" s="5" t="s">
        <v>15</v>
      </c>
    </row>
    <row r="482" spans="1:10" ht="23.4" x14ac:dyDescent="0.45">
      <c r="A482" s="1" t="s">
        <v>532</v>
      </c>
      <c r="B482" s="2" t="s">
        <v>38</v>
      </c>
      <c r="C482" s="3" t="s">
        <v>65</v>
      </c>
      <c r="D482" s="3">
        <v>2023</v>
      </c>
      <c r="E482" s="2" t="s">
        <v>40</v>
      </c>
      <c r="F482" s="2" t="s">
        <v>28</v>
      </c>
      <c r="G482" s="2" t="s">
        <v>20</v>
      </c>
      <c r="H482" s="4">
        <v>53295.040000000001</v>
      </c>
      <c r="I482" s="3">
        <v>12</v>
      </c>
      <c r="J482" s="5" t="s">
        <v>15</v>
      </c>
    </row>
    <row r="483" spans="1:10" ht="23.4" x14ac:dyDescent="0.45">
      <c r="A483" s="1" t="s">
        <v>533</v>
      </c>
      <c r="B483" s="2" t="s">
        <v>10</v>
      </c>
      <c r="C483" s="3" t="s">
        <v>11</v>
      </c>
      <c r="D483" s="3">
        <v>2018</v>
      </c>
      <c r="E483" s="2" t="s">
        <v>55</v>
      </c>
      <c r="F483" s="2" t="s">
        <v>28</v>
      </c>
      <c r="G483" s="2" t="s">
        <v>20</v>
      </c>
      <c r="H483" s="4">
        <v>47304.02</v>
      </c>
      <c r="I483" s="3">
        <v>3</v>
      </c>
      <c r="J483" s="5" t="s">
        <v>32</v>
      </c>
    </row>
    <row r="484" spans="1:10" ht="23.4" x14ac:dyDescent="0.45">
      <c r="A484" s="1" t="s">
        <v>534</v>
      </c>
      <c r="B484" s="2" t="s">
        <v>70</v>
      </c>
      <c r="C484" s="3" t="s">
        <v>114</v>
      </c>
      <c r="D484" s="3">
        <v>2020</v>
      </c>
      <c r="E484" s="2" t="s">
        <v>24</v>
      </c>
      <c r="F484" s="2" t="s">
        <v>19</v>
      </c>
      <c r="G484" s="2" t="s">
        <v>20</v>
      </c>
      <c r="H484" s="4">
        <v>57978.6</v>
      </c>
      <c r="I484" s="3">
        <v>2</v>
      </c>
      <c r="J484" s="5" t="s">
        <v>15</v>
      </c>
    </row>
    <row r="485" spans="1:10" ht="23.4" x14ac:dyDescent="0.45">
      <c r="A485" s="1" t="s">
        <v>535</v>
      </c>
      <c r="B485" s="2" t="s">
        <v>10</v>
      </c>
      <c r="C485" s="3" t="s">
        <v>11</v>
      </c>
      <c r="D485" s="3">
        <v>2018</v>
      </c>
      <c r="E485" s="2" t="s">
        <v>40</v>
      </c>
      <c r="F485" s="2" t="s">
        <v>13</v>
      </c>
      <c r="G485" s="2" t="s">
        <v>14</v>
      </c>
      <c r="H485" s="4">
        <v>35701.449999999997</v>
      </c>
      <c r="I485" s="3">
        <v>10</v>
      </c>
      <c r="J485" s="5" t="s">
        <v>32</v>
      </c>
    </row>
    <row r="486" spans="1:10" ht="23.4" x14ac:dyDescent="0.45">
      <c r="A486" s="1" t="s">
        <v>536</v>
      </c>
      <c r="B486" s="2" t="s">
        <v>17</v>
      </c>
      <c r="C486" s="3" t="s">
        <v>62</v>
      </c>
      <c r="D486" s="3">
        <v>2022</v>
      </c>
      <c r="E486" s="2" t="s">
        <v>40</v>
      </c>
      <c r="F486" s="2" t="s">
        <v>13</v>
      </c>
      <c r="G486" s="2" t="s">
        <v>20</v>
      </c>
      <c r="H486" s="4">
        <v>95460.71</v>
      </c>
      <c r="I486" s="3">
        <v>8</v>
      </c>
      <c r="J486" s="5" t="s">
        <v>36</v>
      </c>
    </row>
    <row r="487" spans="1:10" ht="23.4" x14ac:dyDescent="0.45">
      <c r="A487" s="1" t="s">
        <v>537</v>
      </c>
      <c r="B487" s="2" t="s">
        <v>43</v>
      </c>
      <c r="C487" s="3" t="s">
        <v>44</v>
      </c>
      <c r="D487" s="3">
        <v>2023</v>
      </c>
      <c r="E487" s="2" t="s">
        <v>48</v>
      </c>
      <c r="F487" s="2" t="s">
        <v>19</v>
      </c>
      <c r="G487" s="2" t="s">
        <v>20</v>
      </c>
      <c r="H487" s="4">
        <v>64128.73</v>
      </c>
      <c r="I487" s="3">
        <v>4</v>
      </c>
      <c r="J487" s="5" t="s">
        <v>15</v>
      </c>
    </row>
    <row r="488" spans="1:10" ht="23.4" x14ac:dyDescent="0.45">
      <c r="A488" s="1" t="s">
        <v>538</v>
      </c>
      <c r="B488" s="2" t="s">
        <v>17</v>
      </c>
      <c r="C488" s="3" t="s">
        <v>62</v>
      </c>
      <c r="D488" s="3">
        <v>2018</v>
      </c>
      <c r="E488" s="2" t="s">
        <v>31</v>
      </c>
      <c r="F488" s="2" t="s">
        <v>28</v>
      </c>
      <c r="G488" s="2" t="s">
        <v>20</v>
      </c>
      <c r="H488" s="4">
        <v>71823.77</v>
      </c>
      <c r="I488" s="3">
        <v>2</v>
      </c>
      <c r="J488" s="5" t="s">
        <v>15</v>
      </c>
    </row>
    <row r="489" spans="1:10" ht="23.4" x14ac:dyDescent="0.45">
      <c r="A489" s="1" t="s">
        <v>539</v>
      </c>
      <c r="B489" s="2" t="s">
        <v>17</v>
      </c>
      <c r="C489" s="3" t="s">
        <v>18</v>
      </c>
      <c r="D489" s="3">
        <v>2025</v>
      </c>
      <c r="E489" s="2" t="s">
        <v>31</v>
      </c>
      <c r="F489" s="2" t="s">
        <v>13</v>
      </c>
      <c r="G489" s="2" t="s">
        <v>14</v>
      </c>
      <c r="H489" s="4">
        <v>26437</v>
      </c>
      <c r="I489" s="3">
        <v>15</v>
      </c>
      <c r="J489" s="5" t="s">
        <v>36</v>
      </c>
    </row>
    <row r="490" spans="1:10" ht="23.4" x14ac:dyDescent="0.45">
      <c r="A490" s="1" t="s">
        <v>540</v>
      </c>
      <c r="B490" s="2" t="s">
        <v>38</v>
      </c>
      <c r="C490" s="3" t="s">
        <v>65</v>
      </c>
      <c r="D490" s="3">
        <v>2018</v>
      </c>
      <c r="E490" s="2" t="s">
        <v>31</v>
      </c>
      <c r="F490" s="2" t="s">
        <v>19</v>
      </c>
      <c r="G490" s="2" t="s">
        <v>14</v>
      </c>
      <c r="H490" s="4">
        <v>76993.42</v>
      </c>
      <c r="I490" s="3">
        <v>7</v>
      </c>
      <c r="J490" s="5" t="s">
        <v>32</v>
      </c>
    </row>
    <row r="491" spans="1:10" ht="23.4" x14ac:dyDescent="0.45">
      <c r="A491" s="1" t="s">
        <v>541</v>
      </c>
      <c r="B491" s="2" t="s">
        <v>43</v>
      </c>
      <c r="C491" s="3" t="s">
        <v>91</v>
      </c>
      <c r="D491" s="3">
        <v>2016</v>
      </c>
      <c r="E491" s="2" t="s">
        <v>55</v>
      </c>
      <c r="F491" s="2" t="s">
        <v>28</v>
      </c>
      <c r="G491" s="2" t="s">
        <v>14</v>
      </c>
      <c r="H491" s="4">
        <v>53228.52</v>
      </c>
      <c r="I491" s="3">
        <v>15</v>
      </c>
      <c r="J491" s="5" t="s">
        <v>15</v>
      </c>
    </row>
    <row r="492" spans="1:10" ht="23.4" x14ac:dyDescent="0.45">
      <c r="A492" s="1" t="s">
        <v>542</v>
      </c>
      <c r="B492" s="2" t="s">
        <v>70</v>
      </c>
      <c r="C492" s="3" t="s">
        <v>114</v>
      </c>
      <c r="D492" s="3">
        <v>2022</v>
      </c>
      <c r="E492" s="2" t="s">
        <v>12</v>
      </c>
      <c r="F492" s="2" t="s">
        <v>13</v>
      </c>
      <c r="G492" s="2" t="s">
        <v>14</v>
      </c>
      <c r="H492" s="4">
        <v>19841.22</v>
      </c>
      <c r="I492" s="3">
        <v>5</v>
      </c>
      <c r="J492" s="5" t="s">
        <v>36</v>
      </c>
    </row>
    <row r="493" spans="1:10" ht="23.4" x14ac:dyDescent="0.45">
      <c r="A493" s="1" t="s">
        <v>543</v>
      </c>
      <c r="B493" s="2" t="s">
        <v>17</v>
      </c>
      <c r="C493" s="3" t="s">
        <v>18</v>
      </c>
      <c r="D493" s="3">
        <v>2022</v>
      </c>
      <c r="E493" s="2" t="s">
        <v>24</v>
      </c>
      <c r="F493" s="2" t="s">
        <v>19</v>
      </c>
      <c r="G493" s="2" t="s">
        <v>20</v>
      </c>
      <c r="H493" s="4">
        <v>16340.85</v>
      </c>
      <c r="I493" s="3">
        <v>10</v>
      </c>
      <c r="J493" s="5" t="s">
        <v>15</v>
      </c>
    </row>
    <row r="494" spans="1:10" ht="23.4" x14ac:dyDescent="0.45">
      <c r="A494" s="1" t="s">
        <v>544</v>
      </c>
      <c r="B494" s="2" t="s">
        <v>10</v>
      </c>
      <c r="C494" s="3" t="s">
        <v>110</v>
      </c>
      <c r="D494" s="3">
        <v>2017</v>
      </c>
      <c r="E494" s="2" t="s">
        <v>55</v>
      </c>
      <c r="F494" s="2" t="s">
        <v>35</v>
      </c>
      <c r="G494" s="2" t="s">
        <v>14</v>
      </c>
      <c r="H494" s="4">
        <v>31016.48</v>
      </c>
      <c r="I494" s="3">
        <v>19</v>
      </c>
      <c r="J494" s="5" t="s">
        <v>32</v>
      </c>
    </row>
    <row r="495" spans="1:10" ht="23.4" x14ac:dyDescent="0.45">
      <c r="A495" s="1" t="s">
        <v>545</v>
      </c>
      <c r="B495" s="2" t="s">
        <v>10</v>
      </c>
      <c r="C495" s="3" t="s">
        <v>110</v>
      </c>
      <c r="D495" s="3">
        <v>2017</v>
      </c>
      <c r="E495" s="2" t="s">
        <v>31</v>
      </c>
      <c r="F495" s="2" t="s">
        <v>19</v>
      </c>
      <c r="G495" s="2" t="s">
        <v>20</v>
      </c>
      <c r="H495" s="4">
        <v>42214.03</v>
      </c>
      <c r="I495" s="3">
        <v>19</v>
      </c>
      <c r="J495" s="5" t="s">
        <v>32</v>
      </c>
    </row>
    <row r="496" spans="1:10" ht="23.4" x14ac:dyDescent="0.45">
      <c r="A496" s="1" t="s">
        <v>546</v>
      </c>
      <c r="B496" s="2" t="s">
        <v>17</v>
      </c>
      <c r="C496" s="3" t="s">
        <v>46</v>
      </c>
      <c r="D496" s="3">
        <v>2018</v>
      </c>
      <c r="E496" s="2" t="s">
        <v>55</v>
      </c>
      <c r="F496" s="2" t="s">
        <v>35</v>
      </c>
      <c r="G496" s="2" t="s">
        <v>14</v>
      </c>
      <c r="H496" s="4">
        <v>97334.54</v>
      </c>
      <c r="I496" s="3">
        <v>18</v>
      </c>
      <c r="J496" s="5" t="s">
        <v>36</v>
      </c>
    </row>
    <row r="497" spans="1:10" ht="23.4" x14ac:dyDescent="0.45">
      <c r="A497" s="1" t="s">
        <v>547</v>
      </c>
      <c r="B497" s="2" t="s">
        <v>43</v>
      </c>
      <c r="C497" s="3" t="s">
        <v>93</v>
      </c>
      <c r="D497" s="3">
        <v>2023</v>
      </c>
      <c r="E497" s="2" t="s">
        <v>12</v>
      </c>
      <c r="F497" s="2" t="s">
        <v>35</v>
      </c>
      <c r="G497" s="2" t="s">
        <v>20</v>
      </c>
      <c r="H497" s="4">
        <v>53580.76</v>
      </c>
      <c r="I497" s="3">
        <v>14</v>
      </c>
      <c r="J497" s="5" t="s">
        <v>15</v>
      </c>
    </row>
    <row r="498" spans="1:10" ht="23.4" x14ac:dyDescent="0.45">
      <c r="A498" s="1" t="s">
        <v>548</v>
      </c>
      <c r="B498" s="2" t="s">
        <v>22</v>
      </c>
      <c r="C498" s="3" t="s">
        <v>53</v>
      </c>
      <c r="D498" s="3">
        <v>2021</v>
      </c>
      <c r="E498" s="2" t="s">
        <v>55</v>
      </c>
      <c r="F498" s="2" t="s">
        <v>19</v>
      </c>
      <c r="G498" s="2" t="s">
        <v>20</v>
      </c>
      <c r="H498" s="4">
        <v>24233.93</v>
      </c>
      <c r="I498" s="3">
        <v>8</v>
      </c>
      <c r="J498" s="5" t="s">
        <v>15</v>
      </c>
    </row>
    <row r="499" spans="1:10" ht="23.4" x14ac:dyDescent="0.45">
      <c r="A499" s="1" t="s">
        <v>549</v>
      </c>
      <c r="B499" s="2" t="s">
        <v>38</v>
      </c>
      <c r="C499" s="3" t="s">
        <v>96</v>
      </c>
      <c r="D499" s="3">
        <v>2018</v>
      </c>
      <c r="E499" s="2" t="s">
        <v>12</v>
      </c>
      <c r="F499" s="2" t="s">
        <v>13</v>
      </c>
      <c r="G499" s="2" t="s">
        <v>20</v>
      </c>
      <c r="H499" s="4">
        <v>55534.6</v>
      </c>
      <c r="I499" s="3">
        <v>15</v>
      </c>
      <c r="J499" s="5" t="s">
        <v>15</v>
      </c>
    </row>
    <row r="500" spans="1:10" ht="23.4" x14ac:dyDescent="0.45">
      <c r="A500" s="1" t="s">
        <v>550</v>
      </c>
      <c r="B500" s="2" t="s">
        <v>17</v>
      </c>
      <c r="C500" s="3" t="s">
        <v>18</v>
      </c>
      <c r="D500" s="3">
        <v>2025</v>
      </c>
      <c r="E500" s="2" t="s">
        <v>24</v>
      </c>
      <c r="F500" s="2" t="s">
        <v>35</v>
      </c>
      <c r="G500" s="2" t="s">
        <v>20</v>
      </c>
      <c r="H500" s="4">
        <v>59691.91</v>
      </c>
      <c r="I500" s="3">
        <v>14</v>
      </c>
      <c r="J500" s="5" t="s">
        <v>32</v>
      </c>
    </row>
    <row r="501" spans="1:10" ht="23.4" x14ac:dyDescent="0.45">
      <c r="A501" s="6" t="s">
        <v>551</v>
      </c>
      <c r="B501" s="7" t="s">
        <v>38</v>
      </c>
      <c r="C501" s="8" t="s">
        <v>96</v>
      </c>
      <c r="D501" s="8">
        <v>2024</v>
      </c>
      <c r="E501" s="7" t="s">
        <v>24</v>
      </c>
      <c r="F501" s="7" t="s">
        <v>19</v>
      </c>
      <c r="G501" s="7" t="s">
        <v>14</v>
      </c>
      <c r="H501" s="9">
        <v>75993.8</v>
      </c>
      <c r="I501" s="8">
        <v>6</v>
      </c>
      <c r="J501" s="10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A54A-382F-41ED-9B55-729911400CB8}">
  <dimension ref="A2:O221"/>
  <sheetViews>
    <sheetView workbookViewId="0">
      <selection activeCell="K20" sqref="K20"/>
    </sheetView>
  </sheetViews>
  <sheetFormatPr defaultRowHeight="14.4" x14ac:dyDescent="0.3"/>
  <cols>
    <col min="1" max="1" width="12.5546875" bestFit="1" customWidth="1"/>
    <col min="2" max="2" width="15.21875" bestFit="1" customWidth="1"/>
    <col min="4" max="4" width="12.5546875" bestFit="1" customWidth="1"/>
    <col min="5" max="5" width="15.21875" bestFit="1" customWidth="1"/>
    <col min="7" max="7" width="12.5546875" bestFit="1" customWidth="1"/>
    <col min="8" max="8" width="15.21875" bestFit="1" customWidth="1"/>
    <col min="10" max="10" width="12.5546875" bestFit="1" customWidth="1"/>
    <col min="11" max="11" width="24.77734375" bestFit="1" customWidth="1"/>
    <col min="13" max="13" width="12.5546875" bestFit="1" customWidth="1"/>
    <col min="14" max="14" width="15.21875" bestFit="1" customWidth="1"/>
  </cols>
  <sheetData>
    <row r="2" spans="1:15" x14ac:dyDescent="0.3">
      <c r="A2" s="31" t="s">
        <v>562</v>
      </c>
      <c r="B2" s="31"/>
      <c r="C2" s="26"/>
      <c r="D2" s="31" t="s">
        <v>561</v>
      </c>
      <c r="E2" s="31"/>
      <c r="F2" s="26"/>
      <c r="G2" s="31" t="s">
        <v>560</v>
      </c>
      <c r="H2" s="31"/>
      <c r="I2" s="26"/>
      <c r="J2" s="31" t="s">
        <v>559</v>
      </c>
      <c r="K2" s="31"/>
      <c r="L2" s="26"/>
      <c r="M2" s="31" t="s">
        <v>565</v>
      </c>
      <c r="N2" s="31"/>
      <c r="O2" s="22"/>
    </row>
    <row r="3" spans="1:15" x14ac:dyDescent="0.3">
      <c r="A3" s="27" t="s">
        <v>553</v>
      </c>
      <c r="B3" s="26" t="s">
        <v>555</v>
      </c>
      <c r="C3" s="26"/>
      <c r="D3" s="27" t="s">
        <v>553</v>
      </c>
      <c r="E3" s="26" t="s">
        <v>556</v>
      </c>
      <c r="F3" s="26"/>
      <c r="G3" s="27" t="s">
        <v>553</v>
      </c>
      <c r="H3" s="26" t="s">
        <v>555</v>
      </c>
      <c r="I3" s="26"/>
      <c r="J3" s="27" t="s">
        <v>553</v>
      </c>
      <c r="K3" s="26" t="s">
        <v>556</v>
      </c>
      <c r="L3" s="26"/>
      <c r="M3" s="27" t="s">
        <v>553</v>
      </c>
      <c r="N3" s="26" t="s">
        <v>556</v>
      </c>
      <c r="O3" s="22"/>
    </row>
    <row r="4" spans="1:15" x14ac:dyDescent="0.3">
      <c r="A4" s="28" t="s">
        <v>43</v>
      </c>
      <c r="B4" s="26">
        <v>69</v>
      </c>
      <c r="C4" s="26"/>
      <c r="D4" s="28" t="s">
        <v>43</v>
      </c>
      <c r="E4" s="29">
        <v>61078.207101449261</v>
      </c>
      <c r="F4" s="26"/>
      <c r="G4" s="28" t="s">
        <v>35</v>
      </c>
      <c r="H4" s="26">
        <v>126</v>
      </c>
      <c r="I4" s="26"/>
      <c r="J4" s="28" t="s">
        <v>14</v>
      </c>
      <c r="K4" s="29">
        <v>58847.106178861781</v>
      </c>
      <c r="L4" s="26"/>
      <c r="M4" s="28" t="s">
        <v>35</v>
      </c>
      <c r="N4" s="29">
        <v>57107.69888888891</v>
      </c>
      <c r="O4" s="22"/>
    </row>
    <row r="5" spans="1:15" x14ac:dyDescent="0.3">
      <c r="A5" s="28" t="s">
        <v>26</v>
      </c>
      <c r="B5" s="26">
        <v>60</v>
      </c>
      <c r="C5" s="26"/>
      <c r="D5" s="28" t="s">
        <v>26</v>
      </c>
      <c r="E5" s="29">
        <v>59426.277333333346</v>
      </c>
      <c r="F5" s="26"/>
      <c r="G5" s="28" t="s">
        <v>19</v>
      </c>
      <c r="H5" s="26">
        <v>128</v>
      </c>
      <c r="I5" s="26"/>
      <c r="J5" s="28" t="s">
        <v>20</v>
      </c>
      <c r="K5" s="29">
        <v>59990.448110236197</v>
      </c>
      <c r="L5" s="26"/>
      <c r="M5" s="28" t="s">
        <v>19</v>
      </c>
      <c r="N5" s="29">
        <v>58980.163671875001</v>
      </c>
      <c r="O5" s="22"/>
    </row>
    <row r="6" spans="1:15" x14ac:dyDescent="0.3">
      <c r="A6" s="28" t="s">
        <v>70</v>
      </c>
      <c r="B6" s="26">
        <v>67</v>
      </c>
      <c r="C6" s="26"/>
      <c r="D6" s="28" t="s">
        <v>70</v>
      </c>
      <c r="E6" s="29">
        <v>60477.741940298503</v>
      </c>
      <c r="F6" s="26"/>
      <c r="G6" s="28" t="s">
        <v>28</v>
      </c>
      <c r="H6" s="26">
        <v>113</v>
      </c>
      <c r="I6" s="26"/>
      <c r="J6" s="28" t="s">
        <v>554</v>
      </c>
      <c r="K6" s="29">
        <v>59427.923880000038</v>
      </c>
      <c r="L6" s="26"/>
      <c r="M6" s="28" t="s">
        <v>28</v>
      </c>
      <c r="N6" s="29">
        <v>62140.690353982267</v>
      </c>
      <c r="O6" s="22"/>
    </row>
    <row r="7" spans="1:15" x14ac:dyDescent="0.3">
      <c r="A7" s="28" t="s">
        <v>38</v>
      </c>
      <c r="B7" s="26">
        <v>77</v>
      </c>
      <c r="C7" s="26"/>
      <c r="D7" s="28" t="s">
        <v>38</v>
      </c>
      <c r="E7" s="29">
        <v>61410.142727272709</v>
      </c>
      <c r="F7" s="26"/>
      <c r="G7" s="28" t="s">
        <v>13</v>
      </c>
      <c r="H7" s="26">
        <v>133</v>
      </c>
      <c r="I7" s="26"/>
      <c r="J7" s="26"/>
      <c r="K7" s="26"/>
      <c r="L7" s="26"/>
      <c r="M7" s="28" t="s">
        <v>13</v>
      </c>
      <c r="N7" s="29">
        <v>59752.127218045105</v>
      </c>
      <c r="O7" s="22"/>
    </row>
    <row r="8" spans="1:15" x14ac:dyDescent="0.3">
      <c r="A8" s="28" t="s">
        <v>22</v>
      </c>
      <c r="B8" s="26">
        <v>79</v>
      </c>
      <c r="C8" s="26"/>
      <c r="D8" s="28" t="s">
        <v>22</v>
      </c>
      <c r="E8" s="29">
        <v>58316.015949367094</v>
      </c>
      <c r="F8" s="26"/>
      <c r="G8" s="28" t="s">
        <v>554</v>
      </c>
      <c r="H8" s="26">
        <v>500</v>
      </c>
      <c r="I8" s="26"/>
      <c r="J8" s="31" t="s">
        <v>564</v>
      </c>
      <c r="K8" s="31"/>
      <c r="L8" s="26"/>
      <c r="M8" s="28" t="s">
        <v>554</v>
      </c>
      <c r="N8" s="29">
        <v>59427.923880000009</v>
      </c>
      <c r="O8" s="22"/>
    </row>
    <row r="9" spans="1:15" x14ac:dyDescent="0.3">
      <c r="A9" s="28" t="s">
        <v>17</v>
      </c>
      <c r="B9" s="26">
        <v>78</v>
      </c>
      <c r="C9" s="26"/>
      <c r="D9" s="28" t="s">
        <v>17</v>
      </c>
      <c r="E9" s="29">
        <v>54142.190897435881</v>
      </c>
      <c r="F9" s="26"/>
      <c r="G9" s="26"/>
      <c r="H9" s="26"/>
      <c r="I9" s="26"/>
      <c r="J9" s="27" t="s">
        <v>553</v>
      </c>
      <c r="K9" s="26" t="s">
        <v>557</v>
      </c>
      <c r="L9" s="26"/>
      <c r="M9" s="26"/>
      <c r="N9" s="26"/>
      <c r="O9" s="22"/>
    </row>
    <row r="10" spans="1:15" x14ac:dyDescent="0.3">
      <c r="A10" s="28" t="s">
        <v>10</v>
      </c>
      <c r="B10" s="26">
        <v>70</v>
      </c>
      <c r="C10" s="26"/>
      <c r="D10" s="28" t="s">
        <v>10</v>
      </c>
      <c r="E10" s="29">
        <v>61762.045142857147</v>
      </c>
      <c r="F10" s="26"/>
      <c r="G10" s="31" t="s">
        <v>558</v>
      </c>
      <c r="H10" s="31"/>
      <c r="I10" s="26"/>
      <c r="J10" s="28" t="s">
        <v>43</v>
      </c>
      <c r="K10" s="26">
        <v>69</v>
      </c>
      <c r="L10" s="26"/>
      <c r="M10" s="31" t="s">
        <v>566</v>
      </c>
      <c r="N10" s="31"/>
      <c r="O10" s="22"/>
    </row>
    <row r="11" spans="1:15" x14ac:dyDescent="0.3">
      <c r="A11" s="28" t="s">
        <v>554</v>
      </c>
      <c r="B11" s="26">
        <v>500</v>
      </c>
      <c r="C11" s="26"/>
      <c r="D11" s="28" t="s">
        <v>554</v>
      </c>
      <c r="E11" s="29">
        <v>59427.923880000009</v>
      </c>
      <c r="F11" s="26"/>
      <c r="G11" s="27" t="s">
        <v>553</v>
      </c>
      <c r="H11" s="26" t="s">
        <v>555</v>
      </c>
      <c r="I11" s="26"/>
      <c r="J11" s="28" t="s">
        <v>26</v>
      </c>
      <c r="K11" s="26">
        <v>60</v>
      </c>
      <c r="L11" s="26"/>
      <c r="M11" s="27" t="s">
        <v>553</v>
      </c>
      <c r="N11" s="26" t="s">
        <v>555</v>
      </c>
      <c r="O11" s="22"/>
    </row>
    <row r="12" spans="1:15" x14ac:dyDescent="0.3">
      <c r="A12" s="26"/>
      <c r="B12" s="26"/>
      <c r="C12" s="26"/>
      <c r="D12" s="26"/>
      <c r="E12" s="26"/>
      <c r="F12" s="26"/>
      <c r="G12" s="28">
        <v>2015</v>
      </c>
      <c r="H12" s="26">
        <v>39</v>
      </c>
      <c r="I12" s="26"/>
      <c r="J12" s="28" t="s">
        <v>70</v>
      </c>
      <c r="K12" s="26">
        <v>67</v>
      </c>
      <c r="L12" s="26"/>
      <c r="M12" s="28" t="s">
        <v>43</v>
      </c>
      <c r="N12" s="26">
        <v>69</v>
      </c>
      <c r="O12" s="22"/>
    </row>
    <row r="13" spans="1:15" x14ac:dyDescent="0.3">
      <c r="A13" s="31" t="s">
        <v>563</v>
      </c>
      <c r="B13" s="31"/>
      <c r="C13" s="26"/>
      <c r="D13" s="31" t="s">
        <v>567</v>
      </c>
      <c r="E13" s="31"/>
      <c r="F13" s="26"/>
      <c r="G13" s="28">
        <v>2016</v>
      </c>
      <c r="H13" s="26">
        <v>53</v>
      </c>
      <c r="I13" s="26"/>
      <c r="J13" s="28" t="s">
        <v>38</v>
      </c>
      <c r="K13" s="26">
        <v>77</v>
      </c>
      <c r="L13" s="26"/>
      <c r="M13" s="30" t="s">
        <v>35</v>
      </c>
      <c r="N13" s="26">
        <v>15</v>
      </c>
      <c r="O13" s="22"/>
    </row>
    <row r="14" spans="1:15" x14ac:dyDescent="0.3">
      <c r="A14" s="27" t="s">
        <v>553</v>
      </c>
      <c r="B14" s="26" t="s">
        <v>555</v>
      </c>
      <c r="C14" s="26"/>
      <c r="D14" s="27" t="s">
        <v>553</v>
      </c>
      <c r="E14" s="26" t="s">
        <v>555</v>
      </c>
      <c r="F14" s="26"/>
      <c r="G14" s="28">
        <v>2017</v>
      </c>
      <c r="H14" s="26">
        <v>38</v>
      </c>
      <c r="I14" s="26"/>
      <c r="J14" s="28" t="s">
        <v>22</v>
      </c>
      <c r="K14" s="26">
        <v>79</v>
      </c>
      <c r="L14" s="26"/>
      <c r="M14" s="30" t="s">
        <v>19</v>
      </c>
      <c r="N14" s="26">
        <v>24</v>
      </c>
      <c r="O14" s="22"/>
    </row>
    <row r="15" spans="1:15" x14ac:dyDescent="0.3">
      <c r="A15" s="28" t="s">
        <v>55</v>
      </c>
      <c r="B15" s="26">
        <v>94</v>
      </c>
      <c r="C15" s="26"/>
      <c r="D15" s="28" t="s">
        <v>15</v>
      </c>
      <c r="E15" s="26">
        <v>177</v>
      </c>
      <c r="F15" s="26"/>
      <c r="G15" s="28">
        <v>2018</v>
      </c>
      <c r="H15" s="26">
        <v>63</v>
      </c>
      <c r="I15" s="26"/>
      <c r="J15" s="28" t="s">
        <v>17</v>
      </c>
      <c r="K15" s="26">
        <v>78</v>
      </c>
      <c r="L15" s="26"/>
      <c r="M15" s="30" t="s">
        <v>28</v>
      </c>
      <c r="N15" s="26">
        <v>11</v>
      </c>
      <c r="O15" s="22"/>
    </row>
    <row r="16" spans="1:15" x14ac:dyDescent="0.3">
      <c r="A16" s="28" t="s">
        <v>24</v>
      </c>
      <c r="B16" s="26">
        <v>82</v>
      </c>
      <c r="C16" s="26"/>
      <c r="D16" s="28" t="s">
        <v>32</v>
      </c>
      <c r="E16" s="26">
        <v>157</v>
      </c>
      <c r="F16" s="26"/>
      <c r="G16" s="28">
        <v>2019</v>
      </c>
      <c r="H16" s="26">
        <v>52</v>
      </c>
      <c r="I16" s="26"/>
      <c r="J16" s="28" t="s">
        <v>10</v>
      </c>
      <c r="K16" s="26">
        <v>70</v>
      </c>
      <c r="L16" s="26"/>
      <c r="M16" s="30" t="s">
        <v>13</v>
      </c>
      <c r="N16" s="26">
        <v>19</v>
      </c>
      <c r="O16" s="22"/>
    </row>
    <row r="17" spans="1:15" x14ac:dyDescent="0.3">
      <c r="A17" s="28" t="s">
        <v>40</v>
      </c>
      <c r="B17" s="26">
        <v>85</v>
      </c>
      <c r="C17" s="26"/>
      <c r="D17" s="28" t="s">
        <v>36</v>
      </c>
      <c r="E17" s="26">
        <v>165</v>
      </c>
      <c r="F17" s="26"/>
      <c r="G17" s="28">
        <v>2020</v>
      </c>
      <c r="H17" s="26">
        <v>43</v>
      </c>
      <c r="I17" s="26"/>
      <c r="J17" s="28" t="s">
        <v>554</v>
      </c>
      <c r="K17" s="26">
        <v>500</v>
      </c>
      <c r="L17" s="26"/>
      <c r="M17" s="28" t="s">
        <v>26</v>
      </c>
      <c r="N17" s="26">
        <v>60</v>
      </c>
      <c r="O17" s="22"/>
    </row>
    <row r="18" spans="1:15" x14ac:dyDescent="0.3">
      <c r="A18" s="28" t="s">
        <v>12</v>
      </c>
      <c r="B18" s="26">
        <v>78</v>
      </c>
      <c r="C18" s="26"/>
      <c r="D18" s="28" t="s">
        <v>588</v>
      </c>
      <c r="E18" s="26">
        <v>1</v>
      </c>
      <c r="F18" s="26"/>
      <c r="G18" s="28">
        <v>2021</v>
      </c>
      <c r="H18" s="26">
        <v>31</v>
      </c>
      <c r="I18" s="26"/>
      <c r="J18" s="26"/>
      <c r="K18" s="26"/>
      <c r="L18" s="26"/>
      <c r="M18" s="30" t="s">
        <v>35</v>
      </c>
      <c r="N18" s="26">
        <v>20</v>
      </c>
      <c r="O18" s="22"/>
    </row>
    <row r="19" spans="1:15" x14ac:dyDescent="0.3">
      <c r="A19" s="28" t="s">
        <v>48</v>
      </c>
      <c r="B19" s="26">
        <v>72</v>
      </c>
      <c r="C19" s="26"/>
      <c r="D19" s="28" t="s">
        <v>554</v>
      </c>
      <c r="E19" s="26">
        <v>500</v>
      </c>
      <c r="F19" s="26"/>
      <c r="G19" s="28">
        <v>2022</v>
      </c>
      <c r="H19" s="26">
        <v>49</v>
      </c>
      <c r="I19" s="26"/>
      <c r="J19" s="26"/>
      <c r="K19" s="26"/>
      <c r="L19" s="26"/>
      <c r="M19" s="30" t="s">
        <v>19</v>
      </c>
      <c r="N19" s="26">
        <v>12</v>
      </c>
      <c r="O19" s="22"/>
    </row>
    <row r="20" spans="1:15" x14ac:dyDescent="0.3">
      <c r="A20" s="28" t="s">
        <v>31</v>
      </c>
      <c r="B20" s="26">
        <v>89</v>
      </c>
      <c r="C20" s="26"/>
      <c r="D20" s="26"/>
      <c r="E20" s="26"/>
      <c r="F20" s="26"/>
      <c r="G20" s="28">
        <v>2023</v>
      </c>
      <c r="H20" s="26">
        <v>44</v>
      </c>
      <c r="I20" s="26"/>
      <c r="J20" s="26"/>
      <c r="K20" s="26"/>
      <c r="L20" s="26"/>
      <c r="M20" s="30" t="s">
        <v>28</v>
      </c>
      <c r="N20" s="26">
        <v>16</v>
      </c>
      <c r="O20" s="22"/>
    </row>
    <row r="21" spans="1:15" x14ac:dyDescent="0.3">
      <c r="A21" s="28" t="s">
        <v>554</v>
      </c>
      <c r="B21" s="26">
        <v>500</v>
      </c>
      <c r="C21" s="26"/>
      <c r="D21" s="26"/>
      <c r="E21" s="26"/>
      <c r="F21" s="26"/>
      <c r="G21" s="28">
        <v>2024</v>
      </c>
      <c r="H21" s="26">
        <v>45</v>
      </c>
      <c r="I21" s="26"/>
      <c r="J21" s="26"/>
      <c r="K21" s="26"/>
      <c r="L21" s="26"/>
      <c r="M21" s="30" t="s">
        <v>13</v>
      </c>
      <c r="N21" s="26">
        <v>12</v>
      </c>
      <c r="O21" s="22"/>
    </row>
    <row r="22" spans="1:15" x14ac:dyDescent="0.3">
      <c r="A22" s="26"/>
      <c r="B22" s="26"/>
      <c r="C22" s="26"/>
      <c r="D22" s="26"/>
      <c r="E22" s="26"/>
      <c r="F22" s="26"/>
      <c r="G22" s="28">
        <v>2025</v>
      </c>
      <c r="H22" s="26">
        <v>43</v>
      </c>
      <c r="I22" s="26"/>
      <c r="J22" s="26"/>
      <c r="K22" s="26"/>
      <c r="L22" s="26"/>
      <c r="M22" s="28" t="s">
        <v>70</v>
      </c>
      <c r="N22" s="26">
        <v>67</v>
      </c>
      <c r="O22" s="22"/>
    </row>
    <row r="23" spans="1:15" x14ac:dyDescent="0.3">
      <c r="A23" s="26"/>
      <c r="B23" s="26"/>
      <c r="C23" s="26"/>
      <c r="D23" s="26"/>
      <c r="E23" s="26"/>
      <c r="F23" s="26"/>
      <c r="G23" s="28" t="s">
        <v>554</v>
      </c>
      <c r="H23" s="26">
        <v>500</v>
      </c>
      <c r="I23" s="26"/>
      <c r="J23" s="26"/>
      <c r="K23" s="26"/>
      <c r="L23" s="26"/>
      <c r="M23" s="30" t="s">
        <v>35</v>
      </c>
      <c r="N23" s="26">
        <v>20</v>
      </c>
      <c r="O23" s="22"/>
    </row>
    <row r="24" spans="1:15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30" t="s">
        <v>19</v>
      </c>
      <c r="N24" s="26">
        <v>14</v>
      </c>
      <c r="O24" s="22"/>
    </row>
    <row r="25" spans="1:15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30" t="s">
        <v>28</v>
      </c>
      <c r="N25" s="26">
        <v>14</v>
      </c>
      <c r="O25" s="22"/>
    </row>
    <row r="26" spans="1:15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0" t="s">
        <v>13</v>
      </c>
      <c r="N26" s="26">
        <v>19</v>
      </c>
      <c r="O26" s="22"/>
    </row>
    <row r="27" spans="1:15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8" t="s">
        <v>38</v>
      </c>
      <c r="N27" s="26">
        <v>77</v>
      </c>
      <c r="O27" s="22"/>
    </row>
    <row r="28" spans="1:15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30" t="s">
        <v>35</v>
      </c>
      <c r="N28" s="26">
        <v>14</v>
      </c>
      <c r="O28" s="22"/>
    </row>
    <row r="29" spans="1:15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30" t="s">
        <v>19</v>
      </c>
      <c r="N29" s="26">
        <v>21</v>
      </c>
      <c r="O29" s="22"/>
    </row>
    <row r="30" spans="1:15" x14ac:dyDescent="0.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30" t="s">
        <v>28</v>
      </c>
      <c r="N30" s="26">
        <v>22</v>
      </c>
      <c r="O30" s="22"/>
    </row>
    <row r="31" spans="1:15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30" t="s">
        <v>13</v>
      </c>
      <c r="N31" s="26">
        <v>20</v>
      </c>
      <c r="O31" s="22"/>
    </row>
    <row r="32" spans="1:15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8" t="s">
        <v>22</v>
      </c>
      <c r="N32" s="26">
        <v>79</v>
      </c>
      <c r="O32" s="22"/>
    </row>
    <row r="33" spans="1:15" x14ac:dyDescent="0.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30" t="s">
        <v>35</v>
      </c>
      <c r="N33" s="26">
        <v>19</v>
      </c>
      <c r="O33" s="22"/>
    </row>
    <row r="34" spans="1:15" x14ac:dyDescent="0.3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0" t="s">
        <v>19</v>
      </c>
      <c r="N34" s="26">
        <v>21</v>
      </c>
      <c r="O34" s="22"/>
    </row>
    <row r="35" spans="1:15" x14ac:dyDescent="0.3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30" t="s">
        <v>28</v>
      </c>
      <c r="N35" s="26">
        <v>15</v>
      </c>
      <c r="O35" s="22"/>
    </row>
    <row r="36" spans="1:15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30" t="s">
        <v>13</v>
      </c>
      <c r="N36" s="26">
        <v>24</v>
      </c>
      <c r="O36" s="22"/>
    </row>
    <row r="37" spans="1:15" x14ac:dyDescent="0.3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8" t="s">
        <v>17</v>
      </c>
      <c r="N37" s="26">
        <v>78</v>
      </c>
      <c r="O37" s="22"/>
    </row>
    <row r="38" spans="1:15" x14ac:dyDescent="0.3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30" t="s">
        <v>35</v>
      </c>
      <c r="N38" s="26">
        <v>18</v>
      </c>
      <c r="O38" s="22"/>
    </row>
    <row r="39" spans="1:15" x14ac:dyDescent="0.3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30" t="s">
        <v>19</v>
      </c>
      <c r="N39" s="26">
        <v>21</v>
      </c>
      <c r="O39" s="22"/>
    </row>
    <row r="40" spans="1:15" x14ac:dyDescent="0.3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30" t="s">
        <v>28</v>
      </c>
      <c r="N40" s="26">
        <v>19</v>
      </c>
      <c r="O40" s="22"/>
    </row>
    <row r="41" spans="1:15" x14ac:dyDescent="0.3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30" t="s">
        <v>13</v>
      </c>
      <c r="N41" s="26">
        <v>20</v>
      </c>
      <c r="O41" s="22"/>
    </row>
    <row r="42" spans="1:15" x14ac:dyDescent="0.3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8" t="s">
        <v>10</v>
      </c>
      <c r="N42" s="26">
        <v>70</v>
      </c>
      <c r="O42" s="22"/>
    </row>
    <row r="43" spans="1:15" x14ac:dyDescent="0.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30" t="s">
        <v>35</v>
      </c>
      <c r="N43" s="26">
        <v>20</v>
      </c>
      <c r="O43" s="22"/>
    </row>
    <row r="44" spans="1:15" x14ac:dyDescent="0.3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30" t="s">
        <v>19</v>
      </c>
      <c r="N44" s="26">
        <v>15</v>
      </c>
      <c r="O44" s="22"/>
    </row>
    <row r="45" spans="1:15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30" t="s">
        <v>28</v>
      </c>
      <c r="N45" s="26">
        <v>16</v>
      </c>
      <c r="O45" s="22"/>
    </row>
    <row r="46" spans="1:15" x14ac:dyDescent="0.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30" t="s">
        <v>13</v>
      </c>
      <c r="N46" s="26">
        <v>19</v>
      </c>
      <c r="O46" s="22"/>
    </row>
    <row r="47" spans="1:15" x14ac:dyDescent="0.3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8" t="s">
        <v>554</v>
      </c>
      <c r="N47" s="26">
        <v>500</v>
      </c>
      <c r="O47" s="22"/>
    </row>
    <row r="48" spans="1:15" x14ac:dyDescent="0.3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2"/>
    </row>
    <row r="49" spans="1:15" x14ac:dyDescent="0.3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2"/>
    </row>
    <row r="50" spans="1:15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2"/>
    </row>
    <row r="51" spans="1:15" x14ac:dyDescent="0.3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2"/>
    </row>
    <row r="52" spans="1:15" x14ac:dyDescent="0.3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2"/>
    </row>
    <row r="53" spans="1:15" x14ac:dyDescent="0.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2"/>
    </row>
    <row r="54" spans="1:15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2"/>
    </row>
    <row r="55" spans="1:15" x14ac:dyDescent="0.3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2"/>
    </row>
    <row r="56" spans="1:15" x14ac:dyDescent="0.3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2"/>
    </row>
    <row r="57" spans="1:15" x14ac:dyDescent="0.3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2"/>
    </row>
    <row r="58" spans="1:15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2"/>
    </row>
    <row r="59" spans="1:15" x14ac:dyDescent="0.3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2"/>
    </row>
    <row r="60" spans="1:15" x14ac:dyDescent="0.3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2"/>
    </row>
    <row r="61" spans="1:15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2"/>
    </row>
    <row r="62" spans="1:15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2"/>
    </row>
    <row r="63" spans="1:15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2"/>
    </row>
    <row r="64" spans="1:15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2"/>
    </row>
    <row r="65" spans="1:15" x14ac:dyDescent="0.3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2"/>
    </row>
    <row r="66" spans="1:15" x14ac:dyDescent="0.3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2"/>
    </row>
    <row r="67" spans="1:15" x14ac:dyDescent="0.3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2"/>
    </row>
    <row r="68" spans="1:15" x14ac:dyDescent="0.3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2"/>
    </row>
    <row r="69" spans="1:15" x14ac:dyDescent="0.3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2"/>
    </row>
    <row r="70" spans="1:15" x14ac:dyDescent="0.3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2"/>
    </row>
    <row r="71" spans="1:15" x14ac:dyDescent="0.3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2"/>
    </row>
    <row r="72" spans="1:15" x14ac:dyDescent="0.3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2"/>
    </row>
    <row r="73" spans="1:15" x14ac:dyDescent="0.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2"/>
    </row>
    <row r="74" spans="1:15" x14ac:dyDescent="0.3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2"/>
    </row>
    <row r="75" spans="1:15" x14ac:dyDescent="0.3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2"/>
    </row>
    <row r="76" spans="1:15" x14ac:dyDescent="0.3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2"/>
    </row>
    <row r="77" spans="1:15" x14ac:dyDescent="0.3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2"/>
    </row>
    <row r="78" spans="1:15" x14ac:dyDescent="0.3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2"/>
    </row>
    <row r="79" spans="1:15" x14ac:dyDescent="0.3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2"/>
    </row>
    <row r="80" spans="1:15" x14ac:dyDescent="0.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2"/>
    </row>
    <row r="81" spans="1:15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2"/>
    </row>
    <row r="82" spans="1:15" x14ac:dyDescent="0.3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2"/>
    </row>
    <row r="83" spans="1:15" x14ac:dyDescent="0.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2"/>
    </row>
    <row r="84" spans="1:15" x14ac:dyDescent="0.3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2"/>
    </row>
    <row r="85" spans="1:15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2"/>
    </row>
    <row r="86" spans="1:15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2"/>
    </row>
    <row r="87" spans="1:15" x14ac:dyDescent="0.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2"/>
    </row>
    <row r="88" spans="1:15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2"/>
    </row>
    <row r="89" spans="1:15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2"/>
    </row>
    <row r="90" spans="1:15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2"/>
    </row>
    <row r="91" spans="1:15" x14ac:dyDescent="0.3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2"/>
    </row>
    <row r="92" spans="1:15" x14ac:dyDescent="0.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2"/>
    </row>
    <row r="93" spans="1:15" x14ac:dyDescent="0.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2"/>
    </row>
    <row r="94" spans="1:15" x14ac:dyDescent="0.3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2"/>
    </row>
    <row r="95" spans="1:15" x14ac:dyDescent="0.3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2"/>
    </row>
    <row r="96" spans="1:15" x14ac:dyDescent="0.3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2"/>
    </row>
    <row r="97" spans="1:15" x14ac:dyDescent="0.3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2"/>
    </row>
    <row r="98" spans="1:15" x14ac:dyDescent="0.3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2"/>
    </row>
    <row r="99" spans="1:15" x14ac:dyDescent="0.3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2"/>
    </row>
    <row r="100" spans="1:15" x14ac:dyDescent="0.3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2"/>
    </row>
    <row r="101" spans="1:15" x14ac:dyDescent="0.3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2"/>
    </row>
    <row r="102" spans="1:15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2"/>
    </row>
    <row r="103" spans="1:15" x14ac:dyDescent="0.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2"/>
    </row>
    <row r="104" spans="1:15" x14ac:dyDescent="0.3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2"/>
    </row>
    <row r="105" spans="1:15" x14ac:dyDescent="0.3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2"/>
    </row>
    <row r="106" spans="1:15" x14ac:dyDescent="0.3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2"/>
    </row>
    <row r="107" spans="1:15" x14ac:dyDescent="0.3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2"/>
    </row>
    <row r="108" spans="1:15" x14ac:dyDescent="0.3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2"/>
    </row>
    <row r="109" spans="1:15" x14ac:dyDescent="0.3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2"/>
    </row>
    <row r="110" spans="1:15" x14ac:dyDescent="0.3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2"/>
    </row>
    <row r="111" spans="1:15" x14ac:dyDescent="0.3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2"/>
    </row>
    <row r="112" spans="1:15" x14ac:dyDescent="0.3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2"/>
    </row>
    <row r="113" spans="1:15" x14ac:dyDescent="0.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2"/>
    </row>
    <row r="114" spans="1:15" x14ac:dyDescent="0.3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2"/>
    </row>
    <row r="115" spans="1:15" x14ac:dyDescent="0.3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2"/>
    </row>
    <row r="116" spans="1:15" x14ac:dyDescent="0.3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2"/>
    </row>
    <row r="117" spans="1:15" x14ac:dyDescent="0.3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2"/>
    </row>
    <row r="118" spans="1:15" x14ac:dyDescent="0.3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2"/>
    </row>
    <row r="119" spans="1:15" x14ac:dyDescent="0.3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2"/>
    </row>
    <row r="120" spans="1:15" x14ac:dyDescent="0.3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2"/>
    </row>
    <row r="121" spans="1:15" x14ac:dyDescent="0.3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2"/>
    </row>
    <row r="122" spans="1:15" x14ac:dyDescent="0.3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2"/>
    </row>
    <row r="123" spans="1:15" x14ac:dyDescent="0.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2"/>
    </row>
    <row r="124" spans="1:15" x14ac:dyDescent="0.3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2"/>
    </row>
    <row r="125" spans="1:15" x14ac:dyDescent="0.3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2"/>
    </row>
    <row r="126" spans="1:15" x14ac:dyDescent="0.3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2"/>
    </row>
    <row r="127" spans="1:15" x14ac:dyDescent="0.3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2"/>
    </row>
    <row r="128" spans="1:15" x14ac:dyDescent="0.3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2"/>
    </row>
    <row r="129" spans="1:15" x14ac:dyDescent="0.3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2"/>
    </row>
    <row r="130" spans="1:15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2"/>
    </row>
    <row r="131" spans="1:15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2"/>
    </row>
    <row r="132" spans="1:15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2"/>
    </row>
    <row r="133" spans="1:15" x14ac:dyDescent="0.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2"/>
    </row>
    <row r="134" spans="1:15" x14ac:dyDescent="0.3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2"/>
    </row>
    <row r="135" spans="1:15" x14ac:dyDescent="0.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2"/>
    </row>
    <row r="136" spans="1:15" x14ac:dyDescent="0.3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2"/>
    </row>
    <row r="137" spans="1:15" x14ac:dyDescent="0.3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2"/>
    </row>
    <row r="138" spans="1:15" x14ac:dyDescent="0.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2"/>
    </row>
    <row r="139" spans="1:15" x14ac:dyDescent="0.3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2"/>
    </row>
    <row r="140" spans="1:15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2"/>
    </row>
    <row r="141" spans="1:15" x14ac:dyDescent="0.3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2"/>
    </row>
    <row r="142" spans="1:15" x14ac:dyDescent="0.3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2"/>
    </row>
    <row r="143" spans="1:15" x14ac:dyDescent="0.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2"/>
    </row>
    <row r="144" spans="1:15" x14ac:dyDescent="0.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2"/>
    </row>
    <row r="145" spans="1:15" x14ac:dyDescent="0.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2"/>
    </row>
    <row r="146" spans="1:15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2"/>
    </row>
    <row r="147" spans="1:15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2"/>
    </row>
    <row r="148" spans="1:15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2"/>
    </row>
    <row r="149" spans="1:15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2"/>
    </row>
    <row r="150" spans="1:15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2"/>
    </row>
    <row r="151" spans="1:15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2"/>
    </row>
    <row r="152" spans="1:15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2"/>
    </row>
    <row r="153" spans="1:15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2"/>
    </row>
    <row r="154" spans="1:15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2"/>
    </row>
    <row r="155" spans="1:15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2"/>
    </row>
    <row r="156" spans="1:15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2"/>
    </row>
    <row r="157" spans="1:15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2"/>
    </row>
    <row r="158" spans="1:15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2"/>
    </row>
    <row r="159" spans="1:15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2"/>
    </row>
    <row r="160" spans="1:15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2"/>
    </row>
    <row r="161" spans="1:15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2"/>
    </row>
    <row r="162" spans="1:15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2"/>
    </row>
    <row r="163" spans="1:15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2"/>
    </row>
    <row r="164" spans="1:15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2"/>
    </row>
    <row r="165" spans="1:15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2"/>
    </row>
    <row r="166" spans="1:15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2"/>
    </row>
    <row r="167" spans="1:15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2"/>
    </row>
    <row r="168" spans="1:15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2"/>
    </row>
    <row r="169" spans="1:15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2"/>
    </row>
    <row r="170" spans="1:15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2"/>
    </row>
    <row r="171" spans="1:15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2"/>
    </row>
    <row r="172" spans="1:15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2"/>
    </row>
    <row r="173" spans="1:15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2"/>
    </row>
    <row r="174" spans="1:15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2"/>
    </row>
    <row r="175" spans="1:15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2"/>
    </row>
    <row r="176" spans="1:15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2"/>
    </row>
    <row r="177" spans="1:15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2"/>
    </row>
    <row r="178" spans="1:15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2"/>
    </row>
    <row r="179" spans="1:15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2"/>
    </row>
    <row r="180" spans="1:15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2"/>
    </row>
    <row r="181" spans="1:15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2"/>
    </row>
    <row r="182" spans="1:15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2"/>
    </row>
    <row r="183" spans="1:15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2"/>
    </row>
    <row r="184" spans="1:15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2"/>
    </row>
    <row r="185" spans="1:15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2"/>
    </row>
    <row r="186" spans="1:15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2"/>
    </row>
    <row r="187" spans="1:15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2"/>
    </row>
    <row r="188" spans="1:15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2"/>
    </row>
    <row r="189" spans="1:15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2"/>
    </row>
    <row r="190" spans="1:15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2"/>
    </row>
    <row r="191" spans="1:15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2"/>
    </row>
    <row r="192" spans="1:15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2"/>
    </row>
    <row r="193" spans="1:15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2"/>
    </row>
    <row r="194" spans="1:15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2"/>
    </row>
    <row r="195" spans="1:15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2"/>
    </row>
    <row r="196" spans="1:15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2"/>
    </row>
    <row r="197" spans="1:15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2"/>
    </row>
    <row r="198" spans="1:15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2"/>
    </row>
    <row r="199" spans="1:15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2"/>
    </row>
    <row r="200" spans="1:15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2"/>
    </row>
    <row r="201" spans="1:15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2"/>
    </row>
    <row r="202" spans="1:15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2"/>
    </row>
    <row r="203" spans="1:15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2"/>
    </row>
    <row r="204" spans="1:15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2"/>
    </row>
    <row r="205" spans="1:15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2"/>
    </row>
    <row r="206" spans="1:15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</row>
    <row r="207" spans="1:15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</row>
    <row r="208" spans="1:15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</row>
    <row r="209" spans="1:15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</row>
    <row r="210" spans="1:15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</row>
    <row r="211" spans="1:15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</row>
    <row r="212" spans="1:15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</row>
    <row r="213" spans="1:15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</row>
    <row r="214" spans="1:15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</row>
    <row r="215" spans="1:15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</row>
    <row r="216" spans="1:15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</row>
    <row r="217" spans="1:15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</row>
    <row r="218" spans="1:15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</row>
    <row r="219" spans="1:15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</row>
    <row r="220" spans="1:15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</row>
    <row r="221" spans="1:15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</row>
  </sheetData>
  <mergeCells count="10">
    <mergeCell ref="A13:B13"/>
    <mergeCell ref="D13:E13"/>
    <mergeCell ref="J8:K8"/>
    <mergeCell ref="M2:N2"/>
    <mergeCell ref="M10:N10"/>
    <mergeCell ref="A2:B2"/>
    <mergeCell ref="D2:E2"/>
    <mergeCell ref="G2:H2"/>
    <mergeCell ref="J2:K2"/>
    <mergeCell ref="G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BF37-7EC2-46D6-BF08-8E1A56ACACDD}">
  <dimension ref="A1"/>
  <sheetViews>
    <sheetView workbookViewId="0">
      <selection sqref="A1:XFD1048576"/>
    </sheetView>
  </sheetViews>
  <sheetFormatPr defaultRowHeight="14.4" x14ac:dyDescent="0.3"/>
  <cols>
    <col min="1" max="16384" width="8.88671875" style="26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6952-60A7-4C54-A906-ADE6C64DEFE5}">
  <dimension ref="A2:S20"/>
  <sheetViews>
    <sheetView workbookViewId="0">
      <selection activeCell="I24" sqref="I24"/>
    </sheetView>
  </sheetViews>
  <sheetFormatPr defaultRowHeight="14.4" x14ac:dyDescent="0.3"/>
  <cols>
    <col min="18" max="18" width="17.21875" customWidth="1"/>
  </cols>
  <sheetData>
    <row r="2" spans="1:19" ht="15" thickBot="1" x14ac:dyDescent="0.3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 x14ac:dyDescent="0.3">
      <c r="A3" s="16"/>
      <c r="B3" s="17"/>
      <c r="C3" s="32" t="s">
        <v>568</v>
      </c>
      <c r="D3" s="33"/>
      <c r="E3" s="33"/>
      <c r="F3" s="33"/>
      <c r="G3" s="33"/>
      <c r="H3" s="18"/>
      <c r="I3" s="19"/>
      <c r="J3" s="16"/>
      <c r="K3" s="16"/>
      <c r="L3" s="34" t="s">
        <v>578</v>
      </c>
      <c r="M3" s="33"/>
      <c r="N3" s="33"/>
      <c r="O3" s="33"/>
      <c r="P3" s="33"/>
      <c r="Q3" s="33"/>
      <c r="R3" s="33"/>
      <c r="S3" s="35"/>
    </row>
    <row r="4" spans="1:19" ht="15" thickBot="1" x14ac:dyDescent="0.35">
      <c r="A4" s="16"/>
      <c r="B4" s="36" t="s">
        <v>569</v>
      </c>
      <c r="C4" s="37"/>
      <c r="D4" s="37"/>
      <c r="E4" s="37"/>
      <c r="F4" s="37"/>
      <c r="G4" s="37"/>
      <c r="H4" s="37"/>
      <c r="I4" s="38"/>
      <c r="J4" s="16"/>
      <c r="K4" s="16"/>
      <c r="L4" s="36" t="s">
        <v>579</v>
      </c>
      <c r="M4" s="37"/>
      <c r="N4" s="37"/>
      <c r="O4" s="37"/>
      <c r="P4" s="37"/>
      <c r="Q4" s="37"/>
      <c r="R4" s="37"/>
      <c r="S4" s="38"/>
    </row>
    <row r="5" spans="1:19" x14ac:dyDescent="0.3">
      <c r="A5" s="16"/>
      <c r="B5" s="16"/>
      <c r="C5" s="20"/>
      <c r="D5" s="20"/>
      <c r="E5" s="20"/>
      <c r="F5" s="20"/>
      <c r="G5" s="20"/>
      <c r="H5" s="20"/>
      <c r="I5" s="21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 ht="15" thickBot="1" x14ac:dyDescent="0.3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x14ac:dyDescent="0.3">
      <c r="A7" s="16"/>
      <c r="B7" s="34" t="s">
        <v>570</v>
      </c>
      <c r="C7" s="33"/>
      <c r="D7" s="33"/>
      <c r="E7" s="33"/>
      <c r="F7" s="33"/>
      <c r="G7" s="33"/>
      <c r="H7" s="33"/>
      <c r="I7" s="35"/>
      <c r="J7" s="16"/>
      <c r="K7" s="16"/>
      <c r="L7" s="34" t="s">
        <v>580</v>
      </c>
      <c r="M7" s="33"/>
      <c r="N7" s="33"/>
      <c r="O7" s="33"/>
      <c r="P7" s="33"/>
      <c r="Q7" s="33"/>
      <c r="R7" s="33"/>
      <c r="S7" s="35"/>
    </row>
    <row r="8" spans="1:19" ht="15" thickBot="1" x14ac:dyDescent="0.35">
      <c r="A8" s="16"/>
      <c r="B8" s="36" t="s">
        <v>571</v>
      </c>
      <c r="C8" s="37"/>
      <c r="D8" s="37"/>
      <c r="E8" s="37"/>
      <c r="F8" s="37"/>
      <c r="G8" s="37"/>
      <c r="H8" s="37"/>
      <c r="I8" s="38"/>
      <c r="J8" s="21"/>
      <c r="K8" s="16"/>
      <c r="L8" s="36" t="s">
        <v>581</v>
      </c>
      <c r="M8" s="37"/>
      <c r="N8" s="37"/>
      <c r="O8" s="37"/>
      <c r="P8" s="37"/>
      <c r="Q8" s="37"/>
      <c r="R8" s="37"/>
      <c r="S8" s="38"/>
    </row>
    <row r="9" spans="1:19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 ht="15" thickBot="1" x14ac:dyDescent="0.3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x14ac:dyDescent="0.3">
      <c r="A11" s="16"/>
      <c r="B11" s="34" t="s">
        <v>572</v>
      </c>
      <c r="C11" s="33"/>
      <c r="D11" s="33"/>
      <c r="E11" s="33"/>
      <c r="F11" s="33"/>
      <c r="G11" s="33"/>
      <c r="H11" s="33"/>
      <c r="I11" s="35"/>
      <c r="J11" s="16"/>
      <c r="K11" s="16"/>
      <c r="L11" s="34" t="s">
        <v>582</v>
      </c>
      <c r="M11" s="32"/>
      <c r="N11" s="32"/>
      <c r="O11" s="32"/>
      <c r="P11" s="32"/>
      <c r="Q11" s="32"/>
      <c r="R11" s="32"/>
      <c r="S11" s="39"/>
    </row>
    <row r="12" spans="1:19" ht="15" thickBot="1" x14ac:dyDescent="0.35">
      <c r="A12" s="16"/>
      <c r="B12" s="36" t="s">
        <v>573</v>
      </c>
      <c r="C12" s="37"/>
      <c r="D12" s="37"/>
      <c r="E12" s="37"/>
      <c r="F12" s="37"/>
      <c r="G12" s="37"/>
      <c r="H12" s="37"/>
      <c r="I12" s="38"/>
      <c r="J12" s="16"/>
      <c r="K12" s="16"/>
      <c r="L12" s="36" t="s">
        <v>583</v>
      </c>
      <c r="M12" s="37"/>
      <c r="N12" s="37"/>
      <c r="O12" s="37"/>
      <c r="P12" s="37"/>
      <c r="Q12" s="37"/>
      <c r="R12" s="37"/>
      <c r="S12" s="38"/>
    </row>
    <row r="13" spans="1:19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 ht="15" thickBot="1" x14ac:dyDescent="0.3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 x14ac:dyDescent="0.3">
      <c r="A15" s="16"/>
      <c r="B15" s="34" t="s">
        <v>574</v>
      </c>
      <c r="C15" s="33"/>
      <c r="D15" s="33"/>
      <c r="E15" s="33"/>
      <c r="F15" s="33"/>
      <c r="G15" s="33"/>
      <c r="H15" s="33"/>
      <c r="I15" s="35"/>
      <c r="J15" s="16"/>
      <c r="K15" s="16"/>
      <c r="L15" s="34" t="s">
        <v>584</v>
      </c>
      <c r="M15" s="33"/>
      <c r="N15" s="33"/>
      <c r="O15" s="33"/>
      <c r="P15" s="33"/>
      <c r="Q15" s="33"/>
      <c r="R15" s="33"/>
      <c r="S15" s="35"/>
    </row>
    <row r="16" spans="1:19" ht="15" thickBot="1" x14ac:dyDescent="0.35">
      <c r="A16" s="16"/>
      <c r="B16" s="36" t="s">
        <v>575</v>
      </c>
      <c r="C16" s="37"/>
      <c r="D16" s="37"/>
      <c r="E16" s="37"/>
      <c r="F16" s="37"/>
      <c r="G16" s="37"/>
      <c r="H16" s="37"/>
      <c r="I16" s="38"/>
      <c r="J16" s="16"/>
      <c r="K16" s="16"/>
      <c r="L16" s="36" t="s">
        <v>585</v>
      </c>
      <c r="M16" s="37"/>
      <c r="N16" s="37"/>
      <c r="O16" s="37"/>
      <c r="P16" s="37"/>
      <c r="Q16" s="37"/>
      <c r="R16" s="37"/>
      <c r="S16" s="38"/>
    </row>
    <row r="17" spans="1:19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 ht="15" thickBot="1" x14ac:dyDescent="0.3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 x14ac:dyDescent="0.3">
      <c r="A19" s="16"/>
      <c r="B19" s="34" t="s">
        <v>576</v>
      </c>
      <c r="C19" s="33"/>
      <c r="D19" s="33"/>
      <c r="E19" s="33"/>
      <c r="F19" s="33"/>
      <c r="G19" s="33"/>
      <c r="H19" s="33"/>
      <c r="I19" s="35"/>
      <c r="J19" s="16"/>
      <c r="K19" s="16"/>
      <c r="L19" s="34" t="s">
        <v>586</v>
      </c>
      <c r="M19" s="33"/>
      <c r="N19" s="33"/>
      <c r="O19" s="33"/>
      <c r="P19" s="33"/>
      <c r="Q19" s="33"/>
      <c r="R19" s="33"/>
      <c r="S19" s="35"/>
    </row>
    <row r="20" spans="1:19" ht="15" thickBot="1" x14ac:dyDescent="0.35">
      <c r="A20" s="16"/>
      <c r="B20" s="36" t="s">
        <v>577</v>
      </c>
      <c r="C20" s="37"/>
      <c r="D20" s="37"/>
      <c r="E20" s="37"/>
      <c r="F20" s="37"/>
      <c r="G20" s="37"/>
      <c r="H20" s="37"/>
      <c r="I20" s="38"/>
      <c r="J20" s="16"/>
      <c r="K20" s="16"/>
      <c r="L20" s="36" t="s">
        <v>587</v>
      </c>
      <c r="M20" s="37"/>
      <c r="N20" s="37"/>
      <c r="O20" s="37"/>
      <c r="P20" s="37"/>
      <c r="Q20" s="37"/>
      <c r="R20" s="37"/>
      <c r="S20" s="38"/>
    </row>
  </sheetData>
  <mergeCells count="20">
    <mergeCell ref="B20:I20"/>
    <mergeCell ref="L20:S20"/>
    <mergeCell ref="L4:S4"/>
    <mergeCell ref="L11:S11"/>
    <mergeCell ref="B15:I15"/>
    <mergeCell ref="L15:S15"/>
    <mergeCell ref="B16:I16"/>
    <mergeCell ref="L16:S16"/>
    <mergeCell ref="B19:I19"/>
    <mergeCell ref="L19:S19"/>
    <mergeCell ref="B8:I8"/>
    <mergeCell ref="L8:S8"/>
    <mergeCell ref="B11:I11"/>
    <mergeCell ref="B12:I12"/>
    <mergeCell ref="L12:S12"/>
    <mergeCell ref="C3:G3"/>
    <mergeCell ref="L3:S3"/>
    <mergeCell ref="B4:I4"/>
    <mergeCell ref="B7:I7"/>
    <mergeCell ref="L7:S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Cars</vt:lpstr>
      <vt:lpstr>Pivot Tables</vt:lpstr>
      <vt:lpstr>Pivot Charts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Dharti Ramavat</cp:lastModifiedBy>
  <dcterms:created xsi:type="dcterms:W3CDTF">2025-12-31T19:07:53Z</dcterms:created>
  <dcterms:modified xsi:type="dcterms:W3CDTF">2026-01-17T09:02:12Z</dcterms:modified>
</cp:coreProperties>
</file>